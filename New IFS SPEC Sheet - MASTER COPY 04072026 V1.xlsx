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d748ffccc0c4a/Desktop/"/>
    </mc:Choice>
  </mc:AlternateContent>
  <xr:revisionPtr revIDLastSave="11356" documentId="8_{A6C1854D-C8D8-4C59-AB10-A92305F822C0}" xr6:coauthVersionLast="47" xr6:coauthVersionMax="47" xr10:uidLastSave="{DA77C640-A1EA-4FD1-B22A-555C57826135}"/>
  <bookViews>
    <workbookView xWindow="28680" yWindow="3015" windowWidth="29040" windowHeight="15720" tabRatio="841" xr2:uid="{EC5CA1BB-3F67-499B-B6C9-D49D6B9371C8}"/>
  </bookViews>
  <sheets>
    <sheet name="Data INPUT" sheetId="1" r:id="rId1"/>
    <sheet name="Single OUTPUT" sheetId="3" r:id="rId2"/>
    <sheet name="Multiple OUTPUT" sheetId="4" r:id="rId3"/>
    <sheet name="Weight Rules" sheetId="10" r:id="rId4"/>
    <sheet name="Formulas Sheet Multi" sheetId="11" r:id="rId5"/>
    <sheet name="QCF" sheetId="8" r:id="rId6"/>
  </sheets>
  <definedNames>
    <definedName name="_Hlk504127682" localSheetId="5">QCF!#REF!</definedName>
    <definedName name="_Hlk57986371" localSheetId="5">QCF!#REF!</definedName>
    <definedName name="_xlnm.Print_Area" localSheetId="2">'Multiple OUTPUT'!$A$1:$L$78</definedName>
    <definedName name="_xlnm.Print_Area" localSheetId="5">QCF!$A$1:$G$207</definedName>
    <definedName name="_xlnm.Print_Area" localSheetId="1">'Single OUTPUT'!$A$1:$L$200</definedName>
    <definedName name="_xlnm.Print_Titles" localSheetId="1">'Single OUTPUT'!$1:$1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B13" i="1"/>
  <c r="B174" i="8"/>
  <c r="B173" i="8"/>
  <c r="B137" i="8"/>
  <c r="B136" i="8"/>
  <c r="B110" i="8"/>
  <c r="B109" i="8"/>
  <c r="B71" i="8"/>
  <c r="B70" i="8"/>
  <c r="B44" i="8"/>
  <c r="B43" i="8"/>
  <c r="B4" i="8"/>
  <c r="B3" i="8"/>
  <c r="L386" i="4"/>
  <c r="L385" i="4"/>
  <c r="L384" i="4"/>
  <c r="L383" i="4"/>
  <c r="L382" i="4"/>
  <c r="L381" i="4"/>
  <c r="L380" i="4"/>
  <c r="L347" i="4"/>
  <c r="L346" i="4"/>
  <c r="L345" i="4"/>
  <c r="L344" i="4"/>
  <c r="L343" i="4"/>
  <c r="L342" i="4"/>
  <c r="L341" i="4"/>
  <c r="L308" i="4"/>
  <c r="L307" i="4"/>
  <c r="L306" i="4"/>
  <c r="L305" i="4"/>
  <c r="L304" i="4"/>
  <c r="L303" i="4"/>
  <c r="L302" i="4"/>
  <c r="C241" i="4"/>
  <c r="L269" i="4"/>
  <c r="L268" i="4"/>
  <c r="L267" i="4"/>
  <c r="L266" i="4"/>
  <c r="L265" i="4"/>
  <c r="L264" i="4"/>
  <c r="L263" i="4"/>
  <c r="L230" i="4"/>
  <c r="L229" i="4"/>
  <c r="L228" i="4"/>
  <c r="L227" i="4"/>
  <c r="L226" i="4"/>
  <c r="L225" i="4"/>
  <c r="L224" i="4"/>
  <c r="L191" i="4"/>
  <c r="L190" i="4"/>
  <c r="L189" i="4"/>
  <c r="L188" i="4"/>
  <c r="L187" i="4"/>
  <c r="L186" i="4"/>
  <c r="L185" i="4"/>
  <c r="L152" i="4"/>
  <c r="L151" i="4"/>
  <c r="L150" i="4"/>
  <c r="L149" i="4"/>
  <c r="L148" i="4"/>
  <c r="L147" i="4"/>
  <c r="L146" i="4"/>
  <c r="L113" i="4"/>
  <c r="L112" i="4"/>
  <c r="L111" i="4"/>
  <c r="L110" i="4"/>
  <c r="L109" i="4"/>
  <c r="L108" i="4"/>
  <c r="L107" i="4"/>
  <c r="L35" i="4"/>
  <c r="L69" i="4"/>
  <c r="L68" i="4"/>
  <c r="L74" i="4"/>
  <c r="L73" i="4"/>
  <c r="L72" i="4"/>
  <c r="L71" i="4"/>
  <c r="L70" i="4"/>
  <c r="L33" i="4"/>
  <c r="L31" i="4"/>
  <c r="L30" i="4"/>
  <c r="L29" i="4"/>
  <c r="B5" i="4"/>
  <c r="D5" i="4"/>
  <c r="C7" i="4"/>
  <c r="J42" i="4" l="1"/>
  <c r="J81" i="4"/>
  <c r="J120" i="4"/>
  <c r="J159" i="4"/>
  <c r="J276" i="4"/>
  <c r="J315" i="4"/>
  <c r="C358" i="4"/>
  <c r="D356" i="4"/>
  <c r="B356" i="4"/>
  <c r="A356" i="4"/>
  <c r="C319" i="4"/>
  <c r="D317" i="4"/>
  <c r="B317" i="4"/>
  <c r="A317" i="4"/>
  <c r="C280" i="4"/>
  <c r="D278" i="4"/>
  <c r="B278" i="4"/>
  <c r="A278" i="4"/>
  <c r="D239" i="4"/>
  <c r="B239" i="4"/>
  <c r="A239" i="4"/>
  <c r="C202" i="4"/>
  <c r="D200" i="4"/>
  <c r="B200" i="4"/>
  <c r="A200" i="4"/>
  <c r="C163" i="4"/>
  <c r="D161" i="4"/>
  <c r="B161" i="4"/>
  <c r="A161" i="4"/>
  <c r="C124" i="4"/>
  <c r="D122" i="4"/>
  <c r="B122" i="4"/>
  <c r="A122" i="4"/>
  <c r="C85" i="4"/>
  <c r="D83" i="4"/>
  <c r="B83" i="4"/>
  <c r="A83" i="4"/>
  <c r="C46" i="4"/>
  <c r="D44" i="4"/>
  <c r="B44" i="4"/>
  <c r="A44" i="4"/>
  <c r="B24" i="4"/>
  <c r="J2" i="3"/>
  <c r="D20" i="4"/>
  <c r="B367" i="4"/>
  <c r="B328" i="4"/>
  <c r="B289" i="4"/>
  <c r="B250" i="4"/>
  <c r="B211" i="4"/>
  <c r="B172" i="4"/>
  <c r="B133" i="4"/>
  <c r="B94" i="4"/>
  <c r="B55" i="4"/>
  <c r="B16" i="4"/>
  <c r="B368" i="4"/>
  <c r="B329" i="4"/>
  <c r="B290" i="4"/>
  <c r="B251" i="4"/>
  <c r="B212" i="4"/>
  <c r="B173" i="4"/>
  <c r="B134" i="4"/>
  <c r="B95" i="4"/>
  <c r="B56" i="4"/>
  <c r="B17" i="4"/>
  <c r="C54" i="4"/>
  <c r="C55" i="4" s="1"/>
  <c r="C15" i="4"/>
  <c r="C379" i="4"/>
  <c r="B375" i="4"/>
  <c r="C371" i="4"/>
  <c r="G374" i="4" s="1"/>
  <c r="C368" i="4"/>
  <c r="E366" i="4"/>
  <c r="C369" i="4" s="1"/>
  <c r="C366" i="4"/>
  <c r="C367" i="4" s="1"/>
  <c r="J355" i="4"/>
  <c r="J354" i="4"/>
  <c r="J353" i="4"/>
  <c r="C340" i="4"/>
  <c r="B336" i="4"/>
  <c r="C332" i="4"/>
  <c r="G335" i="4" s="1"/>
  <c r="C329" i="4"/>
  <c r="E327" i="4"/>
  <c r="C330" i="4" s="1"/>
  <c r="C327" i="4"/>
  <c r="C328" i="4" s="1"/>
  <c r="J316" i="4"/>
  <c r="J314" i="4"/>
  <c r="C301" i="4"/>
  <c r="B297" i="4"/>
  <c r="D293" i="4" s="1"/>
  <c r="C292" i="4" s="1"/>
  <c r="C293" i="4"/>
  <c r="G296" i="4" s="1"/>
  <c r="C290" i="4"/>
  <c r="C291" i="4" s="1"/>
  <c r="E288" i="4"/>
  <c r="E296" i="4" s="1"/>
  <c r="C288" i="4"/>
  <c r="C289" i="4" s="1"/>
  <c r="J277" i="4"/>
  <c r="J275" i="4"/>
  <c r="C262" i="4"/>
  <c r="B258" i="4"/>
  <c r="C254" i="4"/>
  <c r="G257" i="4" s="1"/>
  <c r="C251" i="4"/>
  <c r="E249" i="4"/>
  <c r="E257" i="4" s="1"/>
  <c r="C249" i="4"/>
  <c r="C250" i="4" s="1"/>
  <c r="J238" i="4"/>
  <c r="J237" i="4"/>
  <c r="J236" i="4"/>
  <c r="C223" i="4"/>
  <c r="B219" i="4"/>
  <c r="C215" i="4"/>
  <c r="E214" i="4" s="1"/>
  <c r="C212" i="4"/>
  <c r="E210" i="4"/>
  <c r="C210" i="4"/>
  <c r="J199" i="4"/>
  <c r="J198" i="4"/>
  <c r="J197" i="4"/>
  <c r="C184" i="4"/>
  <c r="B180" i="4"/>
  <c r="C176" i="4"/>
  <c r="G179" i="4" s="1"/>
  <c r="C173" i="4"/>
  <c r="E171" i="4"/>
  <c r="C171" i="4"/>
  <c r="C172" i="4" s="1"/>
  <c r="J160" i="4"/>
  <c r="J158" i="4"/>
  <c r="C145" i="4"/>
  <c r="B141" i="4"/>
  <c r="C137" i="4"/>
  <c r="G140" i="4" s="1"/>
  <c r="C134" i="4"/>
  <c r="E132" i="4"/>
  <c r="E140" i="4" s="1"/>
  <c r="C132" i="4"/>
  <c r="C133" i="4" s="1"/>
  <c r="J121" i="4"/>
  <c r="J119" i="4"/>
  <c r="C106" i="4"/>
  <c r="B102" i="4"/>
  <c r="C98" i="4"/>
  <c r="G101" i="4" s="1"/>
  <c r="C95" i="4"/>
  <c r="E93" i="4"/>
  <c r="C93" i="4"/>
  <c r="C94" i="4" s="1"/>
  <c r="J82" i="4"/>
  <c r="J80" i="4"/>
  <c r="C67" i="4"/>
  <c r="B63" i="4"/>
  <c r="C59" i="4"/>
  <c r="G62" i="4" s="1"/>
  <c r="C56" i="4"/>
  <c r="E54" i="4"/>
  <c r="E62" i="4" s="1"/>
  <c r="J43" i="4"/>
  <c r="J41" i="4"/>
  <c r="C385" i="4"/>
  <c r="C384" i="4"/>
  <c r="C383" i="4"/>
  <c r="C382" i="4"/>
  <c r="C381" i="4"/>
  <c r="C364" i="4"/>
  <c r="C363" i="4"/>
  <c r="C362" i="4"/>
  <c r="J361" i="4"/>
  <c r="J360" i="4"/>
  <c r="G359" i="4"/>
  <c r="G358" i="4"/>
  <c r="G357" i="4"/>
  <c r="C357" i="4"/>
  <c r="C355" i="4"/>
  <c r="C354" i="4"/>
  <c r="C353" i="4"/>
  <c r="J352" i="4"/>
  <c r="C352" i="4"/>
  <c r="C346" i="4"/>
  <c r="C345" i="4"/>
  <c r="C344" i="4"/>
  <c r="C343" i="4"/>
  <c r="C342" i="4"/>
  <c r="C333" i="4"/>
  <c r="C334" i="4" s="1"/>
  <c r="C325" i="4"/>
  <c r="C324" i="4"/>
  <c r="C323" i="4"/>
  <c r="J322" i="4"/>
  <c r="J321" i="4"/>
  <c r="G320" i="4"/>
  <c r="G319" i="4"/>
  <c r="G318" i="4"/>
  <c r="C318" i="4"/>
  <c r="C316" i="4"/>
  <c r="C315" i="4"/>
  <c r="C314" i="4"/>
  <c r="J313" i="4"/>
  <c r="C313" i="4"/>
  <c r="C307" i="4"/>
  <c r="C306" i="4"/>
  <c r="C305" i="4"/>
  <c r="C304" i="4"/>
  <c r="C303" i="4"/>
  <c r="C286" i="4"/>
  <c r="C285" i="4"/>
  <c r="C284" i="4"/>
  <c r="J283" i="4"/>
  <c r="J282" i="4"/>
  <c r="G281" i="4"/>
  <c r="G280" i="4"/>
  <c r="G279" i="4"/>
  <c r="C279" i="4"/>
  <c r="C277" i="4"/>
  <c r="C276" i="4"/>
  <c r="C275" i="4"/>
  <c r="J274" i="4"/>
  <c r="C274" i="4"/>
  <c r="C268" i="4"/>
  <c r="C267" i="4"/>
  <c r="C266" i="4"/>
  <c r="C265" i="4"/>
  <c r="C264" i="4"/>
  <c r="C247" i="4"/>
  <c r="C246" i="4"/>
  <c r="C245" i="4"/>
  <c r="J244" i="4"/>
  <c r="J243" i="4"/>
  <c r="G242" i="4"/>
  <c r="G241" i="4"/>
  <c r="G240" i="4"/>
  <c r="C240" i="4"/>
  <c r="C238" i="4"/>
  <c r="C237" i="4"/>
  <c r="C236" i="4"/>
  <c r="J235" i="4"/>
  <c r="C235" i="4"/>
  <c r="C229" i="4"/>
  <c r="C228" i="4"/>
  <c r="C227" i="4"/>
  <c r="C226" i="4"/>
  <c r="C225" i="4"/>
  <c r="C208" i="4"/>
  <c r="C207" i="4"/>
  <c r="C206" i="4"/>
  <c r="J205" i="4"/>
  <c r="J204" i="4"/>
  <c r="G203" i="4"/>
  <c r="G202" i="4"/>
  <c r="G201" i="4"/>
  <c r="C201" i="4"/>
  <c r="C199" i="4"/>
  <c r="C198" i="4"/>
  <c r="C197" i="4"/>
  <c r="J196" i="4"/>
  <c r="C196" i="4"/>
  <c r="C190" i="4"/>
  <c r="C189" i="4"/>
  <c r="C188" i="4"/>
  <c r="C187" i="4"/>
  <c r="C186" i="4"/>
  <c r="C169" i="4"/>
  <c r="C168" i="4"/>
  <c r="C167" i="4"/>
  <c r="J166" i="4"/>
  <c r="J165" i="4"/>
  <c r="G164" i="4"/>
  <c r="G163" i="4"/>
  <c r="G162" i="4"/>
  <c r="C162" i="4"/>
  <c r="C160" i="4"/>
  <c r="C159" i="4"/>
  <c r="C158" i="4"/>
  <c r="J157" i="4"/>
  <c r="C157" i="4"/>
  <c r="C151" i="4"/>
  <c r="C150" i="4"/>
  <c r="C149" i="4"/>
  <c r="C148" i="4"/>
  <c r="C147" i="4"/>
  <c r="C130" i="4"/>
  <c r="C129" i="4"/>
  <c r="C128" i="4"/>
  <c r="J127" i="4"/>
  <c r="J126" i="4"/>
  <c r="G125" i="4"/>
  <c r="G124" i="4"/>
  <c r="G123" i="4"/>
  <c r="C123" i="4"/>
  <c r="C121" i="4"/>
  <c r="C120" i="4"/>
  <c r="C119" i="4"/>
  <c r="J118" i="4"/>
  <c r="C118" i="4"/>
  <c r="C112" i="4"/>
  <c r="C111" i="4"/>
  <c r="C110" i="4"/>
  <c r="C109" i="4"/>
  <c r="C108" i="4"/>
  <c r="C91" i="4"/>
  <c r="C90" i="4"/>
  <c r="C89" i="4"/>
  <c r="J88" i="4"/>
  <c r="J87" i="4"/>
  <c r="G86" i="4"/>
  <c r="G85" i="4"/>
  <c r="G84" i="4"/>
  <c r="C84" i="4"/>
  <c r="C82" i="4"/>
  <c r="C81" i="4"/>
  <c r="C80" i="4"/>
  <c r="J79" i="4"/>
  <c r="C79" i="4"/>
  <c r="C73" i="4"/>
  <c r="C72" i="4"/>
  <c r="C71" i="4"/>
  <c r="C70" i="4"/>
  <c r="C69" i="4"/>
  <c r="C52" i="4"/>
  <c r="C51" i="4"/>
  <c r="C50" i="4"/>
  <c r="J49" i="4"/>
  <c r="J48" i="4"/>
  <c r="G47" i="4"/>
  <c r="G46" i="4"/>
  <c r="G45" i="4"/>
  <c r="C45" i="4"/>
  <c r="C43" i="4"/>
  <c r="C42" i="4"/>
  <c r="C41" i="4"/>
  <c r="J40" i="4"/>
  <c r="C40" i="4"/>
  <c r="A5" i="4"/>
  <c r="B18" i="4"/>
  <c r="C30" i="4"/>
  <c r="C31" i="4"/>
  <c r="C32" i="4"/>
  <c r="L32" i="4"/>
  <c r="C33" i="4"/>
  <c r="C34" i="4"/>
  <c r="L34" i="4"/>
  <c r="G14" i="11"/>
  <c r="G16" i="11"/>
  <c r="E16" i="11"/>
  <c r="F16" i="11" s="1"/>
  <c r="C16" i="11"/>
  <c r="B16" i="11"/>
  <c r="G15" i="11"/>
  <c r="E15" i="11"/>
  <c r="F15" i="11" s="1"/>
  <c r="C15" i="11"/>
  <c r="B15" i="11"/>
  <c r="E14" i="11"/>
  <c r="F14" i="11" s="1"/>
  <c r="C14" i="11"/>
  <c r="B14" i="11"/>
  <c r="E292" i="4" l="1"/>
  <c r="D332" i="4"/>
  <c r="C331" i="4" s="1"/>
  <c r="E253" i="4"/>
  <c r="C252" i="4"/>
  <c r="D176" i="4"/>
  <c r="C175" i="4" s="1"/>
  <c r="E374" i="4"/>
  <c r="C23" i="4"/>
  <c r="E370" i="4"/>
  <c r="E331" i="4"/>
  <c r="G218" i="4"/>
  <c r="C255" i="4"/>
  <c r="C256" i="4" s="1"/>
  <c r="D371" i="4"/>
  <c r="C370" i="4" s="1"/>
  <c r="C135" i="4"/>
  <c r="C174" i="4"/>
  <c r="D15" i="11"/>
  <c r="E179" i="4"/>
  <c r="D254" i="4"/>
  <c r="C253" i="4" s="1"/>
  <c r="E335" i="4"/>
  <c r="E175" i="4"/>
  <c r="E136" i="4"/>
  <c r="D98" i="4"/>
  <c r="C97" i="4" s="1"/>
  <c r="D59" i="4"/>
  <c r="C58" i="4" s="1"/>
  <c r="D215" i="4"/>
  <c r="C214" i="4" s="1"/>
  <c r="C213" i="4"/>
  <c r="E218" i="4"/>
  <c r="C218" i="4"/>
  <c r="D137" i="4"/>
  <c r="C136" i="4" s="1"/>
  <c r="C138" i="4"/>
  <c r="C139" i="4" s="1"/>
  <c r="E97" i="4"/>
  <c r="C96" i="4"/>
  <c r="E101" i="4"/>
  <c r="C372" i="4"/>
  <c r="C373" i="4" s="1"/>
  <c r="C374" i="4"/>
  <c r="C335" i="4"/>
  <c r="C294" i="4"/>
  <c r="C295" i="4" s="1"/>
  <c r="C296" i="4"/>
  <c r="C257" i="4"/>
  <c r="C216" i="4"/>
  <c r="C217" i="4" s="1"/>
  <c r="C211" i="4"/>
  <c r="C177" i="4"/>
  <c r="C178" i="4" s="1"/>
  <c r="C179" i="4"/>
  <c r="C140" i="4"/>
  <c r="C99" i="4"/>
  <c r="C100" i="4" s="1"/>
  <c r="C101" i="4"/>
  <c r="C57" i="4"/>
  <c r="E58" i="4"/>
  <c r="C60" i="4"/>
  <c r="C61" i="4" s="1"/>
  <c r="C62" i="4"/>
  <c r="D14" i="11"/>
  <c r="D16" i="11"/>
  <c r="C28" i="4" l="1"/>
  <c r="C17" i="4"/>
  <c r="C20" i="4" l="1"/>
  <c r="G23" i="4" l="1"/>
  <c r="E19" i="4"/>
  <c r="E15" i="4"/>
  <c r="J2" i="4"/>
  <c r="J4" i="4"/>
  <c r="J3" i="4"/>
  <c r="J4" i="3"/>
  <c r="C13" i="4"/>
  <c r="C12" i="4"/>
  <c r="C11" i="4"/>
  <c r="J10" i="4"/>
  <c r="J9" i="4"/>
  <c r="G8" i="4"/>
  <c r="G7" i="4"/>
  <c r="G6" i="4"/>
  <c r="C6" i="4"/>
  <c r="C4" i="4"/>
  <c r="C3" i="4"/>
  <c r="C2" i="4"/>
  <c r="J1" i="4"/>
  <c r="C1" i="4"/>
  <c r="J764" i="3"/>
  <c r="J724" i="3"/>
  <c r="J684" i="3"/>
  <c r="J644" i="3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5" i="10"/>
  <c r="C26" i="10"/>
  <c r="C19" i="4" l="1"/>
  <c r="C21" i="4"/>
  <c r="C22" i="4" s="1"/>
  <c r="C16" i="4"/>
  <c r="E23" i="4"/>
  <c r="C18" i="4"/>
  <c r="C29" i="3"/>
  <c r="J604" i="3"/>
  <c r="J564" i="3"/>
  <c r="J524" i="3"/>
  <c r="J484" i="3"/>
  <c r="J444" i="3"/>
  <c r="J404" i="3"/>
  <c r="J364" i="3"/>
  <c r="J324" i="3"/>
  <c r="J284" i="3"/>
  <c r="J244" i="3"/>
  <c r="J204" i="3"/>
  <c r="J164" i="3"/>
  <c r="J124" i="3"/>
  <c r="J84" i="3"/>
  <c r="J44" i="3"/>
  <c r="J3" i="3"/>
  <c r="J403" i="3"/>
  <c r="J443" i="3"/>
  <c r="J483" i="3"/>
  <c r="J523" i="3"/>
  <c r="J603" i="3"/>
  <c r="J683" i="3"/>
  <c r="C761" i="3"/>
  <c r="J761" i="3"/>
  <c r="C762" i="3"/>
  <c r="J762" i="3"/>
  <c r="C763" i="3"/>
  <c r="C764" i="3"/>
  <c r="A765" i="3"/>
  <c r="B765" i="3"/>
  <c r="D765" i="3"/>
  <c r="G766" i="3"/>
  <c r="C767" i="3"/>
  <c r="G767" i="3"/>
  <c r="C768" i="3"/>
  <c r="G768" i="3"/>
  <c r="G769" i="3"/>
  <c r="J770" i="3"/>
  <c r="J771" i="3"/>
  <c r="C772" i="3"/>
  <c r="C773" i="3"/>
  <c r="C774" i="3"/>
  <c r="C776" i="3"/>
  <c r="C777" i="3" s="1"/>
  <c r="E776" i="3"/>
  <c r="E784" i="3" s="1"/>
  <c r="D778" i="3"/>
  <c r="B778" i="3" s="1"/>
  <c r="B779" i="3"/>
  <c r="C787" i="3"/>
  <c r="C788" i="3"/>
  <c r="C789" i="3"/>
  <c r="L790" i="3"/>
  <c r="C791" i="3"/>
  <c r="L791" i="3"/>
  <c r="C792" i="3"/>
  <c r="L792" i="3"/>
  <c r="C793" i="3"/>
  <c r="L793" i="3"/>
  <c r="C794" i="3"/>
  <c r="L794" i="3"/>
  <c r="C795" i="3"/>
  <c r="L795" i="3"/>
  <c r="L796" i="3"/>
  <c r="C721" i="3"/>
  <c r="J721" i="3"/>
  <c r="C722" i="3"/>
  <c r="J722" i="3"/>
  <c r="C723" i="3"/>
  <c r="C724" i="3"/>
  <c r="A725" i="3"/>
  <c r="B725" i="3"/>
  <c r="D725" i="3"/>
  <c r="G726" i="3"/>
  <c r="C727" i="3"/>
  <c r="G727" i="3"/>
  <c r="C728" i="3"/>
  <c r="G728" i="3"/>
  <c r="G729" i="3"/>
  <c r="J730" i="3"/>
  <c r="J731" i="3"/>
  <c r="C732" i="3"/>
  <c r="C733" i="3"/>
  <c r="C734" i="3"/>
  <c r="C736" i="3"/>
  <c r="C741" i="3" s="1"/>
  <c r="C740" i="3" s="1"/>
  <c r="E736" i="3"/>
  <c r="D738" i="3"/>
  <c r="B737" i="3" s="1"/>
  <c r="B739" i="3"/>
  <c r="C747" i="3"/>
  <c r="C748" i="3"/>
  <c r="C749" i="3"/>
  <c r="L750" i="3"/>
  <c r="C751" i="3"/>
  <c r="L751" i="3"/>
  <c r="C752" i="3"/>
  <c r="L752" i="3"/>
  <c r="C753" i="3"/>
  <c r="L753" i="3"/>
  <c r="C754" i="3"/>
  <c r="L754" i="3"/>
  <c r="C755" i="3"/>
  <c r="L755" i="3"/>
  <c r="L756" i="3"/>
  <c r="C681" i="3"/>
  <c r="J681" i="3"/>
  <c r="C682" i="3"/>
  <c r="J682" i="3"/>
  <c r="C683" i="3"/>
  <c r="C684" i="3"/>
  <c r="A685" i="3"/>
  <c r="B685" i="3"/>
  <c r="D685" i="3"/>
  <c r="G686" i="3"/>
  <c r="C687" i="3"/>
  <c r="G687" i="3"/>
  <c r="C688" i="3"/>
  <c r="G688" i="3"/>
  <c r="G689" i="3"/>
  <c r="J690" i="3"/>
  <c r="J691" i="3"/>
  <c r="C692" i="3"/>
  <c r="C693" i="3"/>
  <c r="C694" i="3"/>
  <c r="C696" i="3"/>
  <c r="C697" i="3" s="1"/>
  <c r="E696" i="3"/>
  <c r="D698" i="3"/>
  <c r="B698" i="3" s="1"/>
  <c r="B699" i="3"/>
  <c r="C707" i="3"/>
  <c r="C708" i="3"/>
  <c r="C709" i="3"/>
  <c r="L710" i="3"/>
  <c r="C711" i="3"/>
  <c r="L711" i="3"/>
  <c r="C712" i="3"/>
  <c r="L712" i="3"/>
  <c r="C713" i="3"/>
  <c r="L713" i="3"/>
  <c r="C714" i="3"/>
  <c r="L714" i="3"/>
  <c r="C715" i="3"/>
  <c r="L715" i="3"/>
  <c r="L716" i="3"/>
  <c r="C641" i="3"/>
  <c r="J641" i="3"/>
  <c r="C642" i="3"/>
  <c r="J642" i="3"/>
  <c r="C643" i="3"/>
  <c r="C644" i="3"/>
  <c r="A645" i="3"/>
  <c r="B645" i="3"/>
  <c r="D645" i="3"/>
  <c r="G646" i="3"/>
  <c r="C647" i="3"/>
  <c r="G647" i="3"/>
  <c r="C648" i="3"/>
  <c r="G648" i="3"/>
  <c r="G649" i="3"/>
  <c r="J650" i="3"/>
  <c r="J651" i="3"/>
  <c r="C652" i="3"/>
  <c r="C653" i="3"/>
  <c r="C654" i="3"/>
  <c r="C656" i="3"/>
  <c r="C661" i="3" s="1"/>
  <c r="C660" i="3" s="1"/>
  <c r="E656" i="3"/>
  <c r="D658" i="3"/>
  <c r="B657" i="3" s="1"/>
  <c r="B659" i="3"/>
  <c r="C667" i="3"/>
  <c r="C668" i="3"/>
  <c r="C669" i="3"/>
  <c r="L670" i="3"/>
  <c r="C671" i="3"/>
  <c r="L671" i="3"/>
  <c r="C672" i="3"/>
  <c r="L672" i="3"/>
  <c r="C673" i="3"/>
  <c r="L673" i="3"/>
  <c r="C674" i="3"/>
  <c r="L674" i="3"/>
  <c r="C675" i="3"/>
  <c r="L675" i="3"/>
  <c r="L676" i="3"/>
  <c r="C601" i="3"/>
  <c r="J601" i="3"/>
  <c r="C602" i="3"/>
  <c r="J602" i="3"/>
  <c r="C603" i="3"/>
  <c r="C604" i="3"/>
  <c r="A605" i="3"/>
  <c r="B605" i="3"/>
  <c r="D605" i="3"/>
  <c r="G606" i="3"/>
  <c r="C607" i="3"/>
  <c r="G607" i="3"/>
  <c r="C608" i="3"/>
  <c r="G608" i="3"/>
  <c r="G609" i="3"/>
  <c r="J610" i="3"/>
  <c r="J611" i="3"/>
  <c r="C612" i="3"/>
  <c r="C613" i="3"/>
  <c r="C614" i="3"/>
  <c r="C616" i="3"/>
  <c r="C621" i="3" s="1"/>
  <c r="C620" i="3" s="1"/>
  <c r="E616" i="3"/>
  <c r="D618" i="3"/>
  <c r="B617" i="3" s="1"/>
  <c r="B619" i="3"/>
  <c r="C627" i="3"/>
  <c r="C628" i="3"/>
  <c r="C629" i="3"/>
  <c r="L630" i="3"/>
  <c r="C631" i="3"/>
  <c r="L631" i="3"/>
  <c r="C632" i="3"/>
  <c r="L632" i="3"/>
  <c r="C633" i="3"/>
  <c r="L633" i="3"/>
  <c r="C634" i="3"/>
  <c r="L634" i="3"/>
  <c r="C635" i="3"/>
  <c r="L635" i="3"/>
  <c r="L636" i="3"/>
  <c r="C561" i="3"/>
  <c r="J561" i="3"/>
  <c r="C562" i="3"/>
  <c r="J562" i="3"/>
  <c r="C563" i="3"/>
  <c r="C564" i="3"/>
  <c r="A565" i="3"/>
  <c r="B565" i="3"/>
  <c r="D565" i="3"/>
  <c r="G566" i="3"/>
  <c r="C567" i="3"/>
  <c r="G567" i="3"/>
  <c r="C568" i="3"/>
  <c r="G568" i="3"/>
  <c r="G569" i="3"/>
  <c r="J570" i="3"/>
  <c r="J571" i="3"/>
  <c r="C572" i="3"/>
  <c r="C573" i="3"/>
  <c r="C574" i="3"/>
  <c r="C576" i="3"/>
  <c r="C577" i="3" s="1"/>
  <c r="E576" i="3"/>
  <c r="D578" i="3"/>
  <c r="B578" i="3" s="1"/>
  <c r="B579" i="3"/>
  <c r="C587" i="3"/>
  <c r="C588" i="3"/>
  <c r="C589" i="3"/>
  <c r="L590" i="3"/>
  <c r="C591" i="3"/>
  <c r="L591" i="3"/>
  <c r="C592" i="3"/>
  <c r="L592" i="3"/>
  <c r="C593" i="3"/>
  <c r="L593" i="3"/>
  <c r="C594" i="3"/>
  <c r="L594" i="3"/>
  <c r="C595" i="3"/>
  <c r="L595" i="3"/>
  <c r="L596" i="3"/>
  <c r="C521" i="3"/>
  <c r="J521" i="3"/>
  <c r="C522" i="3"/>
  <c r="J522" i="3"/>
  <c r="C523" i="3"/>
  <c r="C524" i="3"/>
  <c r="A525" i="3"/>
  <c r="B525" i="3"/>
  <c r="D525" i="3"/>
  <c r="G526" i="3"/>
  <c r="C527" i="3"/>
  <c r="G527" i="3"/>
  <c r="C528" i="3"/>
  <c r="G528" i="3"/>
  <c r="G529" i="3"/>
  <c r="J530" i="3"/>
  <c r="J531" i="3"/>
  <c r="C532" i="3"/>
  <c r="C533" i="3"/>
  <c r="C534" i="3"/>
  <c r="C536" i="3"/>
  <c r="C537" i="3" s="1"/>
  <c r="E536" i="3"/>
  <c r="D538" i="3"/>
  <c r="B538" i="3" s="1"/>
  <c r="B539" i="3"/>
  <c r="C547" i="3"/>
  <c r="C548" i="3"/>
  <c r="C549" i="3"/>
  <c r="L550" i="3"/>
  <c r="C551" i="3"/>
  <c r="L551" i="3"/>
  <c r="C552" i="3"/>
  <c r="L552" i="3"/>
  <c r="C553" i="3"/>
  <c r="L553" i="3"/>
  <c r="C554" i="3"/>
  <c r="L554" i="3"/>
  <c r="C555" i="3"/>
  <c r="L555" i="3"/>
  <c r="L556" i="3"/>
  <c r="C481" i="3"/>
  <c r="J481" i="3"/>
  <c r="C482" i="3"/>
  <c r="J482" i="3"/>
  <c r="C483" i="3"/>
  <c r="C484" i="3"/>
  <c r="A485" i="3"/>
  <c r="B485" i="3"/>
  <c r="D485" i="3"/>
  <c r="G486" i="3"/>
  <c r="C487" i="3"/>
  <c r="G487" i="3"/>
  <c r="C488" i="3"/>
  <c r="G488" i="3"/>
  <c r="G489" i="3"/>
  <c r="J490" i="3"/>
  <c r="J491" i="3"/>
  <c r="C492" i="3"/>
  <c r="C493" i="3"/>
  <c r="C494" i="3"/>
  <c r="C496" i="3"/>
  <c r="C501" i="3" s="1"/>
  <c r="C500" i="3" s="1"/>
  <c r="E496" i="3"/>
  <c r="D498" i="3"/>
  <c r="B497" i="3" s="1"/>
  <c r="B499" i="3"/>
  <c r="C507" i="3"/>
  <c r="C508" i="3"/>
  <c r="C509" i="3"/>
  <c r="L510" i="3"/>
  <c r="C511" i="3"/>
  <c r="L511" i="3"/>
  <c r="C512" i="3"/>
  <c r="L512" i="3"/>
  <c r="C513" i="3"/>
  <c r="L513" i="3"/>
  <c r="C514" i="3"/>
  <c r="L514" i="3"/>
  <c r="C515" i="3"/>
  <c r="L515" i="3"/>
  <c r="L516" i="3"/>
  <c r="C441" i="3"/>
  <c r="J441" i="3"/>
  <c r="C442" i="3"/>
  <c r="J442" i="3"/>
  <c r="C443" i="3"/>
  <c r="C444" i="3"/>
  <c r="A445" i="3"/>
  <c r="B445" i="3"/>
  <c r="D445" i="3"/>
  <c r="G446" i="3"/>
  <c r="C447" i="3"/>
  <c r="G447" i="3"/>
  <c r="C448" i="3"/>
  <c r="G448" i="3"/>
  <c r="G449" i="3"/>
  <c r="J450" i="3"/>
  <c r="J451" i="3"/>
  <c r="C452" i="3"/>
  <c r="C453" i="3"/>
  <c r="C454" i="3"/>
  <c r="C456" i="3"/>
  <c r="C461" i="3" s="1"/>
  <c r="C460" i="3" s="1"/>
  <c r="E456" i="3"/>
  <c r="E464" i="3" s="1"/>
  <c r="D458" i="3"/>
  <c r="B457" i="3" s="1"/>
  <c r="B459" i="3"/>
  <c r="C467" i="3"/>
  <c r="C468" i="3"/>
  <c r="C469" i="3"/>
  <c r="L470" i="3"/>
  <c r="C471" i="3"/>
  <c r="L471" i="3"/>
  <c r="C472" i="3"/>
  <c r="L472" i="3"/>
  <c r="C473" i="3"/>
  <c r="L473" i="3"/>
  <c r="C474" i="3"/>
  <c r="L474" i="3"/>
  <c r="C475" i="3"/>
  <c r="L475" i="3"/>
  <c r="L476" i="3"/>
  <c r="C401" i="3"/>
  <c r="J401" i="3"/>
  <c r="C402" i="3"/>
  <c r="J402" i="3"/>
  <c r="C403" i="3"/>
  <c r="C404" i="3"/>
  <c r="A405" i="3"/>
  <c r="B405" i="3"/>
  <c r="D405" i="3"/>
  <c r="G406" i="3"/>
  <c r="C407" i="3"/>
  <c r="G407" i="3"/>
  <c r="C408" i="3"/>
  <c r="G408" i="3"/>
  <c r="G409" i="3"/>
  <c r="J410" i="3"/>
  <c r="J411" i="3"/>
  <c r="C412" i="3"/>
  <c r="C413" i="3"/>
  <c r="C414" i="3"/>
  <c r="C416" i="3"/>
  <c r="C421" i="3" s="1"/>
  <c r="C420" i="3" s="1"/>
  <c r="E416" i="3"/>
  <c r="D418" i="3"/>
  <c r="B418" i="3" s="1"/>
  <c r="B419" i="3"/>
  <c r="C427" i="3"/>
  <c r="C428" i="3"/>
  <c r="C429" i="3"/>
  <c r="L430" i="3"/>
  <c r="C431" i="3"/>
  <c r="L431" i="3"/>
  <c r="C432" i="3"/>
  <c r="L432" i="3"/>
  <c r="C433" i="3"/>
  <c r="L433" i="3"/>
  <c r="C434" i="3"/>
  <c r="L434" i="3"/>
  <c r="C435" i="3"/>
  <c r="L435" i="3"/>
  <c r="L436" i="3"/>
  <c r="C361" i="3"/>
  <c r="J361" i="3"/>
  <c r="C362" i="3"/>
  <c r="J362" i="3"/>
  <c r="C363" i="3"/>
  <c r="C364" i="3"/>
  <c r="A365" i="3"/>
  <c r="B365" i="3"/>
  <c r="D365" i="3"/>
  <c r="G366" i="3"/>
  <c r="C367" i="3"/>
  <c r="G367" i="3"/>
  <c r="C368" i="3"/>
  <c r="G368" i="3"/>
  <c r="G369" i="3"/>
  <c r="J370" i="3"/>
  <c r="J371" i="3"/>
  <c r="C372" i="3"/>
  <c r="C373" i="3"/>
  <c r="C374" i="3"/>
  <c r="C376" i="3"/>
  <c r="C377" i="3" s="1"/>
  <c r="E376" i="3"/>
  <c r="D378" i="3"/>
  <c r="B378" i="3" s="1"/>
  <c r="B379" i="3"/>
  <c r="C387" i="3"/>
  <c r="C388" i="3"/>
  <c r="C389" i="3"/>
  <c r="L390" i="3"/>
  <c r="C391" i="3"/>
  <c r="L391" i="3"/>
  <c r="C392" i="3"/>
  <c r="L392" i="3"/>
  <c r="C393" i="3"/>
  <c r="L393" i="3"/>
  <c r="C394" i="3"/>
  <c r="L394" i="3"/>
  <c r="C395" i="3"/>
  <c r="L395" i="3"/>
  <c r="L396" i="3"/>
  <c r="C321" i="3"/>
  <c r="J321" i="3"/>
  <c r="C322" i="3"/>
  <c r="J322" i="3"/>
  <c r="C323" i="3"/>
  <c r="C324" i="3"/>
  <c r="A325" i="3"/>
  <c r="B325" i="3"/>
  <c r="D325" i="3"/>
  <c r="G326" i="3"/>
  <c r="C327" i="3"/>
  <c r="G327" i="3"/>
  <c r="C328" i="3"/>
  <c r="G328" i="3"/>
  <c r="G329" i="3"/>
  <c r="J330" i="3"/>
  <c r="J331" i="3"/>
  <c r="C332" i="3"/>
  <c r="C333" i="3"/>
  <c r="C334" i="3"/>
  <c r="C336" i="3"/>
  <c r="C337" i="3" s="1"/>
  <c r="E336" i="3"/>
  <c r="D338" i="3"/>
  <c r="B338" i="3" s="1"/>
  <c r="B339" i="3"/>
  <c r="C347" i="3"/>
  <c r="C348" i="3"/>
  <c r="C349" i="3"/>
  <c r="L350" i="3"/>
  <c r="C351" i="3"/>
  <c r="L351" i="3"/>
  <c r="C352" i="3"/>
  <c r="L352" i="3"/>
  <c r="C353" i="3"/>
  <c r="L353" i="3"/>
  <c r="C354" i="3"/>
  <c r="L354" i="3"/>
  <c r="C355" i="3"/>
  <c r="L355" i="3"/>
  <c r="L356" i="3"/>
  <c r="C281" i="3"/>
  <c r="J281" i="3"/>
  <c r="C282" i="3"/>
  <c r="J282" i="3"/>
  <c r="C283" i="3"/>
  <c r="C284" i="3"/>
  <c r="A285" i="3"/>
  <c r="B285" i="3"/>
  <c r="D285" i="3"/>
  <c r="G286" i="3"/>
  <c r="C287" i="3"/>
  <c r="G287" i="3"/>
  <c r="C288" i="3"/>
  <c r="G288" i="3"/>
  <c r="G289" i="3"/>
  <c r="J290" i="3"/>
  <c r="J291" i="3"/>
  <c r="C292" i="3"/>
  <c r="C293" i="3"/>
  <c r="C294" i="3"/>
  <c r="C296" i="3"/>
  <c r="C297" i="3" s="1"/>
  <c r="E296" i="3"/>
  <c r="E304" i="3" s="1"/>
  <c r="D298" i="3"/>
  <c r="B298" i="3" s="1"/>
  <c r="B299" i="3"/>
  <c r="C307" i="3"/>
  <c r="C308" i="3"/>
  <c r="C309" i="3"/>
  <c r="L310" i="3"/>
  <c r="C311" i="3"/>
  <c r="L311" i="3"/>
  <c r="C312" i="3"/>
  <c r="L312" i="3"/>
  <c r="C313" i="3"/>
  <c r="L313" i="3"/>
  <c r="C314" i="3"/>
  <c r="L314" i="3"/>
  <c r="C315" i="3"/>
  <c r="L315" i="3"/>
  <c r="L316" i="3"/>
  <c r="C241" i="3"/>
  <c r="J241" i="3"/>
  <c r="C242" i="3"/>
  <c r="J242" i="3"/>
  <c r="C243" i="3"/>
  <c r="C244" i="3"/>
  <c r="A245" i="3"/>
  <c r="B245" i="3"/>
  <c r="D245" i="3"/>
  <c r="G246" i="3"/>
  <c r="C247" i="3"/>
  <c r="G247" i="3"/>
  <c r="C248" i="3"/>
  <c r="G248" i="3"/>
  <c r="G249" i="3"/>
  <c r="J250" i="3"/>
  <c r="J251" i="3"/>
  <c r="C252" i="3"/>
  <c r="C253" i="3"/>
  <c r="C254" i="3"/>
  <c r="C256" i="3"/>
  <c r="C257" i="3" s="1"/>
  <c r="E256" i="3"/>
  <c r="D258" i="3"/>
  <c r="B258" i="3" s="1"/>
  <c r="B259" i="3"/>
  <c r="C267" i="3"/>
  <c r="C268" i="3"/>
  <c r="C269" i="3"/>
  <c r="L270" i="3"/>
  <c r="C271" i="3"/>
  <c r="L271" i="3"/>
  <c r="C272" i="3"/>
  <c r="L272" i="3"/>
  <c r="C273" i="3"/>
  <c r="L273" i="3"/>
  <c r="C274" i="3"/>
  <c r="L274" i="3"/>
  <c r="C275" i="3"/>
  <c r="L275" i="3"/>
  <c r="L276" i="3"/>
  <c r="C201" i="3"/>
  <c r="J201" i="3"/>
  <c r="C202" i="3"/>
  <c r="J202" i="3"/>
  <c r="C203" i="3"/>
  <c r="J203" i="3"/>
  <c r="C204" i="3"/>
  <c r="A205" i="3"/>
  <c r="B205" i="3"/>
  <c r="D205" i="3"/>
  <c r="G206" i="3"/>
  <c r="C207" i="3"/>
  <c r="G207" i="3"/>
  <c r="C208" i="3"/>
  <c r="G208" i="3"/>
  <c r="G209" i="3"/>
  <c r="J210" i="3"/>
  <c r="J211" i="3"/>
  <c r="C212" i="3"/>
  <c r="C213" i="3"/>
  <c r="C214" i="3"/>
  <c r="C216" i="3"/>
  <c r="C217" i="3" s="1"/>
  <c r="E216" i="3"/>
  <c r="E224" i="3" s="1"/>
  <c r="D218" i="3"/>
  <c r="B218" i="3" s="1"/>
  <c r="B219" i="3"/>
  <c r="C227" i="3"/>
  <c r="C228" i="3"/>
  <c r="C229" i="3"/>
  <c r="L230" i="3"/>
  <c r="C231" i="3"/>
  <c r="L231" i="3"/>
  <c r="C232" i="3"/>
  <c r="L232" i="3"/>
  <c r="C233" i="3"/>
  <c r="L233" i="3"/>
  <c r="C234" i="3"/>
  <c r="L234" i="3"/>
  <c r="C235" i="3"/>
  <c r="L235" i="3"/>
  <c r="L236" i="3"/>
  <c r="C161" i="3"/>
  <c r="J161" i="3"/>
  <c r="C162" i="3"/>
  <c r="J162" i="3"/>
  <c r="C163" i="3"/>
  <c r="J163" i="3"/>
  <c r="C164" i="3"/>
  <c r="A165" i="3"/>
  <c r="B165" i="3"/>
  <c r="D165" i="3"/>
  <c r="G166" i="3"/>
  <c r="C167" i="3"/>
  <c r="G167" i="3"/>
  <c r="C168" i="3"/>
  <c r="G168" i="3"/>
  <c r="G169" i="3"/>
  <c r="J170" i="3"/>
  <c r="J171" i="3"/>
  <c r="C172" i="3"/>
  <c r="C173" i="3"/>
  <c r="C174" i="3"/>
  <c r="C176" i="3"/>
  <c r="C177" i="3" s="1"/>
  <c r="E176" i="3"/>
  <c r="E184" i="3" s="1"/>
  <c r="D178" i="3"/>
  <c r="B178" i="3" s="1"/>
  <c r="B179" i="3"/>
  <c r="C187" i="3"/>
  <c r="C188" i="3"/>
  <c r="C189" i="3"/>
  <c r="L190" i="3"/>
  <c r="C191" i="3"/>
  <c r="L191" i="3"/>
  <c r="C192" i="3"/>
  <c r="L192" i="3"/>
  <c r="C193" i="3"/>
  <c r="L193" i="3"/>
  <c r="C194" i="3"/>
  <c r="L194" i="3"/>
  <c r="C195" i="3"/>
  <c r="L195" i="3"/>
  <c r="L196" i="3"/>
  <c r="C121" i="3"/>
  <c r="J121" i="3"/>
  <c r="C122" i="3"/>
  <c r="J122" i="3"/>
  <c r="C123" i="3"/>
  <c r="J123" i="3"/>
  <c r="C124" i="3"/>
  <c r="A125" i="3"/>
  <c r="B125" i="3"/>
  <c r="D125" i="3"/>
  <c r="G126" i="3"/>
  <c r="C127" i="3"/>
  <c r="G127" i="3"/>
  <c r="C128" i="3"/>
  <c r="G128" i="3"/>
  <c r="G129" i="3"/>
  <c r="J130" i="3"/>
  <c r="J131" i="3"/>
  <c r="C132" i="3"/>
  <c r="C133" i="3"/>
  <c r="C134" i="3"/>
  <c r="C136" i="3"/>
  <c r="C137" i="3" s="1"/>
  <c r="E136" i="3"/>
  <c r="E144" i="3" s="1"/>
  <c r="D138" i="3"/>
  <c r="B138" i="3" s="1"/>
  <c r="B139" i="3"/>
  <c r="C147" i="3"/>
  <c r="C148" i="3"/>
  <c r="C149" i="3"/>
  <c r="L150" i="3"/>
  <c r="C151" i="3"/>
  <c r="L151" i="3"/>
  <c r="C152" i="3"/>
  <c r="L152" i="3"/>
  <c r="C153" i="3"/>
  <c r="L153" i="3"/>
  <c r="C154" i="3"/>
  <c r="L154" i="3"/>
  <c r="C155" i="3"/>
  <c r="L155" i="3"/>
  <c r="L156" i="3"/>
  <c r="C81" i="3"/>
  <c r="J81" i="3"/>
  <c r="C82" i="3"/>
  <c r="J82" i="3"/>
  <c r="C83" i="3"/>
  <c r="J83" i="3"/>
  <c r="C84" i="3"/>
  <c r="A85" i="3"/>
  <c r="B85" i="3"/>
  <c r="D85" i="3"/>
  <c r="G86" i="3"/>
  <c r="C87" i="3"/>
  <c r="G87" i="3"/>
  <c r="C88" i="3"/>
  <c r="G88" i="3"/>
  <c r="G89" i="3"/>
  <c r="J90" i="3"/>
  <c r="J91" i="3"/>
  <c r="C92" i="3"/>
  <c r="C93" i="3"/>
  <c r="C94" i="3"/>
  <c r="C96" i="3"/>
  <c r="C101" i="3" s="1"/>
  <c r="C100" i="3" s="1"/>
  <c r="E96" i="3"/>
  <c r="D98" i="3"/>
  <c r="B97" i="3" s="1"/>
  <c r="B99" i="3"/>
  <c r="C107" i="3"/>
  <c r="C108" i="3"/>
  <c r="C109" i="3"/>
  <c r="L110" i="3"/>
  <c r="C111" i="3"/>
  <c r="L111" i="3"/>
  <c r="C112" i="3"/>
  <c r="L112" i="3"/>
  <c r="C113" i="3"/>
  <c r="L113" i="3"/>
  <c r="C114" i="3"/>
  <c r="L114" i="3"/>
  <c r="C115" i="3"/>
  <c r="L115" i="3"/>
  <c r="L116" i="3"/>
  <c r="C41" i="3"/>
  <c r="J41" i="3"/>
  <c r="C42" i="3"/>
  <c r="J42" i="3"/>
  <c r="C43" i="3"/>
  <c r="C44" i="3"/>
  <c r="A45" i="3"/>
  <c r="B45" i="3"/>
  <c r="D45" i="3"/>
  <c r="G46" i="3"/>
  <c r="C47" i="3"/>
  <c r="G47" i="3"/>
  <c r="C48" i="3"/>
  <c r="G48" i="3"/>
  <c r="G49" i="3"/>
  <c r="J50" i="3"/>
  <c r="J51" i="3"/>
  <c r="C52" i="3"/>
  <c r="C53" i="3"/>
  <c r="C54" i="3"/>
  <c r="C56" i="3"/>
  <c r="C62" i="3" s="1"/>
  <c r="E56" i="3"/>
  <c r="D58" i="3"/>
  <c r="B58" i="3" s="1"/>
  <c r="B59" i="3"/>
  <c r="C67" i="3"/>
  <c r="C68" i="3"/>
  <c r="C69" i="3"/>
  <c r="L70" i="3"/>
  <c r="C71" i="3"/>
  <c r="L71" i="3"/>
  <c r="C72" i="3"/>
  <c r="L72" i="3"/>
  <c r="C73" i="3"/>
  <c r="L73" i="3"/>
  <c r="C74" i="3"/>
  <c r="L74" i="3"/>
  <c r="C75" i="3"/>
  <c r="L75" i="3"/>
  <c r="L76" i="3"/>
  <c r="B19" i="3"/>
  <c r="C28" i="3"/>
  <c r="J763" i="3" l="1"/>
  <c r="J723" i="3"/>
  <c r="J643" i="3"/>
  <c r="J283" i="3"/>
  <c r="J363" i="3"/>
  <c r="J563" i="3"/>
  <c r="J243" i="3"/>
  <c r="J323" i="3"/>
  <c r="J43" i="3"/>
  <c r="C497" i="3"/>
  <c r="C184" i="3"/>
  <c r="C183" i="3" s="1"/>
  <c r="C417" i="3"/>
  <c r="C419" i="3"/>
  <c r="C739" i="3"/>
  <c r="B417" i="3"/>
  <c r="C504" i="3"/>
  <c r="C503" i="3" s="1"/>
  <c r="C619" i="3"/>
  <c r="C99" i="3"/>
  <c r="C784" i="3"/>
  <c r="C783" i="3" s="1"/>
  <c r="C339" i="3"/>
  <c r="C264" i="3"/>
  <c r="C263" i="3" s="1"/>
  <c r="C457" i="3"/>
  <c r="C59" i="3"/>
  <c r="C584" i="3"/>
  <c r="C583" i="3" s="1"/>
  <c r="B98" i="3"/>
  <c r="C704" i="3"/>
  <c r="C703" i="3" s="1"/>
  <c r="C97" i="3"/>
  <c r="C579" i="3"/>
  <c r="E624" i="3"/>
  <c r="E64" i="3"/>
  <c r="B337" i="3"/>
  <c r="B257" i="3"/>
  <c r="B177" i="3"/>
  <c r="C259" i="3"/>
  <c r="C499" i="3"/>
  <c r="B577" i="3"/>
  <c r="C659" i="3"/>
  <c r="C179" i="3"/>
  <c r="B377" i="3"/>
  <c r="C379" i="3"/>
  <c r="B537" i="3"/>
  <c r="B697" i="3"/>
  <c r="B777" i="3"/>
  <c r="B137" i="3"/>
  <c r="B217" i="3"/>
  <c r="B297" i="3"/>
  <c r="C539" i="3"/>
  <c r="C699" i="3"/>
  <c r="C779" i="3"/>
  <c r="C299" i="3"/>
  <c r="E424" i="3"/>
  <c r="C459" i="3"/>
  <c r="C617" i="3"/>
  <c r="E104" i="3"/>
  <c r="E344" i="3"/>
  <c r="C424" i="3"/>
  <c r="C423" i="3" s="1"/>
  <c r="E584" i="3"/>
  <c r="E744" i="3"/>
  <c r="E664" i="3"/>
  <c r="C104" i="3"/>
  <c r="C103" i="3" s="1"/>
  <c r="C664" i="3"/>
  <c r="C663" i="3" s="1"/>
  <c r="C744" i="3"/>
  <c r="C743" i="3" s="1"/>
  <c r="C304" i="3"/>
  <c r="C303" i="3" s="1"/>
  <c r="C544" i="3"/>
  <c r="C543" i="3" s="1"/>
  <c r="C464" i="3"/>
  <c r="C463" i="3" s="1"/>
  <c r="C657" i="3"/>
  <c r="C737" i="3"/>
  <c r="C624" i="3"/>
  <c r="C623" i="3" s="1"/>
  <c r="C64" i="3"/>
  <c r="C63" i="3" s="1"/>
  <c r="C61" i="3"/>
  <c r="C60" i="3" s="1"/>
  <c r="C57" i="3"/>
  <c r="C782" i="3"/>
  <c r="C781" i="3"/>
  <c r="C780" i="3" s="1"/>
  <c r="B738" i="3"/>
  <c r="C742" i="3"/>
  <c r="E704" i="3"/>
  <c r="C702" i="3"/>
  <c r="C701" i="3"/>
  <c r="C700" i="3" s="1"/>
  <c r="B658" i="3"/>
  <c r="C662" i="3"/>
  <c r="B618" i="3"/>
  <c r="C622" i="3"/>
  <c r="C582" i="3"/>
  <c r="C581" i="3"/>
  <c r="C580" i="3" s="1"/>
  <c r="E544" i="3"/>
  <c r="C542" i="3"/>
  <c r="C541" i="3"/>
  <c r="C540" i="3" s="1"/>
  <c r="B498" i="3"/>
  <c r="E504" i="3"/>
  <c r="C502" i="3"/>
  <c r="B458" i="3"/>
  <c r="C462" i="3"/>
  <c r="C422" i="3"/>
  <c r="E384" i="3"/>
  <c r="C384" i="3"/>
  <c r="C383" i="3" s="1"/>
  <c r="C382" i="3"/>
  <c r="C381" i="3"/>
  <c r="C380" i="3" s="1"/>
  <c r="C342" i="3"/>
  <c r="C341" i="3"/>
  <c r="C340" i="3" s="1"/>
  <c r="C344" i="3"/>
  <c r="C343" i="3" s="1"/>
  <c r="C302" i="3"/>
  <c r="C301" i="3"/>
  <c r="C300" i="3" s="1"/>
  <c r="E264" i="3"/>
  <c r="C262" i="3"/>
  <c r="C261" i="3"/>
  <c r="C260" i="3" s="1"/>
  <c r="C219" i="3"/>
  <c r="C224" i="3"/>
  <c r="C223" i="3" s="1"/>
  <c r="C222" i="3"/>
  <c r="C221" i="3"/>
  <c r="C220" i="3" s="1"/>
  <c r="C182" i="3"/>
  <c r="C181" i="3"/>
  <c r="C180" i="3" s="1"/>
  <c r="C144" i="3"/>
  <c r="C143" i="3" s="1"/>
  <c r="C142" i="3"/>
  <c r="C141" i="3"/>
  <c r="C140" i="3" s="1"/>
  <c r="C139" i="3"/>
  <c r="C102" i="3"/>
  <c r="B57" i="3"/>
  <c r="A5" i="3" l="1"/>
  <c r="C14" i="3"/>
  <c r="C13" i="3"/>
  <c r="C12" i="3"/>
  <c r="J11" i="3"/>
  <c r="J10" i="3"/>
  <c r="G9" i="3"/>
  <c r="G8" i="3"/>
  <c r="G7" i="3"/>
  <c r="C7" i="3"/>
  <c r="G6" i="3"/>
  <c r="C4" i="3"/>
  <c r="C3" i="3"/>
  <c r="C2" i="3"/>
  <c r="J1" i="3"/>
  <c r="C1" i="3"/>
  <c r="C27" i="3"/>
  <c r="D18" i="3"/>
  <c r="B18" i="3" s="1"/>
  <c r="D5" i="3"/>
  <c r="L36" i="3"/>
  <c r="L35" i="3"/>
  <c r="L34" i="3"/>
  <c r="L33" i="3"/>
  <c r="L32" i="3"/>
  <c r="L31" i="3"/>
  <c r="L30" i="3"/>
  <c r="C35" i="3"/>
  <c r="C34" i="3"/>
  <c r="C33" i="3"/>
  <c r="C32" i="3"/>
  <c r="C31" i="3"/>
  <c r="B5" i="3"/>
  <c r="E16" i="3"/>
  <c r="C16" i="3"/>
  <c r="C21" i="3" s="1"/>
  <c r="C8" i="3"/>
  <c r="E24" i="3" l="1"/>
  <c r="B17" i="3"/>
  <c r="C19" i="3" s="1"/>
  <c r="C24" i="3"/>
  <c r="C23" i="3" s="1"/>
  <c r="C17" i="3"/>
  <c r="C20" i="3"/>
  <c r="C22" i="3"/>
</calcChain>
</file>

<file path=xl/sharedStrings.xml><?xml version="1.0" encoding="utf-8"?>
<sst xmlns="http://schemas.openxmlformats.org/spreadsheetml/2006/main" count="3842" uniqueCount="458">
  <si>
    <t>Project Name</t>
  </si>
  <si>
    <t>Contact Name</t>
  </si>
  <si>
    <t>Contact Number</t>
  </si>
  <si>
    <t>Quote REF</t>
  </si>
  <si>
    <t>Customer</t>
  </si>
  <si>
    <t xml:space="preserve">Type </t>
  </si>
  <si>
    <t xml:space="preserve">Date Issued </t>
  </si>
  <si>
    <t xml:space="preserve">Required by </t>
  </si>
  <si>
    <t>Special 1</t>
  </si>
  <si>
    <t>Special 2</t>
  </si>
  <si>
    <t>Special 3</t>
  </si>
  <si>
    <t>Curtain 1</t>
  </si>
  <si>
    <t>Curtain 2</t>
  </si>
  <si>
    <t>Curtain 3</t>
  </si>
  <si>
    <t>Curtain 4</t>
  </si>
  <si>
    <t>Curtain 5</t>
  </si>
  <si>
    <t>Curtain 6</t>
  </si>
  <si>
    <t>Curtain 7</t>
  </si>
  <si>
    <t>Curtain 8</t>
  </si>
  <si>
    <t>Curtain 9</t>
  </si>
  <si>
    <t>Curtain 10</t>
  </si>
  <si>
    <t>Curtain 11</t>
  </si>
  <si>
    <t>Curtain 12</t>
  </si>
  <si>
    <t>Curtain 13</t>
  </si>
  <si>
    <t>Curtain 14</t>
  </si>
  <si>
    <t>Curtain 15</t>
  </si>
  <si>
    <t>Curtain 16</t>
  </si>
  <si>
    <t>Curtain 17</t>
  </si>
  <si>
    <t>Curtain 18</t>
  </si>
  <si>
    <t>Curtain 19</t>
  </si>
  <si>
    <t>Curtain 20</t>
  </si>
  <si>
    <t>Single</t>
  </si>
  <si>
    <t>Multi</t>
  </si>
  <si>
    <t xml:space="preserve"> </t>
  </si>
  <si>
    <t>Location / REF</t>
  </si>
  <si>
    <t>EN1634-1 / EN12101</t>
  </si>
  <si>
    <t>TYPE A</t>
  </si>
  <si>
    <t>TYPE B</t>
  </si>
  <si>
    <t>TYPE C</t>
  </si>
  <si>
    <t>TYPE D</t>
  </si>
  <si>
    <t xml:space="preserve">Fabric Type </t>
  </si>
  <si>
    <t xml:space="preserve">Fixing Type </t>
  </si>
  <si>
    <t>Width</t>
  </si>
  <si>
    <t>Height</t>
  </si>
  <si>
    <t>Width (mm)</t>
  </si>
  <si>
    <t>Height (mm)</t>
  </si>
  <si>
    <t>Side Guides + 8mm</t>
  </si>
  <si>
    <t xml:space="preserve">Bottom Rail </t>
  </si>
  <si>
    <t>Square</t>
  </si>
  <si>
    <t>End Plate           (10mm Lead In</t>
  </si>
  <si>
    <t xml:space="preserve">Control Panel </t>
  </si>
  <si>
    <t>CSV x1</t>
  </si>
  <si>
    <t>CSV x2</t>
  </si>
  <si>
    <t xml:space="preserve">5.5m to 11m </t>
  </si>
  <si>
    <t>up to 5.5m</t>
  </si>
  <si>
    <t>12m to 17</t>
  </si>
  <si>
    <t>17m  to 22.5</t>
  </si>
  <si>
    <t>22.5 to 28m</t>
  </si>
  <si>
    <t>up to 30m</t>
  </si>
  <si>
    <t xml:space="preserve">No. Of Panels </t>
  </si>
  <si>
    <t>Bottom Rail Flat Strip</t>
  </si>
  <si>
    <t xml:space="preserve">Barrel Flat Strip </t>
  </si>
  <si>
    <t>Motor Side</t>
  </si>
  <si>
    <t>Barrel - 101mm        No. Of Barrel = No of Panels</t>
  </si>
  <si>
    <t xml:space="preserve">RAL Colour </t>
  </si>
  <si>
    <t>Top Box</t>
  </si>
  <si>
    <t>End Plate</t>
  </si>
  <si>
    <t xml:space="preserve">Side Guides  </t>
  </si>
  <si>
    <t xml:space="preserve">Landing Plate </t>
  </si>
  <si>
    <t>Date Issued</t>
  </si>
  <si>
    <t>Client's Name</t>
  </si>
  <si>
    <t>Order Ref no.</t>
  </si>
  <si>
    <t>Address :</t>
  </si>
  <si>
    <t>Curtain</t>
  </si>
  <si>
    <t>Supply only / Install</t>
  </si>
  <si>
    <t>Face Fit / In Fit</t>
  </si>
  <si>
    <t>Number of Curtain</t>
  </si>
  <si>
    <t>Contact Name :</t>
  </si>
  <si>
    <t>Contact Number :</t>
  </si>
  <si>
    <t>Special</t>
  </si>
  <si>
    <t>Size (All Dim is mm)</t>
  </si>
  <si>
    <t>Overall Size</t>
  </si>
  <si>
    <t>x</t>
  </si>
  <si>
    <t>Headbox</t>
  </si>
  <si>
    <t>10mm Headbox throat</t>
  </si>
  <si>
    <t>Endplate</t>
  </si>
  <si>
    <t>Sideguides</t>
  </si>
  <si>
    <t>Top Flat Bar</t>
  </si>
  <si>
    <t>16mm</t>
  </si>
  <si>
    <t>180mm shorter than Headbox</t>
  </si>
  <si>
    <t>Barrel</t>
  </si>
  <si>
    <t>Bottom Rail Cover 2mm</t>
  </si>
  <si>
    <t>Rail Fitted by :</t>
  </si>
  <si>
    <t>Lot Number</t>
  </si>
  <si>
    <t>Hung by :</t>
  </si>
  <si>
    <t>Weight curtain + B/R</t>
  </si>
  <si>
    <t>+</t>
  </si>
  <si>
    <t>=</t>
  </si>
  <si>
    <t>mm</t>
  </si>
  <si>
    <t>Motor</t>
  </si>
  <si>
    <t>Ref no.</t>
  </si>
  <si>
    <t>Control Panel</t>
  </si>
  <si>
    <t>Keyed alike Key Switch</t>
  </si>
  <si>
    <t>Emergency Retract Button</t>
  </si>
  <si>
    <t>Endplate + Bracket</t>
  </si>
  <si>
    <t>Battery &amp; Main Monitor</t>
  </si>
  <si>
    <t xml:space="preserve">Sideguides </t>
  </si>
  <si>
    <t>Beam Sensor</t>
  </si>
  <si>
    <t>Bottom Rail</t>
  </si>
  <si>
    <t>Audio Visual Sensor</t>
  </si>
  <si>
    <t>Landing Plate</t>
  </si>
  <si>
    <t>Timer Relay</t>
  </si>
  <si>
    <t>Additional Parts</t>
  </si>
  <si>
    <t>Delay / Split Drop</t>
  </si>
  <si>
    <t>Endplate Guide Bracket</t>
  </si>
  <si>
    <t>Required</t>
  </si>
  <si>
    <t>Top Box Support Bracket (approx.600mm each)</t>
  </si>
  <si>
    <t>Top Box Support Bracket (400mm from edge)</t>
  </si>
  <si>
    <t>QUALITY CONTROL CHECK</t>
  </si>
  <si>
    <t>Date</t>
  </si>
  <si>
    <r>
      <rPr>
        <b/>
        <sz val="12"/>
        <color rgb="FFC00000"/>
        <rFont val="Aptos Narrow"/>
        <family val="2"/>
        <scheme val="minor"/>
      </rPr>
      <t>180mm</t>
    </r>
    <r>
      <rPr>
        <sz val="12"/>
        <rFont val="Aptos Narrow"/>
        <family val="2"/>
        <scheme val="minor"/>
      </rPr>
      <t xml:space="preserve"> shorter than Headbox</t>
    </r>
  </si>
  <si>
    <t xml:space="preserve">Total No. Systems </t>
  </si>
  <si>
    <t>EN1634-1</t>
  </si>
  <si>
    <t>N/A</t>
  </si>
  <si>
    <t>Standard</t>
  </si>
  <si>
    <t>20x3mm</t>
  </si>
  <si>
    <t>16 x 3mm</t>
  </si>
  <si>
    <t>No. Key Switch</t>
  </si>
  <si>
    <t>No. Beam Sensor</t>
  </si>
  <si>
    <t>No. Audio Viz</t>
  </si>
  <si>
    <t>No. Timer Relay</t>
  </si>
  <si>
    <t>Delay / Split  Drop</t>
  </si>
  <si>
    <t>No. ERB's</t>
  </si>
  <si>
    <t>Bat. &amp; Main Monitor</t>
  </si>
  <si>
    <t>RAL 9010</t>
  </si>
  <si>
    <t>Bottom Bar Flat Strip</t>
  </si>
  <si>
    <t>With Tabs</t>
  </si>
  <si>
    <t>RAL Colour ALL STEEL</t>
  </si>
  <si>
    <t xml:space="preserve">Fire or Smoke </t>
  </si>
  <si>
    <t>Right</t>
  </si>
  <si>
    <r>
      <t xml:space="preserve">Material length       </t>
    </r>
    <r>
      <rPr>
        <b/>
        <sz val="12"/>
        <color rgb="FFC00000"/>
        <rFont val="Aptos Narrow"/>
        <family val="2"/>
        <scheme val="minor"/>
      </rPr>
      <t>+</t>
    </r>
  </si>
  <si>
    <t>Material length       +</t>
  </si>
  <si>
    <t>Page 1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</si>
  <si>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</si>
  <si>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</si>
  <si>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</si>
  <si>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</si>
  <si>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</si>
  <si>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</si>
  <si>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</si>
  <si>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</si>
  <si>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</si>
  <si>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</si>
  <si>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</si>
  <si>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</si>
  <si>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</si>
  <si>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</si>
  <si>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Page 16</t>
  </si>
  <si>
    <t>Page 17</t>
  </si>
  <si>
    <t>Page 18</t>
  </si>
  <si>
    <t>Page 19</t>
  </si>
  <si>
    <t>Page 20</t>
  </si>
  <si>
    <t>CSV x 1</t>
  </si>
  <si>
    <t>CSV x 2</t>
  </si>
  <si>
    <t>CSV x 3</t>
  </si>
  <si>
    <t>CSV x 4</t>
  </si>
  <si>
    <t>CSV x 5</t>
  </si>
  <si>
    <t>CSV x 6</t>
  </si>
  <si>
    <t>Left</t>
  </si>
  <si>
    <t>Bottom Rail Cover</t>
  </si>
  <si>
    <t>16mm x 3mm</t>
  </si>
  <si>
    <t>Bottom Bar Flat Strip x 25mm</t>
  </si>
  <si>
    <t>Weight rule table</t>
  </si>
  <si>
    <t>Item</t>
  </si>
  <si>
    <t>Weight rule to use</t>
  </si>
  <si>
    <t>10 kg per metre</t>
  </si>
  <si>
    <t>10.4 kg per metre</t>
  </si>
  <si>
    <t>12.4 kg per metre</t>
  </si>
  <si>
    <t>Side guides 100mm pair</t>
  </si>
  <si>
    <t>12.1 kg per metre height</t>
  </si>
  <si>
    <t>Side guides 70mm pair</t>
  </si>
  <si>
    <t>10.3 kg per metre height</t>
  </si>
  <si>
    <t>Barrel Ø100</t>
  </si>
  <si>
    <t>6 kg per metre width</t>
  </si>
  <si>
    <t>Curtain fabric FS240</t>
  </si>
  <si>
    <t>0.75 kg per m²</t>
  </si>
  <si>
    <t>Curtain fabric FS Plus</t>
  </si>
  <si>
    <t>2.7 kg per m²</t>
  </si>
  <si>
    <t>Bottom rail</t>
  </si>
  <si>
    <t>5 kg per metre width</t>
  </si>
  <si>
    <t>CSV small motor</t>
  </si>
  <si>
    <t>2.5 kg each</t>
  </si>
  <si>
    <t>CSV large motor</t>
  </si>
  <si>
    <t>8 kg each</t>
  </si>
  <si>
    <t>CSV XL motor</t>
  </si>
  <si>
    <t>9 kg each</t>
  </si>
  <si>
    <t>Control panel</t>
  </si>
  <si>
    <t>6 kg each</t>
  </si>
  <si>
    <t>Key switch</t>
  </si>
  <si>
    <t>0.3 kg each</t>
  </si>
  <si>
    <t>Emergency retract button / ERB</t>
  </si>
  <si>
    <t>0.1 kg each</t>
  </si>
  <si>
    <t>Battery &amp; mains monitor</t>
  </si>
  <si>
    <t>0.5 kg each</t>
  </si>
  <si>
    <t>Beam sensor kit</t>
  </si>
  <si>
    <t>0.4 kg each</t>
  </si>
  <si>
    <t>Audio visual</t>
  </si>
  <si>
    <t>Timer relay kit</t>
  </si>
  <si>
    <t>old sheet has no weight — use 0.2 kg if you want to allow for it</t>
  </si>
  <si>
    <t>Delay / split drop</t>
  </si>
  <si>
    <t>usually programming/control logic, so 0 kg, unless a separate kit is supplied</t>
  </si>
  <si>
    <t>Single endplate pair</t>
  </si>
  <si>
    <t>2 kg per pair</t>
  </si>
  <si>
    <t>Multi endplate pair</t>
  </si>
  <si>
    <t>4 kg per pair</t>
  </si>
  <si>
    <t>Packing / pallet allowance</t>
  </si>
  <si>
    <t>add 10% or add pallet separately, normally 20 kg</t>
  </si>
  <si>
    <t>Kgs/m</t>
  </si>
  <si>
    <t>Component</t>
  </si>
  <si>
    <t>Headbox Length</t>
  </si>
  <si>
    <t>Same as Overall Width</t>
  </si>
  <si>
    <t>Endplate Size (from input)</t>
  </si>
  <si>
    <t>180mm shorter than Overall Width</t>
  </si>
  <si>
    <t>Fabric Width</t>
  </si>
  <si>
    <t>100mm shorter than Headbox</t>
  </si>
  <si>
    <t>Fabric Height</t>
  </si>
  <si>
    <t>Overall Width - 230mm</t>
  </si>
  <si>
    <t>Overall Height  minus Endplate Size plus 10</t>
  </si>
  <si>
    <t>Overall Height plus 300</t>
  </si>
  <si>
    <r>
      <t xml:space="preserve">Note : </t>
    </r>
    <r>
      <rPr>
        <b/>
        <sz val="12"/>
        <color rgb="FFC00000"/>
        <rFont val="Aptos Narrow"/>
        <family val="2"/>
        <scheme val="minor"/>
      </rPr>
      <t>MULTIPLE BARREL</t>
    </r>
  </si>
  <si>
    <r>
      <t xml:space="preserve">Note: </t>
    </r>
    <r>
      <rPr>
        <b/>
        <sz val="12"/>
        <color rgb="FFC00000"/>
        <rFont val="Aptos Narrow"/>
        <family val="2"/>
        <scheme val="minor"/>
      </rPr>
      <t>SINGLE BARREL</t>
    </r>
  </si>
  <si>
    <t>Your Rule - Double Barrel</t>
  </si>
  <si>
    <t>Your Rule - Single Barrel</t>
  </si>
  <si>
    <t>(200mm x 400)</t>
  </si>
  <si>
    <t>End Plates Double Barrel</t>
  </si>
  <si>
    <t xml:space="preserve">180 x 360 </t>
  </si>
  <si>
    <t>200 x 400</t>
  </si>
  <si>
    <t xml:space="preserve">End Plates Single Barrel </t>
  </si>
  <si>
    <t>160 x 160</t>
  </si>
  <si>
    <t>180 x 180</t>
  </si>
  <si>
    <t>200 x 200</t>
  </si>
  <si>
    <t>225 x 225</t>
  </si>
  <si>
    <t xml:space="preserve">Overlap </t>
  </si>
  <si>
    <t>Barrel Double</t>
  </si>
  <si>
    <t xml:space="preserve"> For each Barrel deduct 180mm </t>
  </si>
  <si>
    <t>300/ 600/ 1000 = 600 +1200 +2000</t>
  </si>
  <si>
    <t xml:space="preserve">Motor Postions </t>
  </si>
  <si>
    <t>Double Barrel / Under-Over Barrel Formula Sheet</t>
  </si>
  <si>
    <t>Input</t>
  </si>
  <si>
    <t>Cell</t>
  </si>
  <si>
    <t>Value</t>
  </si>
  <si>
    <t>Unit</t>
  </si>
  <si>
    <t>Notes</t>
  </si>
  <si>
    <t>Overall Width</t>
  </si>
  <si>
    <t>B3</t>
  </si>
  <si>
    <t>Change this to your system width</t>
  </si>
  <si>
    <t>Overall Height</t>
  </si>
  <si>
    <t>B4</t>
  </si>
  <si>
    <t>Change this to your system height</t>
  </si>
  <si>
    <t>Number of Barrels</t>
  </si>
  <si>
    <t>B5</t>
  </si>
  <si>
    <t>No.</t>
  </si>
  <si>
    <t>Double barrel</t>
  </si>
  <si>
    <t>Fabric Side Deduction</t>
  </si>
  <si>
    <t>B6</t>
  </si>
  <si>
    <t>50mm each side = 100mm total</t>
  </si>
  <si>
    <t>Barrel / Flat Bar Deduction Each</t>
  </si>
  <si>
    <t>B7</t>
  </si>
  <si>
    <t>Each barrel / top flat bar is 180mm shorter</t>
  </si>
  <si>
    <t>Material Height Add-On</t>
  </si>
  <si>
    <t>B8</t>
  </si>
  <si>
    <t>Curtain material length add-on</t>
  </si>
  <si>
    <t>Side Guide Height Deduction</t>
  </si>
  <si>
    <t>B9</t>
  </si>
  <si>
    <t>Bottom Rail Cover Deduction</t>
  </si>
  <si>
    <t>B10</t>
  </si>
  <si>
    <t>Overall width - 230</t>
  </si>
  <si>
    <t>Bottom Bar Tongue Total</t>
  </si>
  <si>
    <t>B11</t>
  </si>
  <si>
    <t>88mm each side</t>
  </si>
  <si>
    <t>Overlap</t>
  </si>
  <si>
    <t>Curtain Width Each</t>
  </si>
  <si>
    <t>Curtain Height</t>
  </si>
  <si>
    <t>Curtain Size</t>
  </si>
  <si>
    <t>Barrel Each</t>
  </si>
  <si>
    <t>Top Flat Bar Each</t>
  </si>
  <si>
    <t>Copy/Paste Formula Reference</t>
  </si>
  <si>
    <t>Excel Formula</t>
  </si>
  <si>
    <t>What it does</t>
  </si>
  <si>
    <t>=((OverallWidth-100)/2)+Overlap</t>
  </si>
  <si>
    <t>Uses fabric sitting 50mm into each side guide</t>
  </si>
  <si>
    <t>=OverallHeight+300</t>
  </si>
  <si>
    <t>Material length / curtain drop allowance</t>
  </si>
  <si>
    <t>=(OverallWidth+(2*Overlap)-(2*180))/2</t>
  </si>
  <si>
    <t>Overlap added to both barrels, then 180mm deducted from each barrel</t>
  </si>
  <si>
    <t>Same as barrel</t>
  </si>
  <si>
    <t>=OverallWidth-230</t>
  </si>
  <si>
    <t>Does not change with overlap</t>
  </si>
  <si>
    <t>=(OverallWidth-230)+176</t>
  </si>
  <si>
    <t>Important notes</t>
  </si>
  <si>
    <t>Curtain formula uses W - 100 because fabric sits 50mm into each side guide.</t>
  </si>
  <si>
    <t>Barrel / top flat bar formula deducts 180mm per barrel, so 2 barrels = 360mm total deduction.</t>
  </si>
  <si>
    <t>Change the input values in C3:C11 or Production Sheet B2:B11 and formulas update automatically.</t>
  </si>
  <si>
    <t>drop dw</t>
  </si>
  <si>
    <t>Headbox 180 x 180</t>
  </si>
  <si>
    <t>Headbox 200 x  200</t>
  </si>
  <si>
    <t>Headbox 200 x 400</t>
  </si>
  <si>
    <t>New IFS SPEC Sheet 04/07/2026 V1</t>
  </si>
  <si>
    <t>OverLap Per Barrel</t>
  </si>
  <si>
    <t xml:space="preserve">O/H - HB Height + 10mm  </t>
  </si>
  <si>
    <t>Date:</t>
  </si>
  <si>
    <t>Checked By:</t>
  </si>
  <si>
    <t xml:space="preserve">Height </t>
  </si>
  <si>
    <t>Same as Overall Height</t>
  </si>
  <si>
    <t>Address</t>
  </si>
  <si>
    <t>Client / Project Name:</t>
  </si>
  <si>
    <t>Quality Control Checks against Cutting Sheet:</t>
  </si>
  <si>
    <t>Check alignments with hole punch slots, check brackets are correctly positioned, check exact sizes match the cutting sheets.</t>
  </si>
  <si>
    <t>Remedial action</t>
  </si>
  <si>
    <t>Signed / Name</t>
  </si>
  <si>
    <t>Yes</t>
  </si>
  <si>
    <t>No</t>
  </si>
  <si>
    <t>Headbox:</t>
  </si>
  <si>
    <t>Back</t>
  </si>
  <si>
    <t>Front</t>
  </si>
  <si>
    <t>Headbox sizes</t>
  </si>
  <si>
    <t>End Plates:</t>
  </si>
  <si>
    <t>Motor end</t>
  </si>
  <si>
    <t>Dummy end</t>
  </si>
  <si>
    <t>End plate Sizes</t>
  </si>
  <si>
    <t>Side Guides:</t>
  </si>
  <si>
    <t>Bell</t>
  </si>
  <si>
    <t>T Section with Cover</t>
  </si>
  <si>
    <t>Strengthening brackets every 2000mm centres</t>
  </si>
  <si>
    <t>70mm</t>
  </si>
  <si>
    <t>100mm</t>
  </si>
  <si>
    <t>In Guide</t>
  </si>
  <si>
    <t>Down stand Bracket</t>
  </si>
  <si>
    <t>Quality Control Form Steel - Fabrication</t>
  </si>
  <si>
    <t>Project Order / Quote Ref:</t>
  </si>
  <si>
    <t>Start Date:</t>
  </si>
  <si>
    <t>No. of Systems:</t>
  </si>
  <si>
    <t>Component Type</t>
  </si>
  <si>
    <t>Quality OK (tick)</t>
  </si>
  <si>
    <t>Bottom Rails:</t>
  </si>
  <si>
    <t>Barrel:</t>
  </si>
  <si>
    <t>Joining Brackets</t>
  </si>
  <si>
    <t>Switch Bracket Type:</t>
  </si>
  <si>
    <t>Dummy Ends</t>
  </si>
  <si>
    <t>Quality Control Form - Sewing Room</t>
  </si>
  <si>
    <t>Order / Quote Ref:</t>
  </si>
  <si>
    <t>Quality Control Checks against Cutting Sheet: Manufactured to accurate sizes as per cutting list, fabric quality checking.</t>
  </si>
  <si>
    <t>Quantity</t>
  </si>
  <si>
    <t>Quality OK?</t>
  </si>
  <si>
    <t>Signed</t>
  </si>
  <si>
    <t>Material Type: (Circle)</t>
  </si>
  <si>
    <t>Fabric Defects</t>
  </si>
  <si>
    <t>Tabs Added</t>
  </si>
  <si>
    <t>Spacings for 100mm barrel or 70mm?</t>
  </si>
  <si>
    <t>Sewing of each panel in alignment</t>
  </si>
  <si>
    <t>Satisfied with quality of Stitching?</t>
  </si>
  <si>
    <t>Quality Control Form – Control Panels</t>
  </si>
  <si>
    <t>Operation</t>
  </si>
  <si>
    <t>No. Of</t>
  </si>
  <si>
    <t>Panel Type with key switch:</t>
  </si>
  <si>
    <t>Charging Time / Charger Check?</t>
  </si>
  <si>
    <t>Endplates in Box:</t>
  </si>
  <si>
    <t>Size:</t>
  </si>
  <si>
    <t>End Plate checked: (Circle)</t>
  </si>
  <si>
    <t>Dummy End - Left or Right</t>
  </si>
  <si>
    <t>Motor End - Left or Right</t>
  </si>
  <si>
    <t>Control Panel Checked on test rig</t>
  </si>
  <si>
    <t>No. of cycles?</t>
  </si>
  <si>
    <t>Panel discounted before packing?</t>
  </si>
  <si>
    <t>Correct Manuals in Box</t>
  </si>
  <si>
    <t>Knitter Switch</t>
  </si>
  <si>
    <t>Holder and 2nr Bracket per system</t>
  </si>
  <si>
    <t>Correct Steel Plate added to front of Panel?</t>
  </si>
  <si>
    <t>CE UKCA – UK Only</t>
  </si>
  <si>
    <t>CE – Europe</t>
  </si>
  <si>
    <t>UKNI – Northern Ireland</t>
  </si>
  <si>
    <t>Optional Extras added:</t>
  </si>
  <si>
    <t>ERB</t>
  </si>
  <si>
    <t>Audio Viz</t>
  </si>
  <si>
    <t>Timer relay</t>
  </si>
  <si>
    <t>Delay Split drop</t>
  </si>
  <si>
    <t>Labels on Front of Panel: 3nr</t>
  </si>
  <si>
    <t>1 - Warning: 240V</t>
  </si>
  <si>
    <t>2 - Warning: This Barrier must not be used for access/egress?</t>
  </si>
  <si>
    <t>3 - Isolator Switch Label</t>
  </si>
  <si>
    <t>All Packed in Box Checked by?</t>
  </si>
  <si>
    <t>Quality Control Form – Hanging and Testing</t>
  </si>
  <si>
    <t>Operators</t>
  </si>
  <si>
    <t>Flat Strip Secured pop riveted in place with curtain into barrel?</t>
  </si>
  <si>
    <t>Bottom rail is attached and level?</t>
  </si>
  <si>
    <t>Tested Motor with the Test Panel?</t>
  </si>
  <si>
    <t>Alignment Checked?</t>
  </si>
  <si>
    <t>If double barrel curtains wrapped with additional flat bar?</t>
  </si>
  <si>
    <t>Warning Label added onto Bottom Rail?</t>
  </si>
  <si>
    <t>WARNING CRUSH OF INCAPACITATED PERSONS UNDER BARRIER</t>
  </si>
  <si>
    <t>Other Notes:</t>
  </si>
  <si>
    <t>Quality Control Form – Packing and Dispatch</t>
  </si>
  <si>
    <t>No. of</t>
  </si>
  <si>
    <t>Number of Curtains?</t>
  </si>
  <si>
    <t>Check strengthening brackets are correctly in place every 200mm centres</t>
  </si>
  <si>
    <t>Barrel &amp; Curtains checked; curtains wrapped with bottom bar?</t>
  </si>
  <si>
    <t>If double barrels curtains wrapped with additional flat bar?</t>
  </si>
  <si>
    <t>Bottom rail/s separate?</t>
  </si>
  <si>
    <t>Side Guides Checked</t>
  </si>
  <si>
    <t>Left- and Right-hand Pair?</t>
  </si>
  <si>
    <t>Brush Seals Added into headbox and side guides? secure?</t>
  </si>
  <si>
    <t>Square bottom bar stoppers packed?</t>
  </si>
  <si>
    <t>Control Panel Box:</t>
  </si>
  <si>
    <t>Panel no. off?</t>
  </si>
  <si>
    <t>System Manual in box?</t>
  </si>
  <si>
    <t>1 Pair of end plates left and right checked?</t>
  </si>
  <si>
    <t>Holder and 2nr Bracket per system - Boxed?</t>
  </si>
  <si>
    <t>Optional Extras added: in box?</t>
  </si>
  <si>
    <t>Copy of job description in box?</t>
  </si>
  <si>
    <t>Quality Control Form – Installation Department</t>
  </si>
  <si>
    <t>Installation team:</t>
  </si>
  <si>
    <t>Remedial action: Return to SFCL to Check QC</t>
  </si>
  <si>
    <t>Number of Curtains</t>
  </si>
  <si>
    <t>Square bottom / bar stoppers packed?</t>
  </si>
  <si>
    <t>Control Panel No.</t>
  </si>
  <si>
    <t>1 Pair of end plates left and right</t>
  </si>
  <si>
    <t>Production Check:</t>
  </si>
  <si>
    <t>Report of returned goods:</t>
  </si>
  <si>
    <t>Checked by:</t>
  </si>
  <si>
    <t>Beam Sensor ( KiT)</t>
  </si>
  <si>
    <t xml:space="preserve">Checked By: </t>
  </si>
  <si>
    <t xml:space="preserve">Name: </t>
  </si>
  <si>
    <t xml:space="preserve">Date : </t>
  </si>
  <si>
    <t>IFS - PRODUCTION CHECK DEFECTS NOTES:</t>
  </si>
  <si>
    <t xml:space="preserve">Outcome: </t>
  </si>
  <si>
    <t>IFS-QCF-V1-05/07/2026</t>
  </si>
  <si>
    <t xml:space="preserve">SmokeSafe Only </t>
  </si>
  <si>
    <t xml:space="preserve">FireSafe 120 </t>
  </si>
  <si>
    <t xml:space="preserve">FireSafe 240 </t>
  </si>
  <si>
    <t>FireSafe Plus Only</t>
  </si>
  <si>
    <t>180 x 360</t>
  </si>
  <si>
    <t xml:space="preserve">SmokeSafe </t>
  </si>
  <si>
    <t>BS8524-1</t>
  </si>
  <si>
    <t>DROP DOWN LIST</t>
  </si>
  <si>
    <t>Select</t>
  </si>
  <si>
    <t>Motor (S or L)</t>
  </si>
  <si>
    <t>Ready</t>
  </si>
  <si>
    <t>Dunker (L)</t>
  </si>
  <si>
    <t>EN1634-2</t>
  </si>
  <si>
    <t>EN1634-3</t>
  </si>
  <si>
    <t>EN1634-4</t>
  </si>
  <si>
    <t>EN1634-5</t>
  </si>
  <si>
    <t>Fire Curtain</t>
  </si>
  <si>
    <t>In Fit</t>
  </si>
  <si>
    <t>Face Fit</t>
  </si>
  <si>
    <t>Fabric and Barrel overlap</t>
  </si>
  <si>
    <t xml:space="preserve">No. of Motors </t>
  </si>
  <si>
    <t xml:space="preserve">Width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</si>
</sst>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48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39997558519241921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78">
    <xf numFmtId="0" fontId="0" fillId="0" borderId="0" xfId="0"/>
    <xf numFmtId="0" fontId="0" fillId="0" borderId="5" xfId="0" applyBorder="1" applyAlignment="1">
      <alignment horizontal="center" vertic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0" borderId="0" xfId="0" applyFont="1"/>
    <xf numFmtId="0" fontId="0" fillId="8" borderId="0" xfId="0" applyFill="1"/>
    <xf numFmtId="0" fontId="2" fillId="0" borderId="5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11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2" fillId="11" borderId="5" xfId="0" applyFont="1" applyFill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2" fillId="12" borderId="5" xfId="0" applyFont="1" applyFill="1" applyBorder="1"/>
    <xf numFmtId="0" fontId="2" fillId="13" borderId="5" xfId="0" applyFont="1" applyFill="1" applyBorder="1"/>
    <xf numFmtId="0" fontId="2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6" fillId="0" borderId="15" xfId="0" applyFont="1" applyBorder="1" applyAlignment="1">
      <alignment vertical="center"/>
    </xf>
    <xf numFmtId="0" fontId="4" fillId="15" borderId="28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6" fillId="0" borderId="9" xfId="0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4" fillId="15" borderId="6" xfId="0" applyFont="1" applyFill="1" applyBorder="1" applyAlignment="1">
      <alignment vertical="center"/>
    </xf>
    <xf numFmtId="0" fontId="4" fillId="15" borderId="51" xfId="0" applyFont="1" applyFill="1" applyBorder="1" applyAlignment="1">
      <alignment vertical="center"/>
    </xf>
    <xf numFmtId="0" fontId="8" fillId="0" borderId="52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4" fillId="15" borderId="56" xfId="0" applyFont="1" applyFill="1" applyBorder="1" applyAlignment="1">
      <alignment vertical="center"/>
    </xf>
    <xf numFmtId="0" fontId="8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4" fillId="15" borderId="57" xfId="0" applyFont="1" applyFill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6" fillId="0" borderId="37" xfId="0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6" fillId="0" borderId="26" xfId="0" applyFont="1" applyBorder="1" applyAlignment="1">
      <alignment horizontal="right" vertical="center"/>
    </xf>
    <xf numFmtId="0" fontId="6" fillId="0" borderId="2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3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4" fillId="15" borderId="19" xfId="0" applyFont="1" applyFill="1" applyBorder="1" applyAlignment="1">
      <alignment horizontal="center" vertical="center"/>
    </xf>
    <xf numFmtId="0" fontId="0" fillId="0" borderId="20" xfId="0" applyBorder="1"/>
    <xf numFmtId="0" fontId="6" fillId="0" borderId="8" xfId="0" applyFont="1" applyBorder="1" applyAlignment="1">
      <alignment horizontal="center" vertical="center"/>
    </xf>
    <xf numFmtId="0" fontId="4" fillId="15" borderId="19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10" borderId="72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/>
    </xf>
    <xf numFmtId="0" fontId="6" fillId="0" borderId="6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14" fillId="18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18" borderId="0" xfId="0" applyFont="1" applyFill="1" applyAlignment="1">
      <alignment horizontal="center" vertical="center"/>
    </xf>
    <xf numFmtId="0" fontId="2" fillId="19" borderId="21" xfId="0" applyFont="1" applyFill="1" applyBorder="1"/>
    <xf numFmtId="0" fontId="2" fillId="19" borderId="39" xfId="0" applyFont="1" applyFill="1" applyBorder="1"/>
    <xf numFmtId="0" fontId="0" fillId="20" borderId="69" xfId="0" applyFill="1" applyBorder="1"/>
    <xf numFmtId="0" fontId="0" fillId="20" borderId="70" xfId="0" applyFill="1" applyBorder="1"/>
    <xf numFmtId="0" fontId="0" fillId="20" borderId="57" xfId="0" applyFill="1" applyBorder="1"/>
    <xf numFmtId="0" fontId="0" fillId="20" borderId="79" xfId="0" applyFill="1" applyBorder="1"/>
    <xf numFmtId="0" fontId="2" fillId="11" borderId="1" xfId="0" applyFont="1" applyFill="1" applyBorder="1"/>
    <xf numFmtId="0" fontId="0" fillId="11" borderId="76" xfId="0" applyFill="1" applyBorder="1"/>
    <xf numFmtId="0" fontId="2" fillId="11" borderId="3" xfId="0" applyFont="1" applyFill="1" applyBorder="1"/>
    <xf numFmtId="0" fontId="0" fillId="11" borderId="77" xfId="0" applyFill="1" applyBorder="1"/>
    <xf numFmtId="0" fontId="2" fillId="11" borderId="36" xfId="0" applyFont="1" applyFill="1" applyBorder="1"/>
    <xf numFmtId="0" fontId="0" fillId="11" borderId="78" xfId="0" applyFill="1" applyBorder="1"/>
    <xf numFmtId="0" fontId="0" fillId="11" borderId="1" xfId="0" applyFill="1" applyBorder="1"/>
    <xf numFmtId="0" fontId="2" fillId="11" borderId="27" xfId="0" applyFont="1" applyFill="1" applyBorder="1"/>
    <xf numFmtId="0" fontId="2" fillId="21" borderId="72" xfId="0" applyFont="1" applyFill="1" applyBorder="1"/>
    <xf numFmtId="0" fontId="0" fillId="21" borderId="73" xfId="0" applyFill="1" applyBorder="1"/>
    <xf numFmtId="0" fontId="0" fillId="21" borderId="74" xfId="0" applyFill="1" applyBorder="1"/>
    <xf numFmtId="0" fontId="0" fillId="21" borderId="75" xfId="0" applyFill="1" applyBorder="1"/>
    <xf numFmtId="0" fontId="4" fillId="15" borderId="1" xfId="0" applyFont="1" applyFill="1" applyBorder="1" applyAlignment="1">
      <alignment vertical="center"/>
    </xf>
    <xf numFmtId="0" fontId="8" fillId="0" borderId="59" xfId="0" applyFont="1" applyBorder="1" applyAlignment="1">
      <alignment horizontal="left" vertical="center"/>
    </xf>
    <xf numFmtId="0" fontId="4" fillId="21" borderId="81" xfId="0" applyFont="1" applyFill="1" applyBorder="1" applyAlignment="1">
      <alignment vertical="center"/>
    </xf>
    <xf numFmtId="0" fontId="8" fillId="21" borderId="82" xfId="0" applyFont="1" applyFill="1" applyBorder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6" fillId="0" borderId="13" xfId="0" applyFont="1" applyBorder="1" applyAlignment="1">
      <alignment vertical="center"/>
    </xf>
    <xf numFmtId="0" fontId="4" fillId="22" borderId="18" xfId="0" applyFont="1" applyFill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4" fillId="22" borderId="72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left" vertical="center"/>
    </xf>
    <xf numFmtId="0" fontId="15" fillId="23" borderId="0" xfId="0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17" fillId="23" borderId="0" xfId="0" applyFont="1" applyFill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6" fillId="24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34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 textRotation="180"/>
    </xf>
    <xf numFmtId="0" fontId="2" fillId="27" borderId="5" xfId="0" applyFont="1" applyFill="1" applyBorder="1" applyAlignment="1">
      <alignment horizontal="center"/>
    </xf>
    <xf numFmtId="0" fontId="2" fillId="22" borderId="5" xfId="0" applyFont="1" applyFill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 wrapText="1"/>
    </xf>
    <xf numFmtId="0" fontId="2" fillId="29" borderId="32" xfId="0" applyFont="1" applyFill="1" applyBorder="1"/>
    <xf numFmtId="0" fontId="2" fillId="29" borderId="44" xfId="0" applyFont="1" applyFill="1" applyBorder="1"/>
    <xf numFmtId="0" fontId="2" fillId="29" borderId="80" xfId="0" applyFont="1" applyFill="1" applyBorder="1"/>
    <xf numFmtId="0" fontId="2" fillId="29" borderId="5" xfId="0" applyFont="1" applyFill="1" applyBorder="1"/>
    <xf numFmtId="0" fontId="2" fillId="0" borderId="28" xfId="0" applyFont="1" applyBorder="1" applyAlignment="1">
      <alignment wrapText="1"/>
    </xf>
    <xf numFmtId="0" fontId="2" fillId="28" borderId="30" xfId="0" applyFont="1" applyFill="1" applyBorder="1"/>
    <xf numFmtId="0" fontId="2" fillId="29" borderId="31" xfId="0" applyFont="1" applyFill="1" applyBorder="1" applyAlignment="1">
      <alignment wrapText="1"/>
    </xf>
    <xf numFmtId="0" fontId="2" fillId="29" borderId="83" xfId="0" applyFont="1" applyFill="1" applyBorder="1"/>
    <xf numFmtId="0" fontId="2" fillId="29" borderId="67" xfId="0" applyFont="1" applyFill="1" applyBorder="1" applyAlignment="1">
      <alignment wrapText="1"/>
    </xf>
    <xf numFmtId="0" fontId="2" fillId="29" borderId="84" xfId="0" applyFont="1" applyFill="1" applyBorder="1"/>
    <xf numFmtId="0" fontId="2" fillId="29" borderId="80" xfId="0" applyFont="1" applyFill="1" applyBorder="1" applyAlignment="1">
      <alignment horizontal="center"/>
    </xf>
    <xf numFmtId="0" fontId="2" fillId="28" borderId="3" xfId="0" applyFont="1" applyFill="1" applyBorder="1" applyAlignment="1">
      <alignment wrapText="1"/>
    </xf>
    <xf numFmtId="0" fontId="2" fillId="29" borderId="43" xfId="0" applyFont="1" applyFill="1" applyBorder="1" applyAlignment="1">
      <alignment wrapText="1"/>
    </xf>
    <xf numFmtId="0" fontId="2" fillId="29" borderId="85" xfId="0" applyFont="1" applyFill="1" applyBorder="1"/>
    <xf numFmtId="0" fontId="0" fillId="0" borderId="3" xfId="0" applyBorder="1" applyAlignment="1">
      <alignment wrapText="1"/>
    </xf>
    <xf numFmtId="0" fontId="0" fillId="0" borderId="30" xfId="0" applyBorder="1"/>
    <xf numFmtId="0" fontId="0" fillId="0" borderId="9" xfId="0" applyBorder="1"/>
    <xf numFmtId="0" fontId="0" fillId="0" borderId="29" xfId="0" applyBorder="1"/>
    <xf numFmtId="0" fontId="0" fillId="0" borderId="0" xfId="0" applyAlignment="1">
      <alignment wrapText="1"/>
    </xf>
    <xf numFmtId="0" fontId="2" fillId="29" borderId="69" xfId="0" applyFont="1" applyFill="1" applyBorder="1" applyAlignment="1">
      <alignment wrapText="1"/>
    </xf>
    <xf numFmtId="0" fontId="2" fillId="13" borderId="36" xfId="0" applyFont="1" applyFill="1" applyBorder="1" applyAlignment="1">
      <alignment wrapText="1"/>
    </xf>
    <xf numFmtId="0" fontId="2" fillId="13" borderId="37" xfId="0" applyFont="1" applyFill="1" applyBorder="1"/>
    <xf numFmtId="0" fontId="2" fillId="17" borderId="37" xfId="0" applyFont="1" applyFill="1" applyBorder="1"/>
    <xf numFmtId="0" fontId="2" fillId="17" borderId="38" xfId="0" applyFont="1" applyFill="1" applyBorder="1"/>
    <xf numFmtId="0" fontId="2" fillId="10" borderId="3" xfId="0" applyFont="1" applyFill="1" applyBorder="1" applyAlignment="1">
      <alignment wrapText="1"/>
    </xf>
    <xf numFmtId="0" fontId="2" fillId="10" borderId="30" xfId="0" applyFont="1" applyFill="1" applyBorder="1"/>
    <xf numFmtId="0" fontId="2" fillId="10" borderId="36" xfId="0" applyFont="1" applyFill="1" applyBorder="1" applyAlignment="1">
      <alignment wrapText="1"/>
    </xf>
    <xf numFmtId="0" fontId="2" fillId="10" borderId="37" xfId="0" applyFont="1" applyFill="1" applyBorder="1"/>
    <xf numFmtId="0" fontId="2" fillId="10" borderId="38" xfId="0" applyFont="1" applyFill="1" applyBorder="1"/>
    <xf numFmtId="0" fontId="2" fillId="13" borderId="26" xfId="0" applyFont="1" applyFill="1" applyBorder="1"/>
    <xf numFmtId="0" fontId="2" fillId="13" borderId="27" xfId="0" applyFont="1" applyFill="1" applyBorder="1"/>
    <xf numFmtId="0" fontId="2" fillId="13" borderId="3" xfId="0" applyFont="1" applyFill="1" applyBorder="1" applyAlignment="1">
      <alignment wrapText="1"/>
    </xf>
    <xf numFmtId="0" fontId="2" fillId="13" borderId="30" xfId="0" applyFont="1" applyFill="1" applyBorder="1"/>
    <xf numFmtId="0" fontId="2" fillId="13" borderId="38" xfId="0" applyFont="1" applyFill="1" applyBorder="1"/>
    <xf numFmtId="0" fontId="2" fillId="17" borderId="36" xfId="0" applyFont="1" applyFill="1" applyBorder="1" applyAlignment="1">
      <alignment vertical="top" wrapText="1"/>
    </xf>
    <xf numFmtId="0" fontId="2" fillId="17" borderId="37" xfId="0" applyFont="1" applyFill="1" applyBorder="1" applyAlignment="1">
      <alignment vertical="top"/>
    </xf>
    <xf numFmtId="0" fontId="2" fillId="13" borderId="1" xfId="0" applyFont="1" applyFill="1" applyBorder="1" applyAlignment="1">
      <alignment vertical="top" wrapText="1"/>
    </xf>
    <xf numFmtId="0" fontId="2" fillId="13" borderId="1" xfId="0" applyFont="1" applyFill="1" applyBorder="1"/>
    <xf numFmtId="0" fontId="2" fillId="13" borderId="3" xfId="0" applyFont="1" applyFill="1" applyBorder="1"/>
    <xf numFmtId="0" fontId="2" fillId="13" borderId="36" xfId="0" applyFont="1" applyFill="1" applyBorder="1"/>
    <xf numFmtId="0" fontId="2" fillId="0" borderId="28" xfId="0" applyFont="1" applyBorder="1" applyAlignment="1">
      <alignment vertical="center" wrapText="1"/>
    </xf>
    <xf numFmtId="0" fontId="0" fillId="10" borderId="3" xfId="0" applyFill="1" applyBorder="1" applyAlignment="1">
      <alignment wrapText="1"/>
    </xf>
    <xf numFmtId="0" fontId="0" fillId="10" borderId="30" xfId="0" applyFill="1" applyBorder="1"/>
    <xf numFmtId="0" fontId="0" fillId="10" borderId="37" xfId="0" applyFill="1" applyBorder="1"/>
    <xf numFmtId="0" fontId="0" fillId="10" borderId="38" xfId="0" applyFill="1" applyBorder="1"/>
    <xf numFmtId="0" fontId="0" fillId="0" borderId="5" xfId="0" applyBorder="1"/>
    <xf numFmtId="0" fontId="2" fillId="0" borderId="5" xfId="0" applyFont="1" applyBorder="1"/>
    <xf numFmtId="0" fontId="0" fillId="8" borderId="5" xfId="0" applyFill="1" applyBorder="1" applyAlignment="1">
      <alignment wrapText="1"/>
    </xf>
    <xf numFmtId="0" fontId="2" fillId="8" borderId="5" xfId="0" applyFont="1" applyFill="1" applyBorder="1" applyAlignment="1">
      <alignment horizontal="center" vertical="center"/>
    </xf>
    <xf numFmtId="0" fontId="2" fillId="7" borderId="0" xfId="0" applyFont="1" applyFill="1"/>
    <xf numFmtId="0" fontId="0" fillId="7" borderId="5" xfId="0" applyFill="1" applyBorder="1" applyAlignment="1">
      <alignment horizontal="center" vertical="center"/>
    </xf>
    <xf numFmtId="0" fontId="2" fillId="9" borderId="5" xfId="1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5" borderId="0" xfId="0" applyFill="1"/>
    <xf numFmtId="0" fontId="0" fillId="0" borderId="86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2" fillId="0" borderId="69" xfId="0" applyFont="1" applyBorder="1" applyAlignment="1">
      <alignment wrapText="1"/>
    </xf>
    <xf numFmtId="0" fontId="2" fillId="0" borderId="70" xfId="0" applyFont="1" applyBorder="1"/>
    <xf numFmtId="0" fontId="0" fillId="0" borderId="69" xfId="0" applyBorder="1" applyAlignment="1">
      <alignment wrapText="1"/>
    </xf>
    <xf numFmtId="0" fontId="0" fillId="0" borderId="70" xfId="0" applyBorder="1"/>
    <xf numFmtId="0" fontId="0" fillId="0" borderId="89" xfId="0" applyBorder="1" applyAlignment="1">
      <alignment wrapText="1"/>
    </xf>
    <xf numFmtId="0" fontId="0" fillId="0" borderId="90" xfId="0" applyBorder="1"/>
    <xf numFmtId="0" fontId="0" fillId="0" borderId="91" xfId="0" applyBorder="1"/>
    <xf numFmtId="0" fontId="0" fillId="0" borderId="0" xfId="0" applyAlignment="1">
      <alignment vertical="top"/>
    </xf>
    <xf numFmtId="0" fontId="2" fillId="28" borderId="0" xfId="0" applyFont="1" applyFill="1"/>
    <xf numFmtId="0" fontId="0" fillId="0" borderId="57" xfId="0" applyBorder="1" applyAlignment="1">
      <alignment wrapText="1"/>
    </xf>
    <xf numFmtId="0" fontId="0" fillId="0" borderId="52" xfId="0" applyBorder="1"/>
    <xf numFmtId="0" fontId="0" fillId="0" borderId="79" xfId="0" applyBorder="1"/>
    <xf numFmtId="0" fontId="2" fillId="0" borderId="57" xfId="0" applyFont="1" applyBorder="1" applyAlignment="1">
      <alignment wrapText="1"/>
    </xf>
    <xf numFmtId="0" fontId="2" fillId="0" borderId="52" xfId="0" applyFont="1" applyBorder="1"/>
    <xf numFmtId="0" fontId="2" fillId="0" borderId="79" xfId="0" applyFont="1" applyBorder="1"/>
    <xf numFmtId="0" fontId="2" fillId="10" borderId="0" xfId="0" applyFont="1" applyFill="1"/>
    <xf numFmtId="0" fontId="2" fillId="13" borderId="0" xfId="0" applyFont="1" applyFill="1"/>
    <xf numFmtId="0" fontId="0" fillId="10" borderId="0" xfId="0" applyFill="1"/>
    <xf numFmtId="0" fontId="0" fillId="11" borderId="12" xfId="0" applyFill="1" applyBorder="1"/>
    <xf numFmtId="0" fontId="0" fillId="11" borderId="13" xfId="0" applyFill="1" applyBorder="1"/>
    <xf numFmtId="0" fontId="0" fillId="11" borderId="14" xfId="0" applyFill="1" applyBorder="1"/>
    <xf numFmtId="0" fontId="13" fillId="11" borderId="5" xfId="0" applyFont="1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3" borderId="5" xfId="0" applyFill="1" applyBorder="1"/>
    <xf numFmtId="0" fontId="0" fillId="12" borderId="5" xfId="0" applyFill="1" applyBorder="1" applyAlignment="1">
      <alignment horizontal="left"/>
    </xf>
    <xf numFmtId="14" fontId="0" fillId="12" borderId="5" xfId="0" applyNumberFormat="1" applyFill="1" applyBorder="1" applyAlignment="1">
      <alignment horizontal="left"/>
    </xf>
    <xf numFmtId="0" fontId="4" fillId="15" borderId="28" xfId="0" applyFont="1" applyFill="1" applyBorder="1" applyAlignment="1">
      <alignment horizontal="left" vertical="center"/>
    </xf>
    <xf numFmtId="0" fontId="4" fillId="15" borderId="10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15" borderId="31" xfId="0" applyFont="1" applyFill="1" applyBorder="1" applyAlignment="1">
      <alignment horizontal="left" vertical="center"/>
    </xf>
    <xf numFmtId="0" fontId="4" fillId="15" borderId="32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5" fillId="16" borderId="27" xfId="0" applyFont="1" applyFill="1" applyBorder="1" applyAlignment="1">
      <alignment horizontal="center" vertical="center" wrapText="1"/>
    </xf>
    <xf numFmtId="0" fontId="5" fillId="16" borderId="36" xfId="0" applyFont="1" applyFill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left" vertical="center"/>
    </xf>
    <xf numFmtId="0" fontId="4" fillId="14" borderId="19" xfId="0" applyFont="1" applyFill="1" applyBorder="1" applyAlignment="1">
      <alignment horizontal="left" vertical="center"/>
    </xf>
    <xf numFmtId="14" fontId="4" fillId="14" borderId="19" xfId="0" applyNumberFormat="1" applyFont="1" applyFill="1" applyBorder="1" applyAlignment="1">
      <alignment horizontal="left" vertical="center"/>
    </xf>
    <xf numFmtId="164" fontId="4" fillId="14" borderId="19" xfId="0" applyNumberFormat="1" applyFont="1" applyFill="1" applyBorder="1" applyAlignment="1">
      <alignment horizontal="left" vertical="center"/>
    </xf>
    <xf numFmtId="0" fontId="4" fillId="5" borderId="19" xfId="0" applyFont="1" applyFill="1" applyBorder="1" applyAlignment="1">
      <alignment horizontal="left" vertical="center"/>
    </xf>
    <xf numFmtId="14" fontId="4" fillId="5" borderId="19" xfId="0" applyNumberFormat="1" applyFont="1" applyFill="1" applyBorder="1" applyAlignment="1">
      <alignment horizontal="left" vertical="center"/>
    </xf>
    <xf numFmtId="164" fontId="4" fillId="5" borderId="19" xfId="0" applyNumberFormat="1" applyFont="1" applyFill="1" applyBorder="1" applyAlignment="1">
      <alignment horizontal="left" vertical="center"/>
    </xf>
    <xf numFmtId="164" fontId="4" fillId="5" borderId="20" xfId="0" applyNumberFormat="1" applyFont="1" applyFill="1" applyBorder="1" applyAlignment="1">
      <alignment horizontal="left" vertical="center"/>
    </xf>
    <xf numFmtId="0" fontId="4" fillId="15" borderId="21" xfId="0" applyFont="1" applyFill="1" applyBorder="1" applyAlignment="1">
      <alignment horizontal="left" vertical="center"/>
    </xf>
    <xf numFmtId="0" fontId="4" fillId="15" borderId="22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0" fontId="6" fillId="0" borderId="49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4" fillId="15" borderId="6" xfId="0" applyFont="1" applyFill="1" applyBorder="1" applyAlignment="1">
      <alignment horizontal="left" vertical="center"/>
    </xf>
    <xf numFmtId="0" fontId="4" fillId="15" borderId="13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1" fontId="6" fillId="0" borderId="37" xfId="0" applyNumberFormat="1" applyFont="1" applyBorder="1" applyAlignment="1">
      <alignment horizontal="left" vertical="center"/>
    </xf>
    <xf numFmtId="1" fontId="6" fillId="0" borderId="38" xfId="0" applyNumberFormat="1" applyFont="1" applyBorder="1" applyAlignment="1">
      <alignment horizontal="left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5" borderId="36" xfId="0" applyFont="1" applyFill="1" applyBorder="1" applyAlignment="1">
      <alignment horizontal="center" vertical="center"/>
    </xf>
    <xf numFmtId="0" fontId="4" fillId="15" borderId="37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wrapText="1"/>
    </xf>
    <xf numFmtId="0" fontId="4" fillId="13" borderId="26" xfId="0" applyFont="1" applyFill="1" applyBorder="1" applyAlignment="1">
      <alignment horizontal="left" vertical="center" wrapText="1"/>
    </xf>
    <xf numFmtId="0" fontId="4" fillId="13" borderId="27" xfId="0" applyFont="1" applyFill="1" applyBorder="1" applyAlignment="1">
      <alignment horizontal="left" vertical="center" wrapText="1"/>
    </xf>
    <xf numFmtId="0" fontId="4" fillId="13" borderId="1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3" borderId="30" xfId="0" applyFont="1" applyFill="1" applyBorder="1" applyAlignment="1">
      <alignment horizontal="left" vertical="center" wrapText="1"/>
    </xf>
    <xf numFmtId="0" fontId="4" fillId="13" borderId="42" xfId="0" applyFont="1" applyFill="1" applyBorder="1" applyAlignment="1">
      <alignment horizontal="left" vertical="center" wrapText="1"/>
    </xf>
    <xf numFmtId="0" fontId="4" fillId="13" borderId="37" xfId="0" applyFont="1" applyFill="1" applyBorder="1" applyAlignment="1">
      <alignment horizontal="left" vertical="center" wrapText="1"/>
    </xf>
    <xf numFmtId="0" fontId="4" fillId="13" borderId="38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center" vertical="center" wrapText="1"/>
    </xf>
    <xf numFmtId="0" fontId="4" fillId="16" borderId="27" xfId="0" applyFont="1" applyFill="1" applyBorder="1" applyAlignment="1">
      <alignment horizontal="center" vertical="center" wrapText="1"/>
    </xf>
    <xf numFmtId="0" fontId="4" fillId="16" borderId="37" xfId="0" applyFont="1" applyFill="1" applyBorder="1" applyAlignment="1">
      <alignment horizontal="center" vertical="center" wrapText="1"/>
    </xf>
    <xf numFmtId="0" fontId="4" fillId="16" borderId="38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4" fillId="15" borderId="56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5" borderId="60" xfId="0" applyFont="1" applyFill="1" applyBorder="1" applyAlignment="1">
      <alignment horizontal="left" vertical="center"/>
    </xf>
    <xf numFmtId="0" fontId="4" fillId="15" borderId="62" xfId="0" applyFont="1" applyFill="1" applyBorder="1" applyAlignment="1">
      <alignment horizontal="left" vertical="center"/>
    </xf>
    <xf numFmtId="0" fontId="4" fillId="15" borderId="67" xfId="0" applyFont="1" applyFill="1" applyBorder="1" applyAlignment="1">
      <alignment horizontal="left" vertical="center"/>
    </xf>
    <xf numFmtId="0" fontId="4" fillId="15" borderId="11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10" fillId="0" borderId="63" xfId="0" applyFont="1" applyBorder="1" applyAlignment="1">
      <alignment horizontal="left" vertical="center"/>
    </xf>
    <xf numFmtId="0" fontId="10" fillId="0" borderId="64" xfId="0" applyFont="1" applyBorder="1" applyAlignment="1">
      <alignment horizontal="left" vertical="center"/>
    </xf>
    <xf numFmtId="0" fontId="10" fillId="0" borderId="6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66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60" xfId="0" applyFont="1" applyFill="1" applyBorder="1" applyAlignment="1">
      <alignment horizontal="center" vertical="center"/>
    </xf>
    <xf numFmtId="0" fontId="4" fillId="15" borderId="62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6" fillId="0" borderId="5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4" fillId="15" borderId="58" xfId="0" applyFont="1" applyFill="1" applyBorder="1" applyAlignment="1">
      <alignment horizontal="left" vertical="center"/>
    </xf>
    <xf numFmtId="0" fontId="4" fillId="15" borderId="59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15" borderId="51" xfId="0" applyFont="1" applyFill="1" applyBorder="1" applyAlignment="1">
      <alignment horizontal="left" vertical="center"/>
    </xf>
    <xf numFmtId="0" fontId="4" fillId="15" borderId="61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4" fillId="15" borderId="38" xfId="0" applyFont="1" applyFill="1" applyBorder="1" applyAlignment="1">
      <alignment horizontal="left" vertical="center"/>
    </xf>
    <xf numFmtId="0" fontId="4" fillId="15" borderId="43" xfId="0" applyFont="1" applyFill="1" applyBorder="1" applyAlignment="1">
      <alignment horizontal="left" vertical="center"/>
    </xf>
    <xf numFmtId="0" fontId="4" fillId="15" borderId="44" xfId="0" applyFont="1" applyFill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15" borderId="7" xfId="0" applyFont="1" applyFill="1" applyBorder="1" applyAlignment="1">
      <alignment horizontal="left" vertical="center"/>
    </xf>
    <xf numFmtId="0" fontId="4" fillId="15" borderId="16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4" fillId="0" borderId="36" xfId="0" applyFont="1" applyBorder="1" applyAlignment="1">
      <alignment horizontal="right" vertical="center"/>
    </xf>
    <xf numFmtId="49" fontId="4" fillId="0" borderId="37" xfId="0" applyNumberFormat="1" applyFont="1" applyBorder="1" applyAlignment="1">
      <alignment horizontal="right" vertical="center"/>
    </xf>
    <xf numFmtId="49" fontId="4" fillId="0" borderId="38" xfId="0" applyNumberFormat="1" applyFont="1" applyBorder="1" applyAlignment="1">
      <alignment horizontal="right" vertical="center"/>
    </xf>
    <xf numFmtId="0" fontId="20" fillId="11" borderId="73" xfId="0" applyFont="1" applyFill="1" applyBorder="1" applyAlignment="1">
      <alignment horizontal="center" vertical="center" textRotation="180"/>
    </xf>
    <xf numFmtId="0" fontId="20" fillId="11" borderId="74" xfId="0" applyFont="1" applyFill="1" applyBorder="1" applyAlignment="1">
      <alignment horizontal="center" vertical="center" textRotation="180"/>
    </xf>
    <xf numFmtId="0" fontId="20" fillId="11" borderId="75" xfId="0" applyFont="1" applyFill="1" applyBorder="1" applyAlignment="1">
      <alignment horizontal="center" vertical="center" textRotation="180"/>
    </xf>
    <xf numFmtId="0" fontId="20" fillId="17" borderId="73" xfId="0" applyFont="1" applyFill="1" applyBorder="1" applyAlignment="1">
      <alignment horizontal="center" vertical="center" textRotation="180"/>
    </xf>
    <xf numFmtId="0" fontId="20" fillId="17" borderId="74" xfId="0" applyFont="1" applyFill="1" applyBorder="1" applyAlignment="1">
      <alignment horizontal="center" vertical="center" textRotation="180"/>
    </xf>
    <xf numFmtId="0" fontId="20" fillId="17" borderId="75" xfId="0" applyFont="1" applyFill="1" applyBorder="1" applyAlignment="1">
      <alignment horizontal="center" vertical="center" textRotation="180"/>
    </xf>
    <xf numFmtId="0" fontId="4" fillId="15" borderId="23" xfId="0" applyFont="1" applyFill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center" vertical="center" wrapText="1"/>
    </xf>
    <xf numFmtId="0" fontId="4" fillId="15" borderId="56" xfId="0" applyFont="1" applyFill="1" applyBorder="1" applyAlignment="1">
      <alignment horizontal="left" vertical="center"/>
    </xf>
    <xf numFmtId="0" fontId="4" fillId="15" borderId="24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4" fillId="15" borderId="1" xfId="0" applyFont="1" applyFill="1" applyBorder="1" applyAlignment="1">
      <alignment vertical="center"/>
    </xf>
    <xf numFmtId="0" fontId="4" fillId="15" borderId="60" xfId="0" applyFont="1" applyFill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18" fillId="25" borderId="0" xfId="0" applyFont="1" applyFill="1" applyAlignment="1">
      <alignment horizontal="left" vertical="center" wrapText="1"/>
    </xf>
    <xf numFmtId="0" fontId="0" fillId="26" borderId="0" xfId="0" applyFill="1" applyAlignment="1">
      <alignment vertical="center" wrapText="1"/>
    </xf>
    <xf numFmtId="0" fontId="0" fillId="0" borderId="9" xfId="0" applyBorder="1"/>
    <xf numFmtId="0" fontId="0" fillId="0" borderId="29" xfId="0" applyBorder="1"/>
    <xf numFmtId="0" fontId="2" fillId="29" borderId="44" xfId="0" applyFont="1" applyFill="1" applyBorder="1"/>
    <xf numFmtId="0" fontId="2" fillId="29" borderId="85" xfId="0" applyFont="1" applyFill="1" applyBorder="1"/>
    <xf numFmtId="0" fontId="19" fillId="4" borderId="1" xfId="0" applyFont="1" applyFill="1" applyBorder="1" applyAlignment="1">
      <alignment horizontal="center"/>
    </xf>
    <xf numFmtId="0" fontId="19" fillId="4" borderId="26" xfId="0" applyFont="1" applyFill="1" applyBorder="1" applyAlignment="1">
      <alignment horizontal="center"/>
    </xf>
    <xf numFmtId="0" fontId="19" fillId="4" borderId="27" xfId="0" applyFont="1" applyFill="1" applyBorder="1" applyAlignment="1">
      <alignment horizontal="center"/>
    </xf>
    <xf numFmtId="0" fontId="2" fillId="29" borderId="5" xfId="0" applyFont="1" applyFill="1" applyBorder="1"/>
    <xf numFmtId="0" fontId="2" fillId="29" borderId="70" xfId="0" applyFont="1" applyFill="1" applyBorder="1"/>
    <xf numFmtId="0" fontId="0" fillId="0" borderId="9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29" borderId="32" xfId="0" applyFont="1" applyFill="1" applyBorder="1"/>
    <xf numFmtId="0" fontId="2" fillId="29" borderId="83" xfId="0" applyFont="1" applyFill="1" applyBorder="1"/>
    <xf numFmtId="0" fontId="2" fillId="28" borderId="3" xfId="0" applyFont="1" applyFill="1" applyBorder="1"/>
    <xf numFmtId="0" fontId="2" fillId="28" borderId="0" xfId="0" applyFont="1" applyFill="1"/>
    <xf numFmtId="0" fontId="2" fillId="28" borderId="30" xfId="0" applyFont="1" applyFill="1" applyBorder="1"/>
    <xf numFmtId="0" fontId="21" fillId="0" borderId="3" xfId="0" applyFont="1" applyBorder="1"/>
    <xf numFmtId="0" fontId="21" fillId="0" borderId="0" xfId="0" applyFont="1"/>
    <xf numFmtId="0" fontId="21" fillId="0" borderId="30" xfId="0" applyFont="1" applyBorder="1"/>
    <xf numFmtId="0" fontId="2" fillId="28" borderId="3" xfId="0" applyFont="1" applyFill="1" applyBorder="1" applyAlignment="1">
      <alignment wrapText="1"/>
    </xf>
    <xf numFmtId="0" fontId="2" fillId="28" borderId="0" xfId="0" applyFont="1" applyFill="1" applyAlignment="1">
      <alignment wrapText="1"/>
    </xf>
    <xf numFmtId="0" fontId="2" fillId="28" borderId="30" xfId="0" applyFont="1" applyFill="1" applyBorder="1" applyAlignment="1">
      <alignment wrapText="1"/>
    </xf>
    <xf numFmtId="0" fontId="0" fillId="11" borderId="0" xfId="0" applyFill="1"/>
    <xf numFmtId="0" fontId="0" fillId="0" borderId="0" xfId="0" applyFill="1"/>
    <xf numFmtId="0" fontId="2" fillId="30" borderId="3" xfId="0" applyFont="1" applyFill="1" applyBorder="1"/>
    <xf numFmtId="0" fontId="2" fillId="30" borderId="1" xfId="0" applyFont="1" applyFill="1" applyBorder="1"/>
    <xf numFmtId="0" fontId="2" fillId="30" borderId="36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2" fillId="30" borderId="56" xfId="0" applyFont="1" applyFill="1" applyBorder="1" applyAlignment="1">
      <alignment horizontal="center"/>
    </xf>
    <xf numFmtId="0" fontId="2" fillId="30" borderId="28" xfId="0" applyFont="1" applyFill="1" applyBorder="1" applyAlignment="1">
      <alignment horizontal="center"/>
    </xf>
    <xf numFmtId="0" fontId="2" fillId="30" borderId="51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0" fontId="2" fillId="30" borderId="77" xfId="0" applyFont="1" applyFill="1" applyBorder="1" applyAlignment="1">
      <alignment horizontal="center"/>
    </xf>
    <xf numFmtId="0" fontId="2" fillId="30" borderId="78" xfId="0" applyFont="1" applyFill="1" applyBorder="1" applyAlignment="1">
      <alignment horizontal="center"/>
    </xf>
    <xf numFmtId="0" fontId="2" fillId="30" borderId="92" xfId="0" applyFont="1" applyFill="1" applyBorder="1" applyAlignment="1">
      <alignment horizontal="center"/>
    </xf>
    <xf numFmtId="0" fontId="2" fillId="30" borderId="72" xfId="0" applyFont="1" applyFill="1" applyBorder="1" applyAlignment="1">
      <alignment horizontal="center"/>
    </xf>
  </cellXfs>
  <cellStyles count="3">
    <cellStyle name="20% - Accent5" xfId="2" builtinId="46"/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9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3</xdr:row>
      <xdr:rowOff>28575</xdr:rowOff>
    </xdr:from>
    <xdr:to>
      <xdr:col>6</xdr:col>
      <xdr:colOff>1266825</xdr:colOff>
      <xdr:row>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F1E2F-53F8-9CD2-73C2-8C011FB8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847725"/>
          <a:ext cx="12096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3</xdr:row>
      <xdr:rowOff>28575</xdr:rowOff>
    </xdr:from>
    <xdr:to>
      <xdr:col>8</xdr:col>
      <xdr:colOff>1238250</xdr:colOff>
      <xdr:row>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F51E9-C4A2-157E-FF1B-38802E5D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847725"/>
          <a:ext cx="10191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3</xdr:row>
      <xdr:rowOff>19050</xdr:rowOff>
    </xdr:from>
    <xdr:to>
      <xdr:col>11</xdr:col>
      <xdr:colOff>85725</xdr:colOff>
      <xdr:row>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0DBA22-D48F-C913-2B20-01FFEAE0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3925" y="838200"/>
          <a:ext cx="128587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228600</xdr:colOff>
      <xdr:row>3</xdr:row>
      <xdr:rowOff>28575</xdr:rowOff>
    </xdr:from>
    <xdr:to>
      <xdr:col>13</xdr:col>
      <xdr:colOff>123825</xdr:colOff>
      <xdr:row>9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3E4049-7A35-B71A-054F-D945FAFEA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7125" y="847725"/>
          <a:ext cx="12096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666751</xdr:colOff>
      <xdr:row>1</xdr:row>
      <xdr:rowOff>161925</xdr:rowOff>
    </xdr:from>
    <xdr:to>
      <xdr:col>16</xdr:col>
      <xdr:colOff>1188936</xdr:colOff>
      <xdr:row>11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062088-E61D-8E89-A9E0-A85C5EC7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8626" y="352425"/>
          <a:ext cx="1836635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1247775</xdr:colOff>
      <xdr:row>1</xdr:row>
      <xdr:rowOff>75432</xdr:rowOff>
    </xdr:from>
    <xdr:to>
      <xdr:col>19</xdr:col>
      <xdr:colOff>581025</xdr:colOff>
      <xdr:row>11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1C2CD7-68AB-47EE-7688-56A76055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0" y="265932"/>
          <a:ext cx="1962150" cy="2153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628649</xdr:colOff>
      <xdr:row>1</xdr:row>
      <xdr:rowOff>64415</xdr:rowOff>
    </xdr:from>
    <xdr:to>
      <xdr:col>21</xdr:col>
      <xdr:colOff>1285874</xdr:colOff>
      <xdr:row>11</xdr:row>
      <xdr:rowOff>55816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674565-C852-F09A-A433-A6C75D34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4" y="254915"/>
          <a:ext cx="1971675" cy="2153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1253215</xdr:colOff>
      <xdr:row>1</xdr:row>
      <xdr:rowOff>142874</xdr:rowOff>
    </xdr:from>
    <xdr:to>
      <xdr:col>24</xdr:col>
      <xdr:colOff>463642</xdr:colOff>
      <xdr:row>10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EFD182-FE77-9164-3F6C-6B179E3D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6240" y="333374"/>
          <a:ext cx="1839327" cy="1990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219076</xdr:colOff>
      <xdr:row>15</xdr:row>
      <xdr:rowOff>66675</xdr:rowOff>
    </xdr:from>
    <xdr:to>
      <xdr:col>11</xdr:col>
      <xdr:colOff>533401</xdr:colOff>
      <xdr:row>18</xdr:row>
      <xdr:rowOff>149126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10C632-C243-9171-C451-6FA96BA8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6" y="31242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55</xdr:row>
      <xdr:rowOff>19050</xdr:rowOff>
    </xdr:from>
    <xdr:to>
      <xdr:col>11</xdr:col>
      <xdr:colOff>600075</xdr:colOff>
      <xdr:row>58</xdr:row>
      <xdr:rowOff>111026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14080C-113F-4828-A107-FFD8151F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15824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135</xdr:row>
      <xdr:rowOff>47625</xdr:rowOff>
    </xdr:from>
    <xdr:to>
      <xdr:col>11</xdr:col>
      <xdr:colOff>485775</xdr:colOff>
      <xdr:row>138</xdr:row>
      <xdr:rowOff>139601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341462-8F30-4808-B446-A6205813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2791777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95</xdr:row>
      <xdr:rowOff>28575</xdr:rowOff>
    </xdr:from>
    <xdr:to>
      <xdr:col>11</xdr:col>
      <xdr:colOff>647700</xdr:colOff>
      <xdr:row>98</xdr:row>
      <xdr:rowOff>120551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CD0BE8-408F-4FBF-B201-089D064C5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3625" y="1974532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215</xdr:row>
      <xdr:rowOff>57150</xdr:rowOff>
    </xdr:from>
    <xdr:to>
      <xdr:col>11</xdr:col>
      <xdr:colOff>476250</xdr:colOff>
      <xdr:row>218</xdr:row>
      <xdr:rowOff>149126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219076-752B-4DF0-8E54-19E2C4BA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442341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175</xdr:row>
      <xdr:rowOff>0</xdr:rowOff>
    </xdr:from>
    <xdr:to>
      <xdr:col>11</xdr:col>
      <xdr:colOff>495300</xdr:colOff>
      <xdr:row>178</xdr:row>
      <xdr:rowOff>91976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DC2BC-981D-4734-AA51-C22F22E2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5" y="3602355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255</xdr:row>
      <xdr:rowOff>47625</xdr:rowOff>
    </xdr:from>
    <xdr:to>
      <xdr:col>11</xdr:col>
      <xdr:colOff>419100</xdr:colOff>
      <xdr:row>258</xdr:row>
      <xdr:rowOff>139601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9EDF02-C229-464E-A43D-66BFC476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025" y="5237797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295</xdr:row>
      <xdr:rowOff>66675</xdr:rowOff>
    </xdr:from>
    <xdr:to>
      <xdr:col>11</xdr:col>
      <xdr:colOff>476250</xdr:colOff>
      <xdr:row>298</xdr:row>
      <xdr:rowOff>158651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193B06-B0A9-4400-BA24-4A456C9C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6055042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335</xdr:row>
      <xdr:rowOff>76200</xdr:rowOff>
    </xdr:from>
    <xdr:to>
      <xdr:col>11</xdr:col>
      <xdr:colOff>476250</xdr:colOff>
      <xdr:row>338</xdr:row>
      <xdr:rowOff>168176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7C8F691-2630-4796-B85C-C18FDD6E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6871335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375</xdr:row>
      <xdr:rowOff>57150</xdr:rowOff>
    </xdr:from>
    <xdr:to>
      <xdr:col>11</xdr:col>
      <xdr:colOff>466725</xdr:colOff>
      <xdr:row>378</xdr:row>
      <xdr:rowOff>149126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59ED27-7958-416E-B586-5A4E1339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768477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455</xdr:row>
      <xdr:rowOff>38100</xdr:rowOff>
    </xdr:from>
    <xdr:to>
      <xdr:col>11</xdr:col>
      <xdr:colOff>504825</xdr:colOff>
      <xdr:row>458</xdr:row>
      <xdr:rowOff>130076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2CD939-4C39-4531-8D3A-C59E649F8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9313545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415</xdr:row>
      <xdr:rowOff>47625</xdr:rowOff>
    </xdr:from>
    <xdr:to>
      <xdr:col>11</xdr:col>
      <xdr:colOff>504825</xdr:colOff>
      <xdr:row>418</xdr:row>
      <xdr:rowOff>139601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8E11D6-0A23-4ABD-AC44-375F5141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8499157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535</xdr:row>
      <xdr:rowOff>28575</xdr:rowOff>
    </xdr:from>
    <xdr:to>
      <xdr:col>11</xdr:col>
      <xdr:colOff>504825</xdr:colOff>
      <xdr:row>538</xdr:row>
      <xdr:rowOff>120551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027C05-26D3-46E0-A550-267107DF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10943272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495</xdr:row>
      <xdr:rowOff>38100</xdr:rowOff>
    </xdr:from>
    <xdr:to>
      <xdr:col>11</xdr:col>
      <xdr:colOff>438150</xdr:colOff>
      <xdr:row>498</xdr:row>
      <xdr:rowOff>130076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A883CC2-36D3-4751-A296-D6951CCB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4075" y="10128885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575</xdr:row>
      <xdr:rowOff>38100</xdr:rowOff>
    </xdr:from>
    <xdr:to>
      <xdr:col>11</xdr:col>
      <xdr:colOff>514350</xdr:colOff>
      <xdr:row>578</xdr:row>
      <xdr:rowOff>130076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CD81012-5978-4E2B-931A-DEF60372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11759565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615</xdr:row>
      <xdr:rowOff>57150</xdr:rowOff>
    </xdr:from>
    <xdr:to>
      <xdr:col>11</xdr:col>
      <xdr:colOff>485775</xdr:colOff>
      <xdr:row>618</xdr:row>
      <xdr:rowOff>149126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BAD8A99-14B7-4AAA-B5E4-FB8A5C6F0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1257681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655</xdr:row>
      <xdr:rowOff>57150</xdr:rowOff>
    </xdr:from>
    <xdr:to>
      <xdr:col>11</xdr:col>
      <xdr:colOff>476250</xdr:colOff>
      <xdr:row>658</xdr:row>
      <xdr:rowOff>149126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635AF24-0953-4CCA-BF20-8B8D4264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1339215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695</xdr:row>
      <xdr:rowOff>57150</xdr:rowOff>
    </xdr:from>
    <xdr:to>
      <xdr:col>11</xdr:col>
      <xdr:colOff>533400</xdr:colOff>
      <xdr:row>698</xdr:row>
      <xdr:rowOff>149126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EA7B3CC-4EFA-4324-A5C0-01544D2DD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142074900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735</xdr:row>
      <xdr:rowOff>28575</xdr:rowOff>
    </xdr:from>
    <xdr:to>
      <xdr:col>11</xdr:col>
      <xdr:colOff>581025</xdr:colOff>
      <xdr:row>738</xdr:row>
      <xdr:rowOff>120551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8E57E1B-946B-4D6E-937E-F543B311B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5019972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775</xdr:row>
      <xdr:rowOff>66675</xdr:rowOff>
    </xdr:from>
    <xdr:to>
      <xdr:col>11</xdr:col>
      <xdr:colOff>514350</xdr:colOff>
      <xdr:row>778</xdr:row>
      <xdr:rowOff>158651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F045041-3D31-4F30-8A75-FC0889FB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158391225"/>
          <a:ext cx="590550" cy="692051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18</xdr:row>
      <xdr:rowOff>114300</xdr:rowOff>
    </xdr:from>
    <xdr:to>
      <xdr:col>16</xdr:col>
      <xdr:colOff>1381897</xdr:colOff>
      <xdr:row>39</xdr:row>
      <xdr:rowOff>29161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389527-0F6F-36AE-C3ED-675826E2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50" y="3800475"/>
          <a:ext cx="5534797" cy="4201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85726</xdr:colOff>
      <xdr:row>13</xdr:row>
      <xdr:rowOff>200025</xdr:rowOff>
    </xdr:from>
    <xdr:to>
      <xdr:col>11</xdr:col>
      <xdr:colOff>676276</xdr:colOff>
      <xdr:row>17</xdr:row>
      <xdr:rowOff>91976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EF596-7DE6-48B1-965E-9D670EDDB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1" y="3067050"/>
          <a:ext cx="590550" cy="720626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24</xdr:row>
      <xdr:rowOff>47625</xdr:rowOff>
    </xdr:from>
    <xdr:to>
      <xdr:col>17</xdr:col>
      <xdr:colOff>410613</xdr:colOff>
      <xdr:row>50</xdr:row>
      <xdr:rowOff>172260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4CBAC6-A170-9F57-5E9A-E7963ADEE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4991100"/>
          <a:ext cx="7440063" cy="5801535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25</xdr:row>
      <xdr:rowOff>57150</xdr:rowOff>
    </xdr:from>
    <xdr:to>
      <xdr:col>4</xdr:col>
      <xdr:colOff>352565</xdr:colOff>
      <xdr:row>26</xdr:row>
      <xdr:rowOff>133389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1D9054F-4BD3-00C5-5DEF-0524670BC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twoCellAnchor>
  <xdr:twoCellAnchor editAs="oneCell">
    <xdr:from>
      <xdr:col>16</xdr:col>
      <xdr:colOff>523875</xdr:colOff>
      <xdr:row>1</xdr:row>
      <xdr:rowOff>183698</xdr:rowOff>
    </xdr:from>
    <xdr:to>
      <xdr:col>16</xdr:col>
      <xdr:colOff>2552700</xdr:colOff>
      <xdr:row>3</xdr:row>
      <xdr:rowOff>57198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E622FA7-70EC-65C6-6AB6-E396A70C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96825" y="393248"/>
          <a:ext cx="2028825" cy="27355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533401</xdr:colOff>
      <xdr:row>3</xdr:row>
      <xdr:rowOff>139752</xdr:rowOff>
    </xdr:from>
    <xdr:to>
      <xdr:col>16</xdr:col>
      <xdr:colOff>2514601</xdr:colOff>
      <xdr:row>4</xdr:row>
      <xdr:rowOff>161965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DAB812F-DDE0-13BE-9C43-12466DDC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6351" y="749352"/>
          <a:ext cx="1981200" cy="231763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542926</xdr:colOff>
      <xdr:row>7</xdr:row>
      <xdr:rowOff>187528</xdr:rowOff>
    </xdr:from>
    <xdr:to>
      <xdr:col>16</xdr:col>
      <xdr:colOff>2543176</xdr:colOff>
      <xdr:row>9</xdr:row>
      <xdr:rowOff>190570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77541C5-A2BF-59E4-955F-805FACC1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15876" y="1606753"/>
          <a:ext cx="2000250" cy="403092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10</xdr:row>
      <xdr:rowOff>77844</xdr:rowOff>
    </xdr:from>
    <xdr:to>
      <xdr:col>16</xdr:col>
      <xdr:colOff>2524125</xdr:colOff>
      <xdr:row>12</xdr:row>
      <xdr:rowOff>85799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C4E862B-34BA-1008-F204-B25C307C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6350" y="2106669"/>
          <a:ext cx="1990725" cy="41753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5</xdr:row>
      <xdr:rowOff>73397</xdr:rowOff>
    </xdr:from>
    <xdr:to>
      <xdr:col>16</xdr:col>
      <xdr:colOff>2562225</xdr:colOff>
      <xdr:row>7</xdr:row>
      <xdr:rowOff>104851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472B2AE-9DF7-46F2-CA99-0911C4C6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06350" y="1092572"/>
          <a:ext cx="2028825" cy="431504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542925</xdr:colOff>
      <xdr:row>12</xdr:row>
      <xdr:rowOff>159537</xdr:rowOff>
    </xdr:from>
    <xdr:to>
      <xdr:col>16</xdr:col>
      <xdr:colOff>2543175</xdr:colOff>
      <xdr:row>14</xdr:row>
      <xdr:rowOff>152473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FA49C16-911C-7CAE-794B-AF227A6E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15875" y="2597937"/>
          <a:ext cx="2000250" cy="412036"/>
        </a:xfrm>
        <a:prstGeom prst="rect">
          <a:avLst/>
        </a:prstGeom>
      </xdr:spPr>
    </xdr:pic>
    <xdr:clientData/>
  </xdr:twoCellAnchor>
  <xdr:oneCellAnchor>
    <xdr:from>
      <xdr:col>11</xdr:col>
      <xdr:colOff>85726</xdr:colOff>
      <xdr:row>52</xdr:row>
      <xdr:rowOff>200025</xdr:rowOff>
    </xdr:from>
    <xdr:ext cx="590550" cy="720626"/>
    <xdr:pic>
      <xdr:nvPicPr>
        <xdr:cNvPr id="36" name="Picture 35">
          <a:extLst>
            <a:ext uri="{FF2B5EF4-FFF2-40B4-BE49-F238E27FC236}">
              <a16:creationId xmlns:a16="http://schemas.microsoft.com/office/drawing/2014/main" id="{B5A55560-D1D4-4D31-8351-1682932F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64</xdr:row>
      <xdr:rowOff>57150</xdr:rowOff>
    </xdr:from>
    <xdr:ext cx="1000265" cy="276264"/>
    <xdr:pic>
      <xdr:nvPicPr>
        <xdr:cNvPr id="37" name="Picture 36">
          <a:extLst>
            <a:ext uri="{FF2B5EF4-FFF2-40B4-BE49-F238E27FC236}">
              <a16:creationId xmlns:a16="http://schemas.microsoft.com/office/drawing/2014/main" id="{A262F90D-557F-4358-BD54-45EB2C084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91</xdr:row>
      <xdr:rowOff>200025</xdr:rowOff>
    </xdr:from>
    <xdr:ext cx="590550" cy="720626"/>
    <xdr:pic>
      <xdr:nvPicPr>
        <xdr:cNvPr id="38" name="Picture 37">
          <a:extLst>
            <a:ext uri="{FF2B5EF4-FFF2-40B4-BE49-F238E27FC236}">
              <a16:creationId xmlns:a16="http://schemas.microsoft.com/office/drawing/2014/main" id="{087C2097-9DF3-473E-A089-7A9F8FE80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103</xdr:row>
      <xdr:rowOff>57150</xdr:rowOff>
    </xdr:from>
    <xdr:ext cx="1000265" cy="276264"/>
    <xdr:pic>
      <xdr:nvPicPr>
        <xdr:cNvPr id="39" name="Picture 38">
          <a:extLst>
            <a:ext uri="{FF2B5EF4-FFF2-40B4-BE49-F238E27FC236}">
              <a16:creationId xmlns:a16="http://schemas.microsoft.com/office/drawing/2014/main" id="{BD01FBBC-79BE-417D-A444-42E10C79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130</xdr:row>
      <xdr:rowOff>200025</xdr:rowOff>
    </xdr:from>
    <xdr:ext cx="590550" cy="720626"/>
    <xdr:pic>
      <xdr:nvPicPr>
        <xdr:cNvPr id="40" name="Picture 39">
          <a:extLst>
            <a:ext uri="{FF2B5EF4-FFF2-40B4-BE49-F238E27FC236}">
              <a16:creationId xmlns:a16="http://schemas.microsoft.com/office/drawing/2014/main" id="{10DE7300-BFE1-4FE2-AF99-3F794CAA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142</xdr:row>
      <xdr:rowOff>57150</xdr:rowOff>
    </xdr:from>
    <xdr:ext cx="1000265" cy="276264"/>
    <xdr:pic>
      <xdr:nvPicPr>
        <xdr:cNvPr id="41" name="Picture 40">
          <a:extLst>
            <a:ext uri="{FF2B5EF4-FFF2-40B4-BE49-F238E27FC236}">
              <a16:creationId xmlns:a16="http://schemas.microsoft.com/office/drawing/2014/main" id="{6C14D8A1-77D6-43FB-94C7-D305908A6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169</xdr:row>
      <xdr:rowOff>200025</xdr:rowOff>
    </xdr:from>
    <xdr:ext cx="590550" cy="720626"/>
    <xdr:pic>
      <xdr:nvPicPr>
        <xdr:cNvPr id="42" name="Picture 41">
          <a:extLst>
            <a:ext uri="{FF2B5EF4-FFF2-40B4-BE49-F238E27FC236}">
              <a16:creationId xmlns:a16="http://schemas.microsoft.com/office/drawing/2014/main" id="{A06640B1-4816-4BE0-A941-A3D7A4234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181</xdr:row>
      <xdr:rowOff>57150</xdr:rowOff>
    </xdr:from>
    <xdr:ext cx="1000265" cy="276264"/>
    <xdr:pic>
      <xdr:nvPicPr>
        <xdr:cNvPr id="43" name="Picture 42">
          <a:extLst>
            <a:ext uri="{FF2B5EF4-FFF2-40B4-BE49-F238E27FC236}">
              <a16:creationId xmlns:a16="http://schemas.microsoft.com/office/drawing/2014/main" id="{58997EB3-AD1C-409F-93D8-69EE73CD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208</xdr:row>
      <xdr:rowOff>200025</xdr:rowOff>
    </xdr:from>
    <xdr:ext cx="590550" cy="720626"/>
    <xdr:pic>
      <xdr:nvPicPr>
        <xdr:cNvPr id="46" name="Picture 45">
          <a:extLst>
            <a:ext uri="{FF2B5EF4-FFF2-40B4-BE49-F238E27FC236}">
              <a16:creationId xmlns:a16="http://schemas.microsoft.com/office/drawing/2014/main" id="{7BECDDAA-7A44-4F50-9226-26C48CE1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220</xdr:row>
      <xdr:rowOff>57150</xdr:rowOff>
    </xdr:from>
    <xdr:ext cx="1000265" cy="276264"/>
    <xdr:pic>
      <xdr:nvPicPr>
        <xdr:cNvPr id="47" name="Picture 46">
          <a:extLst>
            <a:ext uri="{FF2B5EF4-FFF2-40B4-BE49-F238E27FC236}">
              <a16:creationId xmlns:a16="http://schemas.microsoft.com/office/drawing/2014/main" id="{0C7D3E3A-105A-44D5-937E-31C0A7C1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247</xdr:row>
      <xdr:rowOff>200025</xdr:rowOff>
    </xdr:from>
    <xdr:ext cx="590550" cy="720626"/>
    <xdr:pic>
      <xdr:nvPicPr>
        <xdr:cNvPr id="48" name="Picture 47">
          <a:extLst>
            <a:ext uri="{FF2B5EF4-FFF2-40B4-BE49-F238E27FC236}">
              <a16:creationId xmlns:a16="http://schemas.microsoft.com/office/drawing/2014/main" id="{8F4EF9E0-935E-456E-9FAF-2BA47CFC7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259</xdr:row>
      <xdr:rowOff>57150</xdr:rowOff>
    </xdr:from>
    <xdr:ext cx="1000265" cy="276264"/>
    <xdr:pic>
      <xdr:nvPicPr>
        <xdr:cNvPr id="49" name="Picture 48">
          <a:extLst>
            <a:ext uri="{FF2B5EF4-FFF2-40B4-BE49-F238E27FC236}">
              <a16:creationId xmlns:a16="http://schemas.microsoft.com/office/drawing/2014/main" id="{04348C9A-809F-4913-B60F-84FFEEE8D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286</xdr:row>
      <xdr:rowOff>200025</xdr:rowOff>
    </xdr:from>
    <xdr:ext cx="590550" cy="720626"/>
    <xdr:pic>
      <xdr:nvPicPr>
        <xdr:cNvPr id="50" name="Picture 49">
          <a:extLst>
            <a:ext uri="{FF2B5EF4-FFF2-40B4-BE49-F238E27FC236}">
              <a16:creationId xmlns:a16="http://schemas.microsoft.com/office/drawing/2014/main" id="{1F37C7C9-F883-40D5-9B4A-967A8CEED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298</xdr:row>
      <xdr:rowOff>57150</xdr:rowOff>
    </xdr:from>
    <xdr:ext cx="1000265" cy="276264"/>
    <xdr:pic>
      <xdr:nvPicPr>
        <xdr:cNvPr id="51" name="Picture 50">
          <a:extLst>
            <a:ext uri="{FF2B5EF4-FFF2-40B4-BE49-F238E27FC236}">
              <a16:creationId xmlns:a16="http://schemas.microsoft.com/office/drawing/2014/main" id="{A6DA61ED-8220-406B-A625-1199B0DBB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325</xdr:row>
      <xdr:rowOff>200025</xdr:rowOff>
    </xdr:from>
    <xdr:ext cx="590550" cy="720626"/>
    <xdr:pic>
      <xdr:nvPicPr>
        <xdr:cNvPr id="52" name="Picture 51">
          <a:extLst>
            <a:ext uri="{FF2B5EF4-FFF2-40B4-BE49-F238E27FC236}">
              <a16:creationId xmlns:a16="http://schemas.microsoft.com/office/drawing/2014/main" id="{14B94CA9-7C1A-45CC-BF8B-5C8FE304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337</xdr:row>
      <xdr:rowOff>57150</xdr:rowOff>
    </xdr:from>
    <xdr:ext cx="1000265" cy="276264"/>
    <xdr:pic>
      <xdr:nvPicPr>
        <xdr:cNvPr id="53" name="Picture 52">
          <a:extLst>
            <a:ext uri="{FF2B5EF4-FFF2-40B4-BE49-F238E27FC236}">
              <a16:creationId xmlns:a16="http://schemas.microsoft.com/office/drawing/2014/main" id="{11CE4967-0BDC-445F-93FF-977A58F9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364</xdr:row>
      <xdr:rowOff>200025</xdr:rowOff>
    </xdr:from>
    <xdr:ext cx="590550" cy="720626"/>
    <xdr:pic>
      <xdr:nvPicPr>
        <xdr:cNvPr id="54" name="Picture 53">
          <a:extLst>
            <a:ext uri="{FF2B5EF4-FFF2-40B4-BE49-F238E27FC236}">
              <a16:creationId xmlns:a16="http://schemas.microsoft.com/office/drawing/2014/main" id="{9F66A7D3-2C94-4029-9D12-0012C9DD5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1" y="2847975"/>
          <a:ext cx="590550" cy="720626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376</xdr:row>
      <xdr:rowOff>57150</xdr:rowOff>
    </xdr:from>
    <xdr:ext cx="1000265" cy="276264"/>
    <xdr:pic>
      <xdr:nvPicPr>
        <xdr:cNvPr id="55" name="Picture 54">
          <a:extLst>
            <a:ext uri="{FF2B5EF4-FFF2-40B4-BE49-F238E27FC236}">
              <a16:creationId xmlns:a16="http://schemas.microsoft.com/office/drawing/2014/main" id="{FC2CB56B-7DFD-45C8-A520-00B2FB32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5210175"/>
          <a:ext cx="1000265" cy="27626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BAE1-3A15-45E2-8E01-209B86DACB09}">
  <sheetPr>
    <tabColor rgb="FFFFFF00"/>
  </sheetPr>
  <dimension ref="A1:AG54"/>
  <sheetViews>
    <sheetView tabSelected="1" workbookViewId="0">
      <selection activeCell="B28" sqref="B28"/>
    </sheetView>
  </sheetViews>
  <sheetFormatPr defaultRowHeight="15"/>
  <cols>
    <col min="1" max="1" width="16.5703125" customWidth="1"/>
    <col min="2" max="2" width="10.140625" customWidth="1"/>
    <col min="3" max="3" width="19.42578125" customWidth="1"/>
    <col min="4" max="33" width="19.7109375" customWidth="1"/>
  </cols>
  <sheetData>
    <row r="1" spans="1:33" ht="15.75" thickBot="1">
      <c r="A1" s="5" t="s">
        <v>307</v>
      </c>
      <c r="P1" s="6"/>
      <c r="Q1" s="6"/>
      <c r="R1" s="6"/>
      <c r="S1" s="6"/>
      <c r="T1" s="6"/>
      <c r="U1" s="6"/>
      <c r="V1" s="6"/>
      <c r="W1" s="6"/>
      <c r="X1" s="6"/>
      <c r="Y1" s="6"/>
      <c r="AA1" s="468"/>
      <c r="AB1" s="469" t="s">
        <v>33</v>
      </c>
      <c r="AC1" s="468"/>
    </row>
    <row r="2" spans="1:33" ht="34.5" customHeight="1" thickBot="1">
      <c r="A2" s="18" t="s">
        <v>3</v>
      </c>
      <c r="B2" s="227" t="s">
        <v>33</v>
      </c>
      <c r="C2" s="227"/>
      <c r="D2" s="227"/>
      <c r="E2" s="227"/>
      <c r="F2" s="2"/>
      <c r="G2" s="2"/>
      <c r="H2" s="2"/>
      <c r="I2" s="2"/>
      <c r="J2" s="2"/>
      <c r="K2" s="2"/>
      <c r="L2" s="2"/>
      <c r="M2" s="2"/>
      <c r="N2" s="2"/>
      <c r="P2" s="6"/>
      <c r="Q2" s="6"/>
      <c r="R2" s="6"/>
      <c r="S2" s="6"/>
      <c r="T2" s="6"/>
      <c r="U2" s="6"/>
      <c r="V2" s="6"/>
      <c r="W2" s="6"/>
      <c r="X2" s="6"/>
      <c r="Y2" s="6"/>
      <c r="AA2" s="466" t="s">
        <v>457</v>
      </c>
      <c r="AB2" s="473" t="s">
        <v>59</v>
      </c>
      <c r="AC2" s="477" t="s">
        <v>456</v>
      </c>
    </row>
    <row r="3" spans="1:33">
      <c r="A3" s="18" t="s">
        <v>0</v>
      </c>
      <c r="B3" s="228" t="s">
        <v>33</v>
      </c>
      <c r="C3" s="228"/>
      <c r="D3" s="228"/>
      <c r="E3" s="228"/>
      <c r="F3" s="2"/>
      <c r="G3" s="3" t="s">
        <v>36</v>
      </c>
      <c r="H3" s="4"/>
      <c r="I3" s="3" t="s">
        <v>37</v>
      </c>
      <c r="J3" s="4"/>
      <c r="K3" s="3" t="s">
        <v>38</v>
      </c>
      <c r="L3" s="4"/>
      <c r="M3" s="3" t="s">
        <v>39</v>
      </c>
      <c r="N3" s="2"/>
      <c r="P3" s="6"/>
      <c r="Q3" s="6"/>
      <c r="R3" s="6"/>
      <c r="S3" s="6"/>
      <c r="T3" s="6"/>
      <c r="U3" s="6"/>
      <c r="V3" s="6"/>
      <c r="W3" s="6"/>
      <c r="X3" s="6"/>
      <c r="Y3" s="6"/>
      <c r="AA3" s="466" t="s">
        <v>54</v>
      </c>
      <c r="AB3" s="470" t="s">
        <v>162</v>
      </c>
      <c r="AC3" s="476">
        <f t="shared" ref="AC3:AC8" si="0">_xlfn.NUMBERVALUE(_xlfn.TEXTAFTER(AB3, " ", -1), ".", ",")</f>
        <v>1</v>
      </c>
    </row>
    <row r="4" spans="1:33">
      <c r="A4" s="18" t="s">
        <v>4</v>
      </c>
      <c r="B4" s="228" t="s">
        <v>33</v>
      </c>
      <c r="C4" s="228"/>
      <c r="D4" s="228"/>
      <c r="E4" s="228"/>
      <c r="F4" s="2"/>
      <c r="G4" s="2"/>
      <c r="H4" s="2"/>
      <c r="I4" s="2"/>
      <c r="J4" s="2"/>
      <c r="K4" s="2"/>
      <c r="L4" s="2"/>
      <c r="M4" s="2"/>
      <c r="N4" s="2"/>
      <c r="P4" s="6"/>
      <c r="Q4" s="6"/>
      <c r="R4" s="6"/>
      <c r="S4" s="6"/>
      <c r="T4" s="6"/>
      <c r="U4" s="6"/>
      <c r="V4" s="6"/>
      <c r="W4" s="6"/>
      <c r="X4" s="6"/>
      <c r="Y4" s="6"/>
      <c r="AA4" s="465" t="s">
        <v>53</v>
      </c>
      <c r="AB4" s="471" t="s">
        <v>163</v>
      </c>
      <c r="AC4" s="474">
        <f t="shared" si="0"/>
        <v>2</v>
      </c>
    </row>
    <row r="5" spans="1:33">
      <c r="A5" s="18" t="s">
        <v>1</v>
      </c>
      <c r="B5" s="228" t="s">
        <v>33</v>
      </c>
      <c r="C5" s="228"/>
      <c r="D5" s="228"/>
      <c r="E5" s="228"/>
      <c r="F5" s="2"/>
      <c r="G5" s="2"/>
      <c r="H5" s="2"/>
      <c r="I5" s="2"/>
      <c r="J5" s="2"/>
      <c r="K5" s="2"/>
      <c r="L5" s="2"/>
      <c r="M5" s="2"/>
      <c r="N5" s="2"/>
      <c r="P5" s="6"/>
      <c r="Q5" s="6"/>
      <c r="R5" s="6"/>
      <c r="S5" s="6"/>
      <c r="T5" s="6"/>
      <c r="U5" s="6"/>
      <c r="V5" s="6"/>
      <c r="W5" s="6"/>
      <c r="X5" s="6"/>
      <c r="Y5" s="6"/>
      <c r="AA5" s="465" t="s">
        <v>55</v>
      </c>
      <c r="AB5" s="471" t="s">
        <v>164</v>
      </c>
      <c r="AC5" s="474">
        <f t="shared" si="0"/>
        <v>3</v>
      </c>
    </row>
    <row r="6" spans="1:33">
      <c r="A6" s="18" t="s">
        <v>2</v>
      </c>
      <c r="B6" s="228" t="s">
        <v>33</v>
      </c>
      <c r="C6" s="228"/>
      <c r="D6" s="228"/>
      <c r="E6" s="228"/>
      <c r="F6" s="2"/>
      <c r="G6" s="2"/>
      <c r="H6" s="2"/>
      <c r="I6" s="2"/>
      <c r="J6" s="2"/>
      <c r="K6" s="2"/>
      <c r="L6" s="2"/>
      <c r="M6" s="2"/>
      <c r="N6" s="2"/>
      <c r="P6" s="6"/>
      <c r="Q6" s="6"/>
      <c r="R6" s="6"/>
      <c r="S6" s="6"/>
      <c r="T6" s="6"/>
      <c r="U6" s="6"/>
      <c r="V6" s="6"/>
      <c r="W6" s="6"/>
      <c r="X6" s="6"/>
      <c r="Y6" s="6"/>
      <c r="AA6" s="465" t="s">
        <v>56</v>
      </c>
      <c r="AB6" s="471" t="s">
        <v>165</v>
      </c>
      <c r="AC6" s="474">
        <f t="shared" si="0"/>
        <v>4</v>
      </c>
    </row>
    <row r="7" spans="1:33">
      <c r="A7" s="19" t="s">
        <v>314</v>
      </c>
      <c r="B7" s="224" t="s">
        <v>33</v>
      </c>
      <c r="C7" s="225"/>
      <c r="D7" s="225"/>
      <c r="E7" s="226"/>
      <c r="F7" s="2"/>
      <c r="G7" s="2"/>
      <c r="H7" s="2"/>
      <c r="I7" s="2"/>
      <c r="J7" s="2"/>
      <c r="K7" s="2"/>
      <c r="L7" s="2"/>
      <c r="M7" s="2"/>
      <c r="N7" s="2"/>
      <c r="P7" s="6"/>
      <c r="Q7" s="6"/>
      <c r="R7" s="6"/>
      <c r="S7" s="6"/>
      <c r="T7" s="6"/>
      <c r="U7" s="6"/>
      <c r="V7" s="6"/>
      <c r="W7" s="6"/>
      <c r="X7" s="6"/>
      <c r="Y7" s="6"/>
      <c r="AA7" s="465" t="s">
        <v>57</v>
      </c>
      <c r="AB7" s="471" t="s">
        <v>166</v>
      </c>
      <c r="AC7" s="474">
        <f t="shared" si="0"/>
        <v>5</v>
      </c>
    </row>
    <row r="8" spans="1:33" ht="15.75" thickBot="1">
      <c r="B8" s="224" t="s">
        <v>33</v>
      </c>
      <c r="C8" s="225"/>
      <c r="D8" s="225"/>
      <c r="E8" s="226"/>
      <c r="F8" s="2"/>
      <c r="G8" s="2"/>
      <c r="H8" s="2"/>
      <c r="I8" s="2"/>
      <c r="J8" s="2"/>
      <c r="K8" s="2"/>
      <c r="L8" s="2"/>
      <c r="M8" s="2"/>
      <c r="N8" s="2"/>
      <c r="P8" s="6"/>
      <c r="Q8" s="6"/>
      <c r="R8" s="6"/>
      <c r="S8" s="6"/>
      <c r="T8" s="6"/>
      <c r="U8" s="6"/>
      <c r="V8" s="6"/>
      <c r="W8" s="6"/>
      <c r="X8" s="6"/>
      <c r="Y8" s="6"/>
      <c r="AA8" s="467" t="s">
        <v>58</v>
      </c>
      <c r="AB8" s="472" t="s">
        <v>167</v>
      </c>
      <c r="AC8" s="475">
        <f t="shared" si="0"/>
        <v>6</v>
      </c>
    </row>
    <row r="9" spans="1:33">
      <c r="B9" s="224" t="s">
        <v>33</v>
      </c>
      <c r="C9" s="225"/>
      <c r="D9" s="225"/>
      <c r="E9" s="226"/>
      <c r="F9" s="2"/>
      <c r="G9" s="2"/>
      <c r="H9" s="2"/>
      <c r="I9" s="2"/>
      <c r="J9" s="2"/>
      <c r="K9" s="2"/>
      <c r="L9" s="2"/>
      <c r="M9" s="2"/>
      <c r="N9" s="2"/>
      <c r="P9" s="6"/>
      <c r="Q9" s="6"/>
      <c r="R9" s="6"/>
      <c r="S9" s="6"/>
      <c r="T9" s="6"/>
      <c r="U9" s="6"/>
      <c r="V9" s="6"/>
      <c r="W9" s="6"/>
      <c r="X9" s="6"/>
      <c r="Y9" s="6"/>
      <c r="AA9" s="464"/>
      <c r="AB9" s="464"/>
    </row>
    <row r="10" spans="1:33">
      <c r="B10" s="224" t="s">
        <v>33</v>
      </c>
      <c r="C10" s="225"/>
      <c r="D10" s="225"/>
      <c r="E10" s="226"/>
      <c r="F10" s="2"/>
      <c r="G10" s="2"/>
      <c r="H10" s="2"/>
      <c r="I10" s="2"/>
      <c r="J10" s="2"/>
      <c r="K10" s="2"/>
      <c r="L10" s="2"/>
      <c r="M10" s="2"/>
      <c r="N10" s="2"/>
      <c r="P10" s="6"/>
      <c r="Q10" s="6"/>
      <c r="R10" s="6"/>
      <c r="S10" s="6"/>
      <c r="T10" s="6"/>
      <c r="U10" s="6"/>
      <c r="V10" s="6"/>
      <c r="W10" s="6"/>
      <c r="X10" s="6"/>
      <c r="Y10" s="6"/>
      <c r="AA10" s="464"/>
      <c r="AB10" s="464"/>
    </row>
    <row r="11" spans="1:33">
      <c r="F11" s="2"/>
      <c r="G11" s="2"/>
      <c r="H11" s="2"/>
      <c r="I11" s="2"/>
      <c r="J11" s="2"/>
      <c r="K11" s="2"/>
      <c r="L11" s="2"/>
      <c r="M11" s="2"/>
      <c r="N11" s="2"/>
      <c r="P11" s="6"/>
      <c r="Q11" s="6"/>
      <c r="R11" s="6"/>
      <c r="S11" s="6"/>
      <c r="T11" s="6"/>
      <c r="U11" s="6"/>
      <c r="V11" s="6"/>
      <c r="W11" s="6"/>
      <c r="X11" s="6"/>
      <c r="Y11" s="6"/>
      <c r="AA11" s="464"/>
      <c r="AB11" s="464"/>
    </row>
    <row r="12" spans="1:33">
      <c r="A12" s="20" t="s">
        <v>5</v>
      </c>
      <c r="B12" s="230" t="s">
        <v>444</v>
      </c>
      <c r="C12" s="230"/>
      <c r="D12" s="230"/>
      <c r="E12" s="230"/>
      <c r="F12" s="2"/>
      <c r="G12" s="2"/>
      <c r="H12" s="2"/>
      <c r="I12" s="2"/>
      <c r="J12" s="2"/>
      <c r="K12" s="2"/>
      <c r="L12" s="2"/>
      <c r="M12" s="2"/>
      <c r="N12" s="2"/>
      <c r="P12" s="6"/>
      <c r="Q12" s="6"/>
      <c r="R12" s="6"/>
      <c r="S12" s="6"/>
      <c r="T12" s="6"/>
      <c r="U12" s="6"/>
      <c r="V12" s="6"/>
      <c r="W12" s="6"/>
      <c r="X12" s="6"/>
      <c r="Y12" s="6"/>
      <c r="AA12" s="464"/>
      <c r="AB12" s="464"/>
    </row>
    <row r="13" spans="1:33">
      <c r="A13" s="20" t="s">
        <v>6</v>
      </c>
      <c r="B13" s="231">
        <f ca="1">TODAY()</f>
        <v>46222</v>
      </c>
      <c r="C13" s="231"/>
      <c r="D13" s="231"/>
      <c r="E13" s="231"/>
      <c r="F13" s="2"/>
      <c r="G13" s="2"/>
      <c r="H13" s="2"/>
      <c r="I13" s="2"/>
      <c r="J13" s="2"/>
      <c r="K13" s="2"/>
      <c r="L13" s="2"/>
      <c r="M13" s="2"/>
      <c r="N13" s="2"/>
      <c r="P13" s="6"/>
      <c r="Q13" s="6"/>
      <c r="R13" s="6"/>
      <c r="S13" s="6"/>
      <c r="T13" s="6"/>
      <c r="U13" s="6"/>
      <c r="V13" s="6"/>
      <c r="W13" s="6"/>
      <c r="X13" s="6"/>
      <c r="Y13" s="6"/>
      <c r="AA13" s="464"/>
      <c r="AB13" s="464"/>
    </row>
    <row r="14" spans="1:33">
      <c r="A14" s="20" t="s">
        <v>7</v>
      </c>
      <c r="B14" s="231" t="s">
        <v>33</v>
      </c>
      <c r="C14" s="231"/>
      <c r="D14" s="231"/>
      <c r="E14" s="231"/>
      <c r="X14" s="202"/>
      <c r="Y14" s="202"/>
      <c r="AA14" s="464"/>
      <c r="AB14" s="464"/>
    </row>
    <row r="15" spans="1:33">
      <c r="A15" s="5"/>
      <c r="X15" s="202"/>
      <c r="Y15" s="202"/>
      <c r="AB15" s="464"/>
    </row>
    <row r="16" spans="1:33">
      <c r="A16" s="21" t="s">
        <v>8</v>
      </c>
      <c r="B16" s="229" t="s">
        <v>33</v>
      </c>
      <c r="C16" s="229"/>
      <c r="D16" s="142" t="s">
        <v>142</v>
      </c>
      <c r="E16" s="142" t="s">
        <v>143</v>
      </c>
      <c r="F16" s="142" t="s">
        <v>144</v>
      </c>
      <c r="G16" s="142" t="s">
        <v>145</v>
      </c>
      <c r="H16" s="142" t="s">
        <v>146</v>
      </c>
      <c r="I16" s="142" t="s">
        <v>147</v>
      </c>
      <c r="J16" s="142" t="s">
        <v>148</v>
      </c>
      <c r="K16" s="142" t="s">
        <v>149</v>
      </c>
      <c r="L16" s="142" t="s">
        <v>150</v>
      </c>
      <c r="M16" s="142" t="s">
        <v>151</v>
      </c>
      <c r="N16" s="142" t="s">
        <v>152</v>
      </c>
      <c r="O16" s="142" t="s">
        <v>153</v>
      </c>
      <c r="P16" s="142" t="s">
        <v>154</v>
      </c>
      <c r="Q16" s="142" t="s">
        <v>155</v>
      </c>
      <c r="R16" s="142" t="s">
        <v>156</v>
      </c>
      <c r="S16" s="142" t="s">
        <v>157</v>
      </c>
      <c r="T16" s="142" t="s">
        <v>158</v>
      </c>
      <c r="U16" s="142" t="s">
        <v>159</v>
      </c>
      <c r="V16" s="142" t="s">
        <v>160</v>
      </c>
      <c r="W16" s="142" t="s">
        <v>161</v>
      </c>
      <c r="X16" s="143" t="s">
        <v>142</v>
      </c>
      <c r="Y16" s="143" t="s">
        <v>143</v>
      </c>
      <c r="Z16" s="143" t="s">
        <v>144</v>
      </c>
      <c r="AA16" s="143" t="s">
        <v>145</v>
      </c>
      <c r="AB16" s="143" t="s">
        <v>444</v>
      </c>
      <c r="AC16" s="143" t="s">
        <v>444</v>
      </c>
      <c r="AD16" s="143" t="s">
        <v>444</v>
      </c>
      <c r="AE16" s="143" t="s">
        <v>444</v>
      </c>
      <c r="AF16" s="143" t="s">
        <v>444</v>
      </c>
      <c r="AG16" s="143" t="s">
        <v>444</v>
      </c>
    </row>
    <row r="17" spans="1:33">
      <c r="A17" s="21" t="s">
        <v>9</v>
      </c>
      <c r="B17" s="229" t="s">
        <v>33</v>
      </c>
      <c r="C17" s="229"/>
      <c r="D17" s="22" t="s">
        <v>31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31</v>
      </c>
      <c r="M17" s="11" t="s">
        <v>31</v>
      </c>
      <c r="N17" s="11" t="s">
        <v>31</v>
      </c>
      <c r="O17" s="11" t="s">
        <v>31</v>
      </c>
      <c r="P17" s="11" t="s">
        <v>31</v>
      </c>
      <c r="Q17" s="11" t="s">
        <v>31</v>
      </c>
      <c r="R17" s="11" t="s">
        <v>31</v>
      </c>
      <c r="S17" s="11" t="s">
        <v>31</v>
      </c>
      <c r="T17" s="11" t="s">
        <v>31</v>
      </c>
      <c r="U17" s="11" t="s">
        <v>31</v>
      </c>
      <c r="V17" s="11" t="s">
        <v>31</v>
      </c>
      <c r="W17" s="11" t="s">
        <v>31</v>
      </c>
      <c r="X17" s="12" t="s">
        <v>32</v>
      </c>
      <c r="Y17" s="12" t="s">
        <v>32</v>
      </c>
      <c r="Z17" s="12" t="s">
        <v>32</v>
      </c>
      <c r="AA17" s="12" t="s">
        <v>32</v>
      </c>
      <c r="AB17" s="12" t="s">
        <v>444</v>
      </c>
      <c r="AC17" s="12" t="s">
        <v>444</v>
      </c>
      <c r="AD17" s="12" t="s">
        <v>444</v>
      </c>
      <c r="AE17" s="12" t="s">
        <v>444</v>
      </c>
      <c r="AF17" s="12" t="s">
        <v>444</v>
      </c>
      <c r="AG17" s="12" t="s">
        <v>444</v>
      </c>
    </row>
    <row r="18" spans="1:33">
      <c r="A18" s="21" t="s">
        <v>10</v>
      </c>
      <c r="B18" s="229" t="s">
        <v>33</v>
      </c>
      <c r="C18" s="229"/>
      <c r="D18" s="23" t="s">
        <v>11</v>
      </c>
      <c r="E18" s="23" t="s">
        <v>12</v>
      </c>
      <c r="F18" s="23" t="s">
        <v>13</v>
      </c>
      <c r="G18" s="23" t="s">
        <v>14</v>
      </c>
      <c r="H18" s="23" t="s">
        <v>15</v>
      </c>
      <c r="I18" s="23" t="s">
        <v>16</v>
      </c>
      <c r="J18" s="23" t="s">
        <v>17</v>
      </c>
      <c r="K18" s="23" t="s">
        <v>18</v>
      </c>
      <c r="L18" s="23" t="s">
        <v>19</v>
      </c>
      <c r="M18" s="23" t="s">
        <v>20</v>
      </c>
      <c r="N18" s="23" t="s">
        <v>21</v>
      </c>
      <c r="O18" s="23" t="s">
        <v>22</v>
      </c>
      <c r="P18" s="23" t="s">
        <v>23</v>
      </c>
      <c r="Q18" s="23" t="s">
        <v>24</v>
      </c>
      <c r="R18" s="23" t="s">
        <v>25</v>
      </c>
      <c r="S18" s="23" t="s">
        <v>26</v>
      </c>
      <c r="T18" s="23" t="s">
        <v>27</v>
      </c>
      <c r="U18" s="23" t="s">
        <v>28</v>
      </c>
      <c r="V18" s="23" t="s">
        <v>29</v>
      </c>
      <c r="W18" s="23" t="s">
        <v>30</v>
      </c>
      <c r="X18" s="13" t="s">
        <v>11</v>
      </c>
      <c r="Y18" s="13" t="s">
        <v>12</v>
      </c>
      <c r="Z18" s="13" t="s">
        <v>13</v>
      </c>
      <c r="AA18" s="13" t="s">
        <v>14</v>
      </c>
      <c r="AB18" s="13" t="s">
        <v>15</v>
      </c>
      <c r="AC18" s="13" t="s">
        <v>16</v>
      </c>
      <c r="AD18" s="13" t="s">
        <v>17</v>
      </c>
      <c r="AE18" s="13" t="s">
        <v>18</v>
      </c>
      <c r="AF18" s="13" t="s">
        <v>19</v>
      </c>
      <c r="AG18" s="13" t="s">
        <v>20</v>
      </c>
    </row>
    <row r="19" spans="1:33">
      <c r="C19" s="10" t="s">
        <v>34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>
        <v>1</v>
      </c>
      <c r="Y19" s="1">
        <v>1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  <c r="AF19" s="1" t="s">
        <v>33</v>
      </c>
      <c r="AG19" s="1" t="s">
        <v>33</v>
      </c>
    </row>
    <row r="20" spans="1:33">
      <c r="A20" s="198" t="s">
        <v>443</v>
      </c>
      <c r="C20" s="10" t="s">
        <v>35</v>
      </c>
      <c r="D20" s="199" t="s">
        <v>444</v>
      </c>
      <c r="E20" s="199" t="s">
        <v>448</v>
      </c>
      <c r="F20" s="199" t="s">
        <v>449</v>
      </c>
      <c r="G20" s="199" t="s">
        <v>450</v>
      </c>
      <c r="H20" s="199" t="s">
        <v>451</v>
      </c>
      <c r="I20" s="199" t="s">
        <v>444</v>
      </c>
      <c r="J20" s="199" t="s">
        <v>444</v>
      </c>
      <c r="K20" s="199" t="s">
        <v>444</v>
      </c>
      <c r="L20" s="199" t="s">
        <v>444</v>
      </c>
      <c r="M20" s="199" t="s">
        <v>444</v>
      </c>
      <c r="N20" s="199" t="s">
        <v>444</v>
      </c>
      <c r="O20" s="199" t="s">
        <v>444</v>
      </c>
      <c r="P20" s="199" t="s">
        <v>444</v>
      </c>
      <c r="Q20" s="199" t="s">
        <v>444</v>
      </c>
      <c r="R20" s="199" t="s">
        <v>444</v>
      </c>
      <c r="S20" s="199" t="s">
        <v>444</v>
      </c>
      <c r="T20" s="199" t="s">
        <v>444</v>
      </c>
      <c r="U20" s="199" t="s">
        <v>444</v>
      </c>
      <c r="V20" s="199" t="s">
        <v>444</v>
      </c>
      <c r="W20" s="199" t="s">
        <v>444</v>
      </c>
      <c r="X20" s="199" t="s">
        <v>122</v>
      </c>
      <c r="Y20" s="199" t="s">
        <v>448</v>
      </c>
      <c r="Z20" s="199" t="s">
        <v>444</v>
      </c>
      <c r="AA20" s="199" t="s">
        <v>444</v>
      </c>
      <c r="AB20" s="199" t="s">
        <v>444</v>
      </c>
      <c r="AC20" s="199" t="s">
        <v>444</v>
      </c>
      <c r="AD20" s="199" t="s">
        <v>444</v>
      </c>
      <c r="AE20" s="199" t="s">
        <v>444</v>
      </c>
      <c r="AF20" s="199" t="s">
        <v>444</v>
      </c>
      <c r="AG20" s="199" t="s">
        <v>444</v>
      </c>
    </row>
    <row r="21" spans="1:33">
      <c r="C21" s="10" t="s">
        <v>138</v>
      </c>
      <c r="D21" s="199" t="s">
        <v>444</v>
      </c>
      <c r="E21" s="199" t="s">
        <v>452</v>
      </c>
      <c r="F21" s="199" t="s">
        <v>452</v>
      </c>
      <c r="G21" s="199" t="s">
        <v>452</v>
      </c>
      <c r="H21" s="199" t="s">
        <v>452</v>
      </c>
      <c r="I21" s="199" t="s">
        <v>444</v>
      </c>
      <c r="J21" s="199" t="s">
        <v>444</v>
      </c>
      <c r="K21" s="199" t="s">
        <v>444</v>
      </c>
      <c r="L21" s="199" t="s">
        <v>444</v>
      </c>
      <c r="M21" s="199" t="s">
        <v>444</v>
      </c>
      <c r="N21" s="199" t="s">
        <v>444</v>
      </c>
      <c r="O21" s="199" t="s">
        <v>444</v>
      </c>
      <c r="P21" s="199" t="s">
        <v>444</v>
      </c>
      <c r="Q21" s="199" t="s">
        <v>444</v>
      </c>
      <c r="R21" s="199" t="s">
        <v>444</v>
      </c>
      <c r="S21" s="199" t="s">
        <v>444</v>
      </c>
      <c r="T21" s="199" t="s">
        <v>444</v>
      </c>
      <c r="U21" s="199" t="s">
        <v>444</v>
      </c>
      <c r="V21" s="199" t="s">
        <v>444</v>
      </c>
      <c r="W21" s="199" t="s">
        <v>444</v>
      </c>
      <c r="X21" s="199" t="s">
        <v>452</v>
      </c>
      <c r="Y21" s="199" t="s">
        <v>452</v>
      </c>
      <c r="Z21" s="199" t="s">
        <v>444</v>
      </c>
      <c r="AA21" s="199" t="s">
        <v>444</v>
      </c>
      <c r="AB21" s="199" t="s">
        <v>444</v>
      </c>
      <c r="AC21" s="199" t="s">
        <v>444</v>
      </c>
      <c r="AD21" s="199" t="s">
        <v>444</v>
      </c>
      <c r="AE21" s="199" t="s">
        <v>444</v>
      </c>
      <c r="AF21" s="199" t="s">
        <v>444</v>
      </c>
      <c r="AG21" s="199" t="s">
        <v>444</v>
      </c>
    </row>
    <row r="22" spans="1:33">
      <c r="C22" s="10" t="s">
        <v>308</v>
      </c>
      <c r="D22" s="199" t="s">
        <v>444</v>
      </c>
      <c r="E22" s="199" t="s">
        <v>123</v>
      </c>
      <c r="F22" s="199" t="s">
        <v>123</v>
      </c>
      <c r="G22" s="199" t="s">
        <v>123</v>
      </c>
      <c r="H22" s="199" t="s">
        <v>123</v>
      </c>
      <c r="I22" s="199" t="s">
        <v>444</v>
      </c>
      <c r="J22" s="199" t="s">
        <v>444</v>
      </c>
      <c r="K22" s="199" t="s">
        <v>444</v>
      </c>
      <c r="L22" s="199" t="s">
        <v>444</v>
      </c>
      <c r="M22" s="199" t="s">
        <v>444</v>
      </c>
      <c r="N22" s="199" t="s">
        <v>444</v>
      </c>
      <c r="O22" s="199" t="s">
        <v>444</v>
      </c>
      <c r="P22" s="199" t="s">
        <v>444</v>
      </c>
      <c r="Q22" s="199" t="s">
        <v>444</v>
      </c>
      <c r="R22" s="199" t="s">
        <v>444</v>
      </c>
      <c r="S22" s="199" t="s">
        <v>444</v>
      </c>
      <c r="T22" s="199" t="s">
        <v>444</v>
      </c>
      <c r="U22" s="199" t="s">
        <v>444</v>
      </c>
      <c r="V22" s="199" t="s">
        <v>444</v>
      </c>
      <c r="W22" s="199" t="s">
        <v>444</v>
      </c>
      <c r="X22" s="199">
        <v>1000</v>
      </c>
      <c r="Y22" s="199">
        <v>1001</v>
      </c>
      <c r="Z22" s="199" t="s">
        <v>444</v>
      </c>
      <c r="AA22" s="199" t="s">
        <v>444</v>
      </c>
      <c r="AB22" s="199" t="s">
        <v>444</v>
      </c>
      <c r="AC22" s="199" t="s">
        <v>444</v>
      </c>
      <c r="AD22" s="199" t="s">
        <v>444</v>
      </c>
      <c r="AE22" s="199" t="s">
        <v>444</v>
      </c>
      <c r="AF22" s="199" t="s">
        <v>444</v>
      </c>
      <c r="AG22" s="199" t="s">
        <v>444</v>
      </c>
    </row>
    <row r="23" spans="1:33">
      <c r="C23" s="10" t="s">
        <v>41</v>
      </c>
      <c r="D23" s="199" t="s">
        <v>444</v>
      </c>
      <c r="E23" s="199" t="s">
        <v>453</v>
      </c>
      <c r="F23" s="199" t="s">
        <v>453</v>
      </c>
      <c r="G23" s="199" t="s">
        <v>453</v>
      </c>
      <c r="H23" s="199" t="s">
        <v>453</v>
      </c>
      <c r="I23" s="199" t="s">
        <v>444</v>
      </c>
      <c r="J23" s="199" t="s">
        <v>444</v>
      </c>
      <c r="K23" s="199" t="s">
        <v>444</v>
      </c>
      <c r="L23" s="199" t="s">
        <v>444</v>
      </c>
      <c r="M23" s="199" t="s">
        <v>444</v>
      </c>
      <c r="N23" s="199" t="s">
        <v>444</v>
      </c>
      <c r="O23" s="199" t="s">
        <v>444</v>
      </c>
      <c r="P23" s="199" t="s">
        <v>444</v>
      </c>
      <c r="Q23" s="199" t="s">
        <v>444</v>
      </c>
      <c r="R23" s="199" t="s">
        <v>444</v>
      </c>
      <c r="S23" s="199" t="s">
        <v>444</v>
      </c>
      <c r="T23" s="199" t="s">
        <v>444</v>
      </c>
      <c r="U23" s="199" t="s">
        <v>444</v>
      </c>
      <c r="V23" s="199" t="s">
        <v>444</v>
      </c>
      <c r="W23" s="199" t="s">
        <v>444</v>
      </c>
      <c r="X23" s="199" t="s">
        <v>454</v>
      </c>
      <c r="Y23" s="199" t="s">
        <v>454</v>
      </c>
      <c r="Z23" s="199" t="s">
        <v>444</v>
      </c>
      <c r="AA23" s="199" t="s">
        <v>444</v>
      </c>
      <c r="AB23" s="199" t="s">
        <v>444</v>
      </c>
      <c r="AC23" s="199" t="s">
        <v>444</v>
      </c>
      <c r="AD23" s="199" t="s">
        <v>444</v>
      </c>
      <c r="AE23" s="199" t="s">
        <v>444</v>
      </c>
      <c r="AF23" s="199" t="s">
        <v>444</v>
      </c>
      <c r="AG23" s="199" t="s">
        <v>444</v>
      </c>
    </row>
    <row r="24" spans="1:33" ht="30">
      <c r="B24" s="196" t="s">
        <v>121</v>
      </c>
      <c r="C24" s="197">
        <v>0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  <c r="AF24" s="1" t="s">
        <v>33</v>
      </c>
      <c r="AG24" s="1" t="s">
        <v>33</v>
      </c>
    </row>
    <row r="25" spans="1:33">
      <c r="C25" s="10" t="s">
        <v>40</v>
      </c>
      <c r="D25" s="199" t="s">
        <v>444</v>
      </c>
      <c r="E25" s="199" t="s">
        <v>444</v>
      </c>
      <c r="F25" s="199" t="s">
        <v>444</v>
      </c>
      <c r="G25" s="199" t="s">
        <v>444</v>
      </c>
      <c r="H25" s="199" t="s">
        <v>444</v>
      </c>
      <c r="I25" s="199" t="s">
        <v>444</v>
      </c>
      <c r="J25" s="199" t="s">
        <v>444</v>
      </c>
      <c r="K25" s="199" t="s">
        <v>444</v>
      </c>
      <c r="L25" s="199" t="s">
        <v>444</v>
      </c>
      <c r="M25" s="199" t="s">
        <v>444</v>
      </c>
      <c r="N25" s="199" t="s">
        <v>444</v>
      </c>
      <c r="O25" s="199" t="s">
        <v>444</v>
      </c>
      <c r="P25" s="199" t="s">
        <v>444</v>
      </c>
      <c r="Q25" s="199" t="s">
        <v>444</v>
      </c>
      <c r="R25" s="199" t="s">
        <v>444</v>
      </c>
      <c r="S25" s="199" t="s">
        <v>444</v>
      </c>
      <c r="T25" s="199" t="s">
        <v>444</v>
      </c>
      <c r="U25" s="199" t="s">
        <v>444</v>
      </c>
      <c r="V25" s="199" t="s">
        <v>444</v>
      </c>
      <c r="W25" s="199" t="s">
        <v>444</v>
      </c>
      <c r="X25" s="199" t="s">
        <v>444</v>
      </c>
      <c r="Y25" s="199" t="s">
        <v>444</v>
      </c>
      <c r="Z25" s="199" t="s">
        <v>444</v>
      </c>
      <c r="AA25" s="199" t="s">
        <v>444</v>
      </c>
      <c r="AB25" s="199" t="s">
        <v>444</v>
      </c>
      <c r="AC25" s="199" t="s">
        <v>444</v>
      </c>
      <c r="AD25" s="199" t="s">
        <v>444</v>
      </c>
      <c r="AE25" s="199" t="s">
        <v>444</v>
      </c>
      <c r="AF25" s="199" t="s">
        <v>444</v>
      </c>
      <c r="AG25" s="199" t="s">
        <v>444</v>
      </c>
    </row>
    <row r="26" spans="1:33">
      <c r="C26" s="10" t="s">
        <v>44</v>
      </c>
      <c r="D26" s="1" t="s">
        <v>33</v>
      </c>
      <c r="E26" s="1" t="s">
        <v>33</v>
      </c>
      <c r="F26" s="1" t="s">
        <v>33</v>
      </c>
      <c r="G26" s="1" t="s">
        <v>33</v>
      </c>
      <c r="H26" s="1" t="s">
        <v>33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33</v>
      </c>
      <c r="X26" s="1">
        <v>10000</v>
      </c>
      <c r="Y26" s="1">
        <v>11000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  <c r="AF26" s="1" t="s">
        <v>33</v>
      </c>
      <c r="AG26" s="1" t="s">
        <v>33</v>
      </c>
    </row>
    <row r="27" spans="1:33">
      <c r="C27" s="10" t="s">
        <v>45</v>
      </c>
      <c r="D27" s="1" t="s">
        <v>33</v>
      </c>
      <c r="E27" s="1" t="s">
        <v>33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>
        <v>5000</v>
      </c>
      <c r="Y27" s="1">
        <v>5000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  <c r="AF27" s="1" t="s">
        <v>33</v>
      </c>
      <c r="AG27" s="1" t="s">
        <v>33</v>
      </c>
    </row>
    <row r="28" spans="1:33" s="8" customFormat="1" ht="30">
      <c r="C28" s="9" t="s">
        <v>49</v>
      </c>
      <c r="D28" s="199" t="s">
        <v>444</v>
      </c>
      <c r="E28" s="199" t="s">
        <v>444</v>
      </c>
      <c r="F28" s="199" t="s">
        <v>444</v>
      </c>
      <c r="G28" s="199" t="s">
        <v>444</v>
      </c>
      <c r="H28" s="199" t="s">
        <v>444</v>
      </c>
      <c r="I28" s="199" t="s">
        <v>444</v>
      </c>
      <c r="J28" s="199" t="s">
        <v>444</v>
      </c>
      <c r="K28" s="199" t="s">
        <v>444</v>
      </c>
      <c r="L28" s="199" t="s">
        <v>444</v>
      </c>
      <c r="M28" s="199" t="s">
        <v>444</v>
      </c>
      <c r="N28" s="199" t="s">
        <v>444</v>
      </c>
      <c r="O28" s="199" t="s">
        <v>444</v>
      </c>
      <c r="P28" s="199" t="s">
        <v>444</v>
      </c>
      <c r="Q28" s="199" t="s">
        <v>444</v>
      </c>
      <c r="R28" s="199" t="s">
        <v>444</v>
      </c>
      <c r="S28" s="199" t="s">
        <v>444</v>
      </c>
      <c r="T28" s="199" t="s">
        <v>444</v>
      </c>
      <c r="U28" s="199" t="s">
        <v>444</v>
      </c>
      <c r="V28" s="199" t="s">
        <v>444</v>
      </c>
      <c r="W28" s="199" t="s">
        <v>444</v>
      </c>
      <c r="X28" s="199">
        <v>400</v>
      </c>
      <c r="Y28" s="199">
        <v>400</v>
      </c>
      <c r="Z28" s="199" t="s">
        <v>444</v>
      </c>
      <c r="AA28" s="199" t="s">
        <v>444</v>
      </c>
      <c r="AB28" s="199" t="s">
        <v>444</v>
      </c>
      <c r="AC28" s="199" t="s">
        <v>444</v>
      </c>
      <c r="AD28" s="199" t="s">
        <v>444</v>
      </c>
      <c r="AE28" s="199" t="s">
        <v>444</v>
      </c>
      <c r="AF28" s="199" t="s">
        <v>444</v>
      </c>
      <c r="AG28" s="199" t="s">
        <v>444</v>
      </c>
    </row>
    <row r="29" spans="1:33">
      <c r="C29" s="10" t="s">
        <v>46</v>
      </c>
      <c r="D29" s="1" t="s">
        <v>124</v>
      </c>
      <c r="E29" s="1" t="s">
        <v>124</v>
      </c>
      <c r="F29" s="1" t="s">
        <v>124</v>
      </c>
      <c r="G29" s="1" t="s">
        <v>124</v>
      </c>
      <c r="H29" s="1" t="s">
        <v>124</v>
      </c>
      <c r="I29" s="1" t="s">
        <v>124</v>
      </c>
      <c r="J29" s="1" t="s">
        <v>124</v>
      </c>
      <c r="K29" s="1" t="s">
        <v>124</v>
      </c>
      <c r="L29" s="1" t="s">
        <v>124</v>
      </c>
      <c r="M29" s="1" t="s">
        <v>124</v>
      </c>
      <c r="N29" s="1" t="s">
        <v>124</v>
      </c>
      <c r="O29" s="1" t="s">
        <v>124</v>
      </c>
      <c r="P29" s="1" t="s">
        <v>124</v>
      </c>
      <c r="Q29" s="1" t="s">
        <v>124</v>
      </c>
      <c r="R29" s="1" t="s">
        <v>124</v>
      </c>
      <c r="S29" s="1" t="s">
        <v>124</v>
      </c>
      <c r="T29" s="1" t="s">
        <v>124</v>
      </c>
      <c r="U29" s="1" t="s">
        <v>124</v>
      </c>
      <c r="V29" s="1" t="s">
        <v>124</v>
      </c>
      <c r="W29" s="1" t="s">
        <v>124</v>
      </c>
      <c r="X29" s="1" t="s">
        <v>124</v>
      </c>
      <c r="Y29" s="1" t="s">
        <v>124</v>
      </c>
      <c r="Z29" s="1" t="s">
        <v>124</v>
      </c>
      <c r="AA29" s="1" t="s">
        <v>124</v>
      </c>
      <c r="AB29" s="1" t="s">
        <v>124</v>
      </c>
      <c r="AC29" s="1" t="s">
        <v>124</v>
      </c>
      <c r="AD29" s="1" t="s">
        <v>124</v>
      </c>
      <c r="AE29" s="1" t="s">
        <v>124</v>
      </c>
      <c r="AF29" s="1" t="s">
        <v>124</v>
      </c>
      <c r="AG29" s="1" t="s">
        <v>124</v>
      </c>
    </row>
    <row r="30" spans="1:33">
      <c r="C30" s="10" t="s">
        <v>169</v>
      </c>
      <c r="D30" s="1" t="s">
        <v>48</v>
      </c>
      <c r="E30" s="1" t="s">
        <v>48</v>
      </c>
      <c r="F30" s="1" t="s">
        <v>48</v>
      </c>
      <c r="G30" s="1" t="s">
        <v>48</v>
      </c>
      <c r="H30" s="1" t="s">
        <v>48</v>
      </c>
      <c r="I30" s="1" t="s">
        <v>48</v>
      </c>
      <c r="J30" s="1" t="s">
        <v>48</v>
      </c>
      <c r="K30" s="1" t="s">
        <v>48</v>
      </c>
      <c r="L30" s="1" t="s">
        <v>48</v>
      </c>
      <c r="M30" s="1" t="s">
        <v>48</v>
      </c>
      <c r="N30" s="1" t="s">
        <v>48</v>
      </c>
      <c r="O30" s="1" t="s">
        <v>48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 t="s">
        <v>48</v>
      </c>
      <c r="AB30" s="1" t="s">
        <v>48</v>
      </c>
      <c r="AC30" s="1" t="s">
        <v>48</v>
      </c>
      <c r="AD30" s="1" t="s">
        <v>48</v>
      </c>
      <c r="AE30" s="1" t="s">
        <v>48</v>
      </c>
      <c r="AF30" s="1" t="s">
        <v>48</v>
      </c>
      <c r="AG30" s="1" t="s">
        <v>48</v>
      </c>
    </row>
    <row r="31" spans="1:33">
      <c r="C31" s="10" t="s">
        <v>60</v>
      </c>
      <c r="D31" s="1" t="s">
        <v>125</v>
      </c>
      <c r="E31" s="1" t="s">
        <v>125</v>
      </c>
      <c r="F31" s="1" t="s">
        <v>125</v>
      </c>
      <c r="G31" s="1" t="s">
        <v>125</v>
      </c>
      <c r="H31" s="1" t="s">
        <v>125</v>
      </c>
      <c r="I31" s="1" t="s">
        <v>125</v>
      </c>
      <c r="J31" s="1" t="s">
        <v>125</v>
      </c>
      <c r="K31" s="1" t="s">
        <v>125</v>
      </c>
      <c r="L31" s="1" t="s">
        <v>125</v>
      </c>
      <c r="M31" s="1" t="s">
        <v>125</v>
      </c>
      <c r="N31" s="1" t="s">
        <v>125</v>
      </c>
      <c r="O31" s="1" t="s">
        <v>125</v>
      </c>
      <c r="P31" s="1" t="s">
        <v>125</v>
      </c>
      <c r="Q31" s="1" t="s">
        <v>125</v>
      </c>
      <c r="R31" s="1" t="s">
        <v>125</v>
      </c>
      <c r="S31" s="1" t="s">
        <v>125</v>
      </c>
      <c r="T31" s="1" t="s">
        <v>125</v>
      </c>
      <c r="U31" s="1" t="s">
        <v>125</v>
      </c>
      <c r="V31" s="1" t="s">
        <v>125</v>
      </c>
      <c r="W31" s="1" t="s">
        <v>125</v>
      </c>
      <c r="X31" s="1" t="s">
        <v>125</v>
      </c>
      <c r="Y31" s="1" t="s">
        <v>125</v>
      </c>
      <c r="Z31" s="1" t="s">
        <v>125</v>
      </c>
      <c r="AA31" s="1" t="s">
        <v>125</v>
      </c>
      <c r="AB31" s="1" t="s">
        <v>125</v>
      </c>
      <c r="AC31" s="1" t="s">
        <v>125</v>
      </c>
      <c r="AD31" s="1" t="s">
        <v>125</v>
      </c>
      <c r="AE31" s="1" t="s">
        <v>125</v>
      </c>
      <c r="AF31" s="1" t="s">
        <v>125</v>
      </c>
      <c r="AG31" s="1" t="s">
        <v>125</v>
      </c>
    </row>
    <row r="32" spans="1:33" ht="45">
      <c r="C32" s="7" t="s">
        <v>63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99">
        <v>2</v>
      </c>
      <c r="Y32" s="199">
        <v>2</v>
      </c>
      <c r="Z32" s="199" t="s">
        <v>444</v>
      </c>
      <c r="AA32" s="199" t="s">
        <v>444</v>
      </c>
      <c r="AB32" s="199" t="s">
        <v>444</v>
      </c>
      <c r="AC32" s="199" t="s">
        <v>444</v>
      </c>
      <c r="AD32" s="199" t="s">
        <v>444</v>
      </c>
      <c r="AE32" s="199" t="s">
        <v>444</v>
      </c>
      <c r="AF32" s="199" t="s">
        <v>444</v>
      </c>
      <c r="AG32" s="199" t="s">
        <v>444</v>
      </c>
    </row>
    <row r="33" spans="2:33">
      <c r="C33" s="10" t="s">
        <v>61</v>
      </c>
      <c r="D33" s="1" t="s">
        <v>126</v>
      </c>
      <c r="E33" s="1" t="s">
        <v>126</v>
      </c>
      <c r="F33" s="1" t="s">
        <v>126</v>
      </c>
      <c r="G33" s="1" t="s">
        <v>126</v>
      </c>
      <c r="H33" s="1" t="s">
        <v>126</v>
      </c>
      <c r="I33" s="1" t="s">
        <v>126</v>
      </c>
      <c r="J33" s="1" t="s">
        <v>126</v>
      </c>
      <c r="K33" s="1" t="s">
        <v>126</v>
      </c>
      <c r="L33" s="1" t="s">
        <v>126</v>
      </c>
      <c r="M33" s="1" t="s">
        <v>126</v>
      </c>
      <c r="N33" s="1" t="s">
        <v>126</v>
      </c>
      <c r="O33" s="1" t="s">
        <v>126</v>
      </c>
      <c r="P33" s="1" t="s">
        <v>126</v>
      </c>
      <c r="Q33" s="1" t="s">
        <v>126</v>
      </c>
      <c r="R33" s="1" t="s">
        <v>126</v>
      </c>
      <c r="S33" s="1" t="s">
        <v>126</v>
      </c>
      <c r="T33" s="1" t="s">
        <v>126</v>
      </c>
      <c r="U33" s="1" t="s">
        <v>126</v>
      </c>
      <c r="V33" s="1" t="s">
        <v>126</v>
      </c>
      <c r="W33" s="1" t="s">
        <v>126</v>
      </c>
      <c r="X33" s="1" t="s">
        <v>126</v>
      </c>
      <c r="Y33" s="1" t="s">
        <v>126</v>
      </c>
      <c r="Z33" s="1" t="s">
        <v>126</v>
      </c>
      <c r="AA33" s="1" t="s">
        <v>126</v>
      </c>
      <c r="AB33" s="1" t="s">
        <v>126</v>
      </c>
      <c r="AC33" s="1" t="s">
        <v>126</v>
      </c>
      <c r="AD33" s="1" t="s">
        <v>126</v>
      </c>
      <c r="AE33" s="1" t="s">
        <v>126</v>
      </c>
      <c r="AF33" s="1" t="s">
        <v>126</v>
      </c>
      <c r="AG33" s="1" t="s">
        <v>126</v>
      </c>
    </row>
    <row r="34" spans="2:33">
      <c r="C34" s="10" t="s">
        <v>445</v>
      </c>
      <c r="D34" s="199" t="s">
        <v>444</v>
      </c>
      <c r="E34" s="199" t="s">
        <v>444</v>
      </c>
      <c r="F34" s="199" t="s">
        <v>444</v>
      </c>
      <c r="G34" s="199" t="s">
        <v>444</v>
      </c>
      <c r="H34" s="199" t="s">
        <v>444</v>
      </c>
      <c r="I34" s="199" t="s">
        <v>444</v>
      </c>
      <c r="J34" s="199" t="s">
        <v>444</v>
      </c>
      <c r="K34" s="199" t="s">
        <v>444</v>
      </c>
      <c r="L34" s="199" t="s">
        <v>444</v>
      </c>
      <c r="M34" s="199" t="s">
        <v>444</v>
      </c>
      <c r="N34" s="199" t="s">
        <v>444</v>
      </c>
      <c r="O34" s="199" t="s">
        <v>444</v>
      </c>
      <c r="P34" s="199" t="s">
        <v>444</v>
      </c>
      <c r="Q34" s="199" t="s">
        <v>444</v>
      </c>
      <c r="R34" s="199" t="s">
        <v>444</v>
      </c>
      <c r="S34" s="199" t="s">
        <v>444</v>
      </c>
      <c r="T34" s="199" t="s">
        <v>444</v>
      </c>
      <c r="U34" s="199" t="s">
        <v>444</v>
      </c>
      <c r="V34" s="199" t="s">
        <v>444</v>
      </c>
      <c r="W34" s="199" t="s">
        <v>444</v>
      </c>
      <c r="X34" s="199" t="s">
        <v>447</v>
      </c>
      <c r="Y34" s="199" t="s">
        <v>447</v>
      </c>
      <c r="Z34" s="199" t="s">
        <v>444</v>
      </c>
      <c r="AA34" s="199" t="s">
        <v>444</v>
      </c>
      <c r="AB34" s="199" t="s">
        <v>444</v>
      </c>
      <c r="AC34" s="199" t="s">
        <v>444</v>
      </c>
      <c r="AD34" s="199" t="s">
        <v>444</v>
      </c>
      <c r="AE34" s="199" t="s">
        <v>444</v>
      </c>
      <c r="AF34" s="199" t="s">
        <v>444</v>
      </c>
      <c r="AG34" s="199" t="s">
        <v>444</v>
      </c>
    </row>
    <row r="35" spans="2:33">
      <c r="C35" s="10" t="s">
        <v>50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51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  <c r="R35" s="1" t="s">
        <v>51</v>
      </c>
      <c r="S35" s="1" t="s">
        <v>51</v>
      </c>
      <c r="T35" s="1" t="s">
        <v>51</v>
      </c>
      <c r="U35" s="1" t="s">
        <v>51</v>
      </c>
      <c r="V35" s="1" t="s">
        <v>51</v>
      </c>
      <c r="W35" s="1" t="s">
        <v>52</v>
      </c>
      <c r="X35" s="1" t="s">
        <v>163</v>
      </c>
      <c r="Y35" s="1" t="s">
        <v>163</v>
      </c>
      <c r="Z35" s="1" t="s">
        <v>163</v>
      </c>
      <c r="AA35" s="1" t="s">
        <v>163</v>
      </c>
      <c r="AB35" s="1" t="s">
        <v>163</v>
      </c>
      <c r="AC35" s="1" t="s">
        <v>163</v>
      </c>
      <c r="AD35" s="1" t="s">
        <v>163</v>
      </c>
      <c r="AE35" s="1" t="s">
        <v>163</v>
      </c>
      <c r="AF35" s="1" t="s">
        <v>163</v>
      </c>
      <c r="AG35" s="1" t="s">
        <v>163</v>
      </c>
    </row>
    <row r="36" spans="2:33" ht="16.5" customHeight="1">
      <c r="C36" s="10" t="s">
        <v>62</v>
      </c>
      <c r="D36" s="199" t="s">
        <v>444</v>
      </c>
      <c r="E36" s="199" t="s">
        <v>444</v>
      </c>
      <c r="F36" s="199" t="s">
        <v>444</v>
      </c>
      <c r="G36" s="199" t="s">
        <v>444</v>
      </c>
      <c r="H36" s="199" t="s">
        <v>444</v>
      </c>
      <c r="I36" s="199" t="s">
        <v>444</v>
      </c>
      <c r="J36" s="199" t="s">
        <v>444</v>
      </c>
      <c r="K36" s="199" t="s">
        <v>444</v>
      </c>
      <c r="L36" s="199" t="s">
        <v>444</v>
      </c>
      <c r="M36" s="199" t="s">
        <v>444</v>
      </c>
      <c r="N36" s="199" t="s">
        <v>444</v>
      </c>
      <c r="O36" s="199" t="s">
        <v>444</v>
      </c>
      <c r="P36" s="199" t="s">
        <v>444</v>
      </c>
      <c r="Q36" s="199" t="s">
        <v>444</v>
      </c>
      <c r="R36" s="199" t="s">
        <v>444</v>
      </c>
      <c r="S36" s="199" t="s">
        <v>444</v>
      </c>
      <c r="T36" s="199" t="s">
        <v>444</v>
      </c>
      <c r="U36" s="199" t="s">
        <v>444</v>
      </c>
      <c r="V36" s="199" t="s">
        <v>444</v>
      </c>
      <c r="W36" s="199" t="s">
        <v>444</v>
      </c>
      <c r="X36" s="199" t="s">
        <v>139</v>
      </c>
      <c r="Y36" s="199" t="s">
        <v>139</v>
      </c>
      <c r="Z36" s="199" t="s">
        <v>444</v>
      </c>
      <c r="AA36" s="199" t="s">
        <v>444</v>
      </c>
      <c r="AB36" s="199" t="s">
        <v>444</v>
      </c>
      <c r="AC36" s="199" t="s">
        <v>444</v>
      </c>
      <c r="AD36" s="199" t="s">
        <v>444</v>
      </c>
      <c r="AE36" s="199" t="s">
        <v>444</v>
      </c>
      <c r="AF36" s="199" t="s">
        <v>444</v>
      </c>
      <c r="AG36" s="199" t="s">
        <v>444</v>
      </c>
    </row>
    <row r="37" spans="2:33">
      <c r="B37" s="17" t="s">
        <v>64</v>
      </c>
      <c r="C37" s="14" t="s">
        <v>65</v>
      </c>
      <c r="D37" s="16" t="s">
        <v>33</v>
      </c>
      <c r="E37" s="16" t="s">
        <v>134</v>
      </c>
      <c r="F37" s="16" t="s">
        <v>134</v>
      </c>
      <c r="G37" s="16" t="s">
        <v>134</v>
      </c>
      <c r="H37" s="16" t="s">
        <v>134</v>
      </c>
      <c r="I37" s="16" t="s">
        <v>134</v>
      </c>
      <c r="J37" s="16" t="s">
        <v>134</v>
      </c>
      <c r="K37" s="16" t="s">
        <v>134</v>
      </c>
      <c r="L37" s="16" t="s">
        <v>134</v>
      </c>
      <c r="M37" s="16" t="s">
        <v>134</v>
      </c>
      <c r="N37" s="16" t="s">
        <v>134</v>
      </c>
      <c r="O37" s="16" t="s">
        <v>134</v>
      </c>
      <c r="P37" s="16" t="s">
        <v>134</v>
      </c>
      <c r="Q37" s="16" t="s">
        <v>134</v>
      </c>
      <c r="R37" s="16" t="s">
        <v>134</v>
      </c>
      <c r="S37" s="16" t="s">
        <v>134</v>
      </c>
      <c r="T37" s="16" t="s">
        <v>134</v>
      </c>
      <c r="U37" s="16" t="s">
        <v>134</v>
      </c>
      <c r="V37" s="16" t="s">
        <v>134</v>
      </c>
      <c r="W37" s="16" t="s">
        <v>134</v>
      </c>
      <c r="X37" s="16" t="s">
        <v>134</v>
      </c>
      <c r="Y37" s="16" t="s">
        <v>134</v>
      </c>
      <c r="Z37" s="16" t="s">
        <v>134</v>
      </c>
      <c r="AA37" s="16" t="s">
        <v>134</v>
      </c>
      <c r="AB37" s="16" t="s">
        <v>134</v>
      </c>
      <c r="AC37" s="16" t="s">
        <v>134</v>
      </c>
      <c r="AD37" s="16" t="s">
        <v>134</v>
      </c>
      <c r="AE37" s="16" t="s">
        <v>134</v>
      </c>
      <c r="AF37" s="16" t="s">
        <v>134</v>
      </c>
      <c r="AG37" s="16" t="s">
        <v>134</v>
      </c>
    </row>
    <row r="38" spans="2:33">
      <c r="C38" s="15" t="s">
        <v>66</v>
      </c>
      <c r="D38" s="16" t="s">
        <v>33</v>
      </c>
      <c r="E38" s="16" t="s">
        <v>134</v>
      </c>
      <c r="F38" s="16" t="s">
        <v>134</v>
      </c>
      <c r="G38" s="16" t="s">
        <v>134</v>
      </c>
      <c r="H38" s="16" t="s">
        <v>134</v>
      </c>
      <c r="I38" s="16" t="s">
        <v>134</v>
      </c>
      <c r="J38" s="16" t="s">
        <v>134</v>
      </c>
      <c r="K38" s="16" t="s">
        <v>134</v>
      </c>
      <c r="L38" s="16" t="s">
        <v>134</v>
      </c>
      <c r="M38" s="16" t="s">
        <v>134</v>
      </c>
      <c r="N38" s="16" t="s">
        <v>134</v>
      </c>
      <c r="O38" s="16" t="s">
        <v>134</v>
      </c>
      <c r="P38" s="16" t="s">
        <v>134</v>
      </c>
      <c r="Q38" s="16" t="s">
        <v>134</v>
      </c>
      <c r="R38" s="16" t="s">
        <v>134</v>
      </c>
      <c r="S38" s="16" t="s">
        <v>134</v>
      </c>
      <c r="T38" s="16" t="s">
        <v>134</v>
      </c>
      <c r="U38" s="16" t="s">
        <v>134</v>
      </c>
      <c r="V38" s="16" t="s">
        <v>134</v>
      </c>
      <c r="W38" s="16" t="s">
        <v>134</v>
      </c>
      <c r="X38" s="16" t="s">
        <v>134</v>
      </c>
      <c r="Y38" s="16" t="s">
        <v>134</v>
      </c>
      <c r="Z38" s="16" t="s">
        <v>134</v>
      </c>
      <c r="AA38" s="16" t="s">
        <v>134</v>
      </c>
      <c r="AB38" s="16" t="s">
        <v>134</v>
      </c>
      <c r="AC38" s="16" t="s">
        <v>134</v>
      </c>
      <c r="AD38" s="16" t="s">
        <v>134</v>
      </c>
      <c r="AE38" s="16" t="s">
        <v>134</v>
      </c>
      <c r="AF38" s="16" t="s">
        <v>134</v>
      </c>
      <c r="AG38" s="16" t="s">
        <v>134</v>
      </c>
    </row>
    <row r="39" spans="2:33">
      <c r="C39" s="14" t="s">
        <v>67</v>
      </c>
      <c r="D39" s="463"/>
      <c r="E39" s="16" t="s">
        <v>134</v>
      </c>
      <c r="F39" s="16" t="s">
        <v>134</v>
      </c>
      <c r="G39" s="16" t="s">
        <v>134</v>
      </c>
      <c r="H39" s="16" t="s">
        <v>134</v>
      </c>
      <c r="I39" s="16" t="s">
        <v>134</v>
      </c>
      <c r="J39" s="16" t="s">
        <v>134</v>
      </c>
      <c r="K39" s="16" t="s">
        <v>134</v>
      </c>
      <c r="L39" s="16" t="s">
        <v>134</v>
      </c>
      <c r="M39" s="16" t="s">
        <v>134</v>
      </c>
      <c r="N39" s="16" t="s">
        <v>134</v>
      </c>
      <c r="O39" s="16" t="s">
        <v>134</v>
      </c>
      <c r="P39" s="16" t="s">
        <v>134</v>
      </c>
      <c r="Q39" s="16" t="s">
        <v>134</v>
      </c>
      <c r="R39" s="16" t="s">
        <v>134</v>
      </c>
      <c r="S39" s="16" t="s">
        <v>134</v>
      </c>
      <c r="T39" s="16" t="s">
        <v>134</v>
      </c>
      <c r="U39" s="16" t="s">
        <v>134</v>
      </c>
      <c r="V39" s="16" t="s">
        <v>134</v>
      </c>
      <c r="W39" s="16" t="s">
        <v>134</v>
      </c>
      <c r="X39" s="16" t="s">
        <v>134</v>
      </c>
      <c r="Y39" s="16" t="s">
        <v>134</v>
      </c>
      <c r="Z39" s="16" t="s">
        <v>134</v>
      </c>
      <c r="AA39" s="16" t="s">
        <v>134</v>
      </c>
      <c r="AB39" s="16" t="s">
        <v>134</v>
      </c>
      <c r="AC39" s="16" t="s">
        <v>134</v>
      </c>
      <c r="AD39" s="16" t="s">
        <v>134</v>
      </c>
      <c r="AE39" s="16" t="s">
        <v>134</v>
      </c>
      <c r="AF39" s="16" t="s">
        <v>134</v>
      </c>
      <c r="AG39" s="16" t="s">
        <v>134</v>
      </c>
    </row>
    <row r="40" spans="2:33">
      <c r="C40" s="14" t="s">
        <v>47</v>
      </c>
      <c r="D40" s="16" t="s">
        <v>33</v>
      </c>
      <c r="E40" s="16" t="s">
        <v>134</v>
      </c>
      <c r="F40" s="16" t="s">
        <v>134</v>
      </c>
      <c r="G40" s="16" t="s">
        <v>134</v>
      </c>
      <c r="H40" s="16" t="s">
        <v>134</v>
      </c>
      <c r="I40" s="16" t="s">
        <v>134</v>
      </c>
      <c r="J40" s="16" t="s">
        <v>134</v>
      </c>
      <c r="K40" s="16" t="s">
        <v>134</v>
      </c>
      <c r="L40" s="16" t="s">
        <v>134</v>
      </c>
      <c r="M40" s="16" t="s">
        <v>134</v>
      </c>
      <c r="N40" s="16" t="s">
        <v>134</v>
      </c>
      <c r="O40" s="16" t="s">
        <v>134</v>
      </c>
      <c r="P40" s="16" t="s">
        <v>134</v>
      </c>
      <c r="Q40" s="16" t="s">
        <v>134</v>
      </c>
      <c r="R40" s="16" t="s">
        <v>134</v>
      </c>
      <c r="S40" s="16" t="s">
        <v>134</v>
      </c>
      <c r="T40" s="16" t="s">
        <v>134</v>
      </c>
      <c r="U40" s="16" t="s">
        <v>134</v>
      </c>
      <c r="V40" s="16" t="s">
        <v>134</v>
      </c>
      <c r="W40" s="16" t="s">
        <v>134</v>
      </c>
      <c r="X40" s="16" t="s">
        <v>134</v>
      </c>
      <c r="Y40" s="16" t="s">
        <v>134</v>
      </c>
      <c r="Z40" s="16" t="s">
        <v>134</v>
      </c>
      <c r="AA40" s="16" t="s">
        <v>134</v>
      </c>
      <c r="AB40" s="16" t="s">
        <v>134</v>
      </c>
      <c r="AC40" s="16" t="s">
        <v>134</v>
      </c>
      <c r="AD40" s="16" t="s">
        <v>134</v>
      </c>
      <c r="AE40" s="16" t="s">
        <v>134</v>
      </c>
      <c r="AF40" s="16" t="s">
        <v>134</v>
      </c>
      <c r="AG40" s="16" t="s">
        <v>134</v>
      </c>
    </row>
    <row r="41" spans="2:33">
      <c r="C41" s="10" t="s">
        <v>68</v>
      </c>
      <c r="D41" s="199" t="s">
        <v>321</v>
      </c>
      <c r="E41" s="199" t="s">
        <v>321</v>
      </c>
      <c r="F41" s="199" t="s">
        <v>321</v>
      </c>
      <c r="G41" s="199" t="s">
        <v>321</v>
      </c>
      <c r="H41" s="199" t="s">
        <v>321</v>
      </c>
      <c r="I41" s="199" t="s">
        <v>444</v>
      </c>
      <c r="J41" s="199" t="s">
        <v>444</v>
      </c>
      <c r="K41" s="199" t="s">
        <v>444</v>
      </c>
      <c r="L41" s="199" t="s">
        <v>444</v>
      </c>
      <c r="M41" s="199" t="s">
        <v>444</v>
      </c>
      <c r="N41" s="199" t="s">
        <v>444</v>
      </c>
      <c r="O41" s="199" t="s">
        <v>444</v>
      </c>
      <c r="P41" s="199" t="s">
        <v>444</v>
      </c>
      <c r="Q41" s="199" t="s">
        <v>444</v>
      </c>
      <c r="R41" s="199" t="s">
        <v>444</v>
      </c>
      <c r="S41" s="199" t="s">
        <v>444</v>
      </c>
      <c r="T41" s="199" t="s">
        <v>444</v>
      </c>
      <c r="U41" s="199" t="s">
        <v>444</v>
      </c>
      <c r="V41" s="199" t="s">
        <v>444</v>
      </c>
      <c r="W41" s="199" t="s">
        <v>444</v>
      </c>
      <c r="X41" s="199" t="s">
        <v>321</v>
      </c>
      <c r="Y41" s="199" t="s">
        <v>444</v>
      </c>
      <c r="Z41" s="199" t="s">
        <v>444</v>
      </c>
      <c r="AA41" s="199" t="s">
        <v>444</v>
      </c>
      <c r="AB41" s="199" t="s">
        <v>444</v>
      </c>
      <c r="AC41" s="199" t="s">
        <v>444</v>
      </c>
      <c r="AD41" s="199" t="s">
        <v>444</v>
      </c>
      <c r="AE41" s="199" t="s">
        <v>444</v>
      </c>
      <c r="AF41" s="199" t="s">
        <v>444</v>
      </c>
      <c r="AG41" s="199" t="s">
        <v>444</v>
      </c>
    </row>
    <row r="42" spans="2:33">
      <c r="C42" s="63" t="s">
        <v>127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</row>
    <row r="43" spans="2:33">
      <c r="C43" s="63" t="s">
        <v>132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2:33">
      <c r="C44" s="63" t="s">
        <v>133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2:33">
      <c r="C45" s="64" t="s">
        <v>128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2:33">
      <c r="C46" s="64" t="s">
        <v>129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2:33">
      <c r="C47" s="64" t="s">
        <v>130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2:33">
      <c r="C48" s="63" t="s">
        <v>131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3:33">
      <c r="C49" s="200" t="s">
        <v>446</v>
      </c>
      <c r="D49" s="201" t="s">
        <v>444</v>
      </c>
      <c r="E49" s="201" t="s">
        <v>444</v>
      </c>
      <c r="F49" s="201" t="s">
        <v>444</v>
      </c>
      <c r="G49" s="201" t="s">
        <v>444</v>
      </c>
      <c r="H49" s="201" t="s">
        <v>444</v>
      </c>
      <c r="I49" s="201" t="s">
        <v>444</v>
      </c>
      <c r="J49" s="201" t="s">
        <v>444</v>
      </c>
      <c r="K49" s="201" t="s">
        <v>444</v>
      </c>
      <c r="L49" s="201" t="s">
        <v>444</v>
      </c>
      <c r="M49" s="201" t="s">
        <v>444</v>
      </c>
      <c r="N49" s="201" t="s">
        <v>444</v>
      </c>
      <c r="O49" s="201" t="s">
        <v>444</v>
      </c>
      <c r="P49" s="201" t="s">
        <v>444</v>
      </c>
      <c r="Q49" s="201" t="s">
        <v>444</v>
      </c>
      <c r="R49" s="201" t="s">
        <v>444</v>
      </c>
      <c r="S49" s="201" t="s">
        <v>444</v>
      </c>
      <c r="T49" s="201" t="s">
        <v>444</v>
      </c>
      <c r="U49" s="201" t="s">
        <v>444</v>
      </c>
      <c r="V49" s="201" t="s">
        <v>444</v>
      </c>
      <c r="W49" s="201" t="s">
        <v>444</v>
      </c>
      <c r="X49" s="201" t="s">
        <v>444</v>
      </c>
      <c r="Y49" s="201" t="s">
        <v>444</v>
      </c>
      <c r="Z49" s="201" t="s">
        <v>444</v>
      </c>
      <c r="AA49" s="201" t="s">
        <v>444</v>
      </c>
      <c r="AB49" s="201" t="s">
        <v>444</v>
      </c>
      <c r="AC49" s="201" t="s">
        <v>444</v>
      </c>
      <c r="AD49" s="201" t="s">
        <v>444</v>
      </c>
      <c r="AE49" s="201" t="s">
        <v>444</v>
      </c>
      <c r="AF49" s="201" t="s">
        <v>444</v>
      </c>
      <c r="AG49" s="201" t="s">
        <v>444</v>
      </c>
    </row>
    <row r="50" spans="3:33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3:33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3:33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3:3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3:33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</sheetData>
  <mergeCells count="15">
    <mergeCell ref="B10:E10"/>
    <mergeCell ref="B16:C16"/>
    <mergeCell ref="B17:C17"/>
    <mergeCell ref="B18:C18"/>
    <mergeCell ref="B12:E12"/>
    <mergeCell ref="B13:E13"/>
    <mergeCell ref="B14:E14"/>
    <mergeCell ref="B7:E7"/>
    <mergeCell ref="B8:E8"/>
    <mergeCell ref="B9:E9"/>
    <mergeCell ref="B2:E2"/>
    <mergeCell ref="B3:E3"/>
    <mergeCell ref="B4:E4"/>
    <mergeCell ref="B5:E5"/>
    <mergeCell ref="B6:E6"/>
  </mergeCells>
  <phoneticPr fontId="3" type="noConversion"/>
  <dataValidations xWindow="661" yWindow="670" count="13">
    <dataValidation type="list" allowBlank="1" showInputMessage="1" showErrorMessage="1" promptTitle="Input" prompt="Select the type from the list" sqref="B12" xr:uid="{1FADF117-925A-4BBE-80F2-68D0C15C5A9B}">
      <formula1>"Select, Supply Only - Collection, Supply Only Delivery, Supply &amp; Installation"</formula1>
    </dataValidation>
    <dataValidation type="list" allowBlank="1" showInputMessage="1" showErrorMessage="1" promptTitle="Input" prompt="Select the motor type from the list" sqref="D34:AG34" xr:uid="{D7F8ABD4-CB21-4F91-917F-7B10BDFED7CF}">
      <formula1>"Select, Dunker (S), Dunker (L)"</formula1>
    </dataValidation>
    <dataValidation type="list" allowBlank="1" showInputMessage="1" showErrorMessage="1" promptTitle="Input" prompt="Select the motor side from the list" sqref="D36:AG36" xr:uid="{537BAC1D-6D19-40DB-8A6F-F2D3C1BB9C64}">
      <formula1>"Select, Left, Right, ** See Motor Positions**"</formula1>
    </dataValidation>
    <dataValidation type="list" allowBlank="1" showInputMessage="1" showErrorMessage="1" promptTitle="Input" prompt="Select the CSV option from the list" sqref="AB3:AB8 X35:AG35" xr:uid="{CC431A0A-5D55-40E2-8238-575308DA3C28}">
      <formula1>"Select, CSV x 1, CSV x 2, CSV x 3, CSV x 4, CSV x 5, CSV x 6"</formula1>
    </dataValidation>
    <dataValidation type="list" allowBlank="1" showInputMessage="1" showErrorMessage="1" promptTitle="Input" prompt="Select the number from the list" sqref="X32:AG32" xr:uid="{258D5665-F047-4406-8BA8-28E464878A08}">
      <formula1>"Select, 1, 2, 3, 4, 5, 6"</formula1>
    </dataValidation>
    <dataValidation type="list" allowBlank="1" showInputMessage="1" showErrorMessage="1" promptTitle="Input" prompt="Select the end plate size from the list" sqref="D28:AG28" xr:uid="{3BE7B341-5BD9-4DA4-A7EC-716B70CCDA45}">
      <formula1>"Select, 160, 180, 200, 360, 400"</formula1>
    </dataValidation>
    <dataValidation type="list" allowBlank="1" showInputMessage="1" showErrorMessage="1" sqref="D21:AG21" xr:uid="{F7DBB33B-6B1D-4D25-82E8-E929AF66B649}">
      <formula1>"Select, Fire Curtain, Smoke Curtain"</formula1>
    </dataValidation>
    <dataValidation type="list" allowBlank="1" showInputMessage="1" showErrorMessage="1" sqref="AH22:AQ22" xr:uid="{C0AC0C75-76BA-4A27-BFF0-FF68500CA358}">
      <formula1>"600,1200,2000,3000,4000,5000,6000"</formula1>
    </dataValidation>
    <dataValidation type="list" allowBlank="1" showInputMessage="1" showErrorMessage="1" sqref="D23:AG23" xr:uid="{95C28733-EFD6-452F-BCFC-8A49FC92470D}">
      <formula1>"Select, In Fit, Face Fit, L/H In Fit R/H Face Fit, L/H Face Fit R/H In Fit, Recessed"</formula1>
    </dataValidation>
    <dataValidation type="list" allowBlank="1" showInputMessage="1" showErrorMessage="1" sqref="D20:AG20" xr:uid="{C05BB58A-246C-4041-AA18-BACFCED4258C}">
      <formula1>"Select, EN1634-1, EN12101"</formula1>
    </dataValidation>
    <dataValidation type="list" allowBlank="1" showInputMessage="1" showErrorMessage="1" sqref="D25:AG25" xr:uid="{C4097309-CE0B-4FCD-A14B-F5B48CDC8CED}">
      <formula1>"Select, THS 120 (7660/FC120), THS 120 (7660/FC240), FS Plus (5777 Bi 963), SmokeSafe"</formula1>
    </dataValidation>
    <dataValidation type="list" allowBlank="1" showInputMessage="1" showErrorMessage="1" sqref="D49:AG49 D41:AG41" xr:uid="{ED27E6AA-E74C-471C-9B24-84EC875D9DC5}">
      <formula1>"Select, Yes, No"</formula1>
    </dataValidation>
    <dataValidation type="list" allowBlank="1" showInputMessage="1" showErrorMessage="1" sqref="D22:AG22" xr:uid="{0F3D2852-9FC7-48E9-BDBB-F2B280022566}">
      <formula1>"Select, 300, 600, 1000, N/A"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4C1F-DF6B-4E1B-B801-C26FDE32ED0A}">
  <sheetPr>
    <tabColor rgb="FF7030A0"/>
    <pageSetUpPr fitToPage="1"/>
  </sheetPr>
  <dimension ref="A1:P800"/>
  <sheetViews>
    <sheetView zoomScaleNormal="100" zoomScaleSheetLayoutView="89" workbookViewId="0">
      <selection sqref="A1:L200"/>
    </sheetView>
  </sheetViews>
  <sheetFormatPr defaultRowHeight="15"/>
  <cols>
    <col min="1" max="1" width="12" customWidth="1"/>
    <col min="2" max="2" width="15.5703125" customWidth="1"/>
    <col min="3" max="3" width="11.28515625" customWidth="1"/>
    <col min="5" max="5" width="8.140625" customWidth="1"/>
    <col min="6" max="6" width="1.5703125" customWidth="1"/>
    <col min="7" max="7" width="7.7109375" customWidth="1"/>
    <col min="9" max="9" width="7.28515625" customWidth="1"/>
    <col min="10" max="10" width="5.28515625" customWidth="1"/>
    <col min="11" max="11" width="4.140625" customWidth="1"/>
    <col min="12" max="12" width="10.85546875" style="136" customWidth="1"/>
    <col min="13" max="13" width="9.140625" style="141"/>
    <col min="15" max="15" width="22.5703125" customWidth="1"/>
    <col min="16" max="16" width="39" customWidth="1"/>
    <col min="17" max="17" width="30.5703125" customWidth="1"/>
    <col min="18" max="18" width="15" customWidth="1"/>
  </cols>
  <sheetData>
    <row r="1" spans="1:16" ht="16.5" thickBot="1">
      <c r="A1" s="251" t="s">
        <v>69</v>
      </c>
      <c r="B1" s="252"/>
      <c r="C1" s="253">
        <f ca="1">'Data INPUT'!$B$13</f>
        <v>46222</v>
      </c>
      <c r="D1" s="254"/>
      <c r="E1" s="254"/>
      <c r="F1" s="254"/>
      <c r="G1" s="255" t="s">
        <v>7</v>
      </c>
      <c r="H1" s="255"/>
      <c r="I1" s="255"/>
      <c r="J1" s="256" t="str">
        <f>'Data INPUT'!$B$14</f>
        <v xml:space="preserve"> </v>
      </c>
      <c r="K1" s="257"/>
      <c r="L1" s="258"/>
      <c r="M1" s="423" t="s">
        <v>142</v>
      </c>
    </row>
    <row r="2" spans="1:16" ht="15.75">
      <c r="A2" s="259" t="s">
        <v>70</v>
      </c>
      <c r="B2" s="260"/>
      <c r="C2" s="261" t="str">
        <f>'Data INPUT'!$B$4</f>
        <v xml:space="preserve"> </v>
      </c>
      <c r="D2" s="262"/>
      <c r="E2" s="262"/>
      <c r="F2" s="262"/>
      <c r="G2" s="262"/>
      <c r="H2" s="262"/>
      <c r="I2" s="263"/>
      <c r="J2" s="264">
        <f>'Data INPUT'!D19</f>
        <v>1</v>
      </c>
      <c r="K2" s="265"/>
      <c r="L2" s="266"/>
      <c r="M2" s="424"/>
      <c r="O2" s="100" t="s">
        <v>218</v>
      </c>
      <c r="P2" s="101" t="s">
        <v>232</v>
      </c>
    </row>
    <row r="3" spans="1:16" ht="15.75">
      <c r="A3" s="232" t="s">
        <v>71</v>
      </c>
      <c r="B3" s="233"/>
      <c r="C3" s="234" t="str">
        <f>'Data INPUT'!$B$2</f>
        <v xml:space="preserve"> </v>
      </c>
      <c r="D3" s="235"/>
      <c r="E3" s="235"/>
      <c r="F3" s="235"/>
      <c r="G3" s="235"/>
      <c r="H3" s="235"/>
      <c r="I3" s="236"/>
      <c r="J3" s="237" t="str">
        <f>'Data INPUT'!D24</f>
        <v xml:space="preserve"> </v>
      </c>
      <c r="K3" s="238"/>
      <c r="L3" s="239"/>
      <c r="M3" s="424"/>
      <c r="O3" s="102" t="s">
        <v>219</v>
      </c>
      <c r="P3" s="103" t="s">
        <v>220</v>
      </c>
    </row>
    <row r="4" spans="1:16" ht="16.5" thickBot="1">
      <c r="A4" s="240" t="s">
        <v>0</v>
      </c>
      <c r="B4" s="241"/>
      <c r="C4" s="242" t="str">
        <f>'Data INPUT'!$B$3</f>
        <v xml:space="preserve"> </v>
      </c>
      <c r="D4" s="243"/>
      <c r="E4" s="243"/>
      <c r="F4" s="243"/>
      <c r="G4" s="243"/>
      <c r="H4" s="243"/>
      <c r="I4" s="244"/>
      <c r="J4" s="317" t="str">
        <f>'Data INPUT'!D18</f>
        <v>Curtain 1</v>
      </c>
      <c r="K4" s="318"/>
      <c r="L4" s="319"/>
      <c r="M4" s="424"/>
      <c r="O4" s="102" t="s">
        <v>312</v>
      </c>
      <c r="P4" s="103" t="s">
        <v>313</v>
      </c>
    </row>
    <row r="5" spans="1:16" ht="15.75" customHeight="1">
      <c r="A5" s="245" t="str">
        <f>'Data INPUT'!D21</f>
        <v>Select</v>
      </c>
      <c r="B5" s="247" t="str">
        <f>'Data INPUT'!D25</f>
        <v>Select</v>
      </c>
      <c r="C5" s="248"/>
      <c r="D5" s="313" t="str">
        <f>'Data INPUT'!D20</f>
        <v>Select</v>
      </c>
      <c r="E5" s="313"/>
      <c r="F5" s="314"/>
      <c r="G5" s="365" t="s">
        <v>72</v>
      </c>
      <c r="H5" s="366"/>
      <c r="I5" s="366"/>
      <c r="J5" s="366"/>
      <c r="K5" s="366"/>
      <c r="L5" s="367"/>
      <c r="M5" s="424"/>
      <c r="O5" s="102" t="s">
        <v>85</v>
      </c>
      <c r="P5" s="103" t="s">
        <v>221</v>
      </c>
    </row>
    <row r="6" spans="1:16" ht="16.5" thickBot="1">
      <c r="A6" s="246"/>
      <c r="B6" s="249"/>
      <c r="C6" s="250"/>
      <c r="D6" s="315"/>
      <c r="E6" s="315"/>
      <c r="F6" s="316"/>
      <c r="G6" s="305" t="str">
        <f>'Data INPUT'!$B$7</f>
        <v xml:space="preserve"> </v>
      </c>
      <c r="H6" s="306"/>
      <c r="I6" s="306"/>
      <c r="J6" s="306"/>
      <c r="K6" s="306"/>
      <c r="L6" s="307"/>
      <c r="M6" s="424"/>
      <c r="O6" s="102" t="s">
        <v>86</v>
      </c>
      <c r="P6" s="103" t="s">
        <v>227</v>
      </c>
    </row>
    <row r="7" spans="1:16" ht="15.75">
      <c r="A7" s="259" t="s">
        <v>74</v>
      </c>
      <c r="B7" s="260"/>
      <c r="C7" s="308" t="str">
        <f>'Data INPUT'!$B$12</f>
        <v>Select</v>
      </c>
      <c r="D7" s="308"/>
      <c r="E7" s="308"/>
      <c r="F7" s="309"/>
      <c r="G7" s="305" t="str">
        <f>'Data INPUT'!$B$8</f>
        <v xml:space="preserve"> </v>
      </c>
      <c r="H7" s="306"/>
      <c r="I7" s="306"/>
      <c r="J7" s="306"/>
      <c r="K7" s="306"/>
      <c r="L7" s="307"/>
      <c r="M7" s="424"/>
      <c r="O7" s="102" t="s">
        <v>90</v>
      </c>
      <c r="P7" s="103" t="s">
        <v>222</v>
      </c>
    </row>
    <row r="8" spans="1:16" ht="15.75">
      <c r="A8" s="232" t="s">
        <v>75</v>
      </c>
      <c r="B8" s="233"/>
      <c r="C8" s="310" t="str">
        <f>'Data INPUT'!D23</f>
        <v>Select</v>
      </c>
      <c r="D8" s="311"/>
      <c r="E8" s="311"/>
      <c r="F8" s="312"/>
      <c r="G8" s="305" t="str">
        <f>'Data INPUT'!$B$9</f>
        <v xml:space="preserve"> </v>
      </c>
      <c r="H8" s="306"/>
      <c r="I8" s="306"/>
      <c r="J8" s="306"/>
      <c r="K8" s="306"/>
      <c r="L8" s="307"/>
      <c r="M8" s="424"/>
      <c r="O8" s="102" t="s">
        <v>223</v>
      </c>
      <c r="P8" s="103" t="s">
        <v>224</v>
      </c>
    </row>
    <row r="9" spans="1:16" ht="15.75">
      <c r="A9" s="270" t="s">
        <v>76</v>
      </c>
      <c r="B9" s="271"/>
      <c r="C9" s="276">
        <v>1</v>
      </c>
      <c r="D9" s="277"/>
      <c r="E9" s="277"/>
      <c r="F9" s="278"/>
      <c r="G9" s="285" t="str">
        <f>'Data INPUT'!$B$10</f>
        <v xml:space="preserve"> </v>
      </c>
      <c r="H9" s="286"/>
      <c r="I9" s="286"/>
      <c r="J9" s="286"/>
      <c r="K9" s="286"/>
      <c r="L9" s="287"/>
      <c r="M9" s="424"/>
      <c r="O9" s="102" t="s">
        <v>225</v>
      </c>
      <c r="P9" s="103" t="s">
        <v>228</v>
      </c>
    </row>
    <row r="10" spans="1:16" ht="16.5" thickBot="1">
      <c r="A10" s="272"/>
      <c r="B10" s="273"/>
      <c r="C10" s="279"/>
      <c r="D10" s="280"/>
      <c r="E10" s="280"/>
      <c r="F10" s="281"/>
      <c r="G10" s="28" t="s">
        <v>77</v>
      </c>
      <c r="H10" s="29"/>
      <c r="I10" s="29"/>
      <c r="J10" s="288" t="str">
        <f>'Data INPUT'!$B$5</f>
        <v xml:space="preserve"> </v>
      </c>
      <c r="K10" s="288"/>
      <c r="L10" s="289"/>
      <c r="M10" s="424"/>
      <c r="O10" s="104" t="s">
        <v>108</v>
      </c>
      <c r="P10" s="105" t="s">
        <v>226</v>
      </c>
    </row>
    <row r="11" spans="1:16" ht="16.5" thickBot="1">
      <c r="A11" s="274"/>
      <c r="B11" s="275"/>
      <c r="C11" s="282"/>
      <c r="D11" s="283"/>
      <c r="E11" s="283"/>
      <c r="F11" s="284"/>
      <c r="G11" s="31" t="s">
        <v>78</v>
      </c>
      <c r="H11" s="32"/>
      <c r="I11" s="32"/>
      <c r="J11" s="290" t="str">
        <f>'Data INPUT'!$B$6</f>
        <v xml:space="preserve"> </v>
      </c>
      <c r="K11" s="290"/>
      <c r="L11" s="291"/>
      <c r="M11" s="424"/>
    </row>
    <row r="12" spans="1:16" ht="16.5" thickBot="1">
      <c r="A12" s="292" t="s">
        <v>79</v>
      </c>
      <c r="B12" s="293"/>
      <c r="C12" s="296" t="str">
        <f>'Data INPUT'!$B$16</f>
        <v xml:space="preserve"> </v>
      </c>
      <c r="D12" s="297"/>
      <c r="E12" s="297"/>
      <c r="F12" s="297"/>
      <c r="G12" s="297"/>
      <c r="H12" s="297"/>
      <c r="I12" s="297"/>
      <c r="J12" s="297"/>
      <c r="K12" s="297"/>
      <c r="L12" s="298"/>
      <c r="M12" s="424"/>
      <c r="O12" s="114" t="s">
        <v>237</v>
      </c>
    </row>
    <row r="13" spans="1:16" ht="15.75">
      <c r="A13" s="292"/>
      <c r="B13" s="293"/>
      <c r="C13" s="299" t="str">
        <f>'Data INPUT'!$B$17</f>
        <v xml:space="preserve"> </v>
      </c>
      <c r="D13" s="300"/>
      <c r="E13" s="300"/>
      <c r="F13" s="300"/>
      <c r="G13" s="300"/>
      <c r="H13" s="300"/>
      <c r="I13" s="300"/>
      <c r="J13" s="300"/>
      <c r="K13" s="300"/>
      <c r="L13" s="301"/>
      <c r="M13" s="424"/>
      <c r="O13" s="115" t="s">
        <v>238</v>
      </c>
    </row>
    <row r="14" spans="1:16" ht="16.5" thickBot="1">
      <c r="A14" s="294"/>
      <c r="B14" s="295"/>
      <c r="C14" s="302" t="str">
        <f>'Data INPUT'!$B$18</f>
        <v xml:space="preserve"> </v>
      </c>
      <c r="D14" s="303"/>
      <c r="E14" s="303"/>
      <c r="F14" s="303"/>
      <c r="G14" s="303"/>
      <c r="H14" s="303"/>
      <c r="I14" s="303"/>
      <c r="J14" s="303"/>
      <c r="K14" s="303"/>
      <c r="L14" s="304"/>
      <c r="M14" s="424"/>
      <c r="O14" s="116" t="s">
        <v>239</v>
      </c>
    </row>
    <row r="15" spans="1:16" ht="16.5" thickBot="1">
      <c r="A15" s="391" t="s">
        <v>80</v>
      </c>
      <c r="B15" s="392"/>
      <c r="C15" s="66" t="s">
        <v>42</v>
      </c>
      <c r="D15" s="66"/>
      <c r="E15" s="69" t="s">
        <v>43</v>
      </c>
      <c r="F15" s="66"/>
      <c r="G15" s="67"/>
      <c r="H15" s="275" t="s">
        <v>230</v>
      </c>
      <c r="I15" s="275"/>
      <c r="J15" s="275"/>
      <c r="K15" s="275"/>
      <c r="L15" s="393"/>
      <c r="M15" s="424"/>
      <c r="O15" s="116" t="s">
        <v>240</v>
      </c>
    </row>
    <row r="16" spans="1:16" ht="16.5" thickBot="1">
      <c r="A16" s="394" t="s">
        <v>81</v>
      </c>
      <c r="B16" s="395"/>
      <c r="C16" s="71" t="str">
        <f>'Data INPUT'!D26</f>
        <v xml:space="preserve"> </v>
      </c>
      <c r="D16" s="72" t="s">
        <v>82</v>
      </c>
      <c r="E16" s="70" t="str">
        <f>'Data INPUT'!D27</f>
        <v xml:space="preserve"> </v>
      </c>
      <c r="F16" s="73"/>
      <c r="G16" s="33"/>
      <c r="H16" s="396"/>
      <c r="I16" s="397"/>
      <c r="J16" s="397"/>
      <c r="K16" s="397"/>
      <c r="L16" s="398"/>
      <c r="M16" s="424"/>
      <c r="O16" s="117" t="s">
        <v>241</v>
      </c>
    </row>
    <row r="17" spans="1:13" ht="15.75">
      <c r="A17" s="34" t="s">
        <v>83</v>
      </c>
      <c r="B17" s="35" t="str">
        <f>D18</f>
        <v>Select</v>
      </c>
      <c r="C17" s="65" t="str">
        <f>C16</f>
        <v xml:space="preserve"> </v>
      </c>
      <c r="D17" s="37"/>
      <c r="E17" s="36"/>
      <c r="F17" s="38"/>
      <c r="G17" s="38"/>
      <c r="H17" s="399" t="s">
        <v>84</v>
      </c>
      <c r="I17" s="400"/>
      <c r="J17" s="400"/>
      <c r="K17" s="400"/>
      <c r="L17" s="401"/>
      <c r="M17" s="424"/>
    </row>
    <row r="18" spans="1:13" ht="15.75">
      <c r="A18" s="39" t="s">
        <v>85</v>
      </c>
      <c r="B18" s="35" t="str">
        <f>D18</f>
        <v>Select</v>
      </c>
      <c r="C18" s="68" t="s">
        <v>33</v>
      </c>
      <c r="D18" s="37" t="str">
        <f>'Data INPUT'!D28</f>
        <v>Select</v>
      </c>
      <c r="E18" s="37"/>
      <c r="F18" s="37" t="s">
        <v>33</v>
      </c>
      <c r="G18" s="53"/>
      <c r="H18" s="267" t="s">
        <v>33</v>
      </c>
      <c r="I18" s="268"/>
      <c r="J18" s="268"/>
      <c r="K18" s="268"/>
      <c r="L18" s="269"/>
      <c r="M18" s="424"/>
    </row>
    <row r="19" spans="1:13" ht="16.5" thickBot="1">
      <c r="A19" s="40" t="s">
        <v>86</v>
      </c>
      <c r="B19" s="41" t="str">
        <f>'Data INPUT'!D29</f>
        <v>Standard</v>
      </c>
      <c r="C19" s="72" t="e">
        <f>E16-B17+10</f>
        <v>#VALUE!</v>
      </c>
      <c r="D19" s="42" t="s">
        <v>82</v>
      </c>
      <c r="E19" s="30">
        <v>100</v>
      </c>
      <c r="F19" s="42" t="s">
        <v>82</v>
      </c>
      <c r="G19" s="42">
        <v>53</v>
      </c>
      <c r="H19" s="373"/>
      <c r="I19" s="374"/>
      <c r="J19" s="374"/>
      <c r="K19" s="374"/>
      <c r="L19" s="375"/>
      <c r="M19" s="424"/>
    </row>
    <row r="20" spans="1:13" ht="15.75">
      <c r="A20" s="43" t="s">
        <v>87</v>
      </c>
      <c r="B20" s="44" t="s">
        <v>170</v>
      </c>
      <c r="C20" s="45" t="e">
        <f>C21</f>
        <v>#VALUE!</v>
      </c>
      <c r="D20" s="45" t="s">
        <v>82</v>
      </c>
      <c r="E20" s="140">
        <v>1</v>
      </c>
      <c r="F20" s="46"/>
      <c r="G20" s="46"/>
      <c r="H20" s="376" t="s">
        <v>120</v>
      </c>
      <c r="I20" s="377"/>
      <c r="J20" s="377"/>
      <c r="K20" s="377"/>
      <c r="L20" s="378"/>
      <c r="M20" s="424"/>
    </row>
    <row r="21" spans="1:13" ht="16.5" thickBot="1">
      <c r="A21" s="47" t="s">
        <v>90</v>
      </c>
      <c r="B21" s="48"/>
      <c r="C21" s="49" t="e">
        <f>C16-180</f>
        <v>#VALUE!</v>
      </c>
      <c r="D21" s="49" t="s">
        <v>82</v>
      </c>
      <c r="E21" s="137">
        <v>1</v>
      </c>
      <c r="F21" s="50"/>
      <c r="G21" s="50"/>
      <c r="H21" s="379"/>
      <c r="I21" s="380"/>
      <c r="J21" s="380"/>
      <c r="K21" s="380"/>
      <c r="L21" s="381"/>
      <c r="M21" s="424"/>
    </row>
    <row r="22" spans="1:13" ht="15.75">
      <c r="A22" s="382" t="s">
        <v>91</v>
      </c>
      <c r="B22" s="383"/>
      <c r="C22" s="52" t="e">
        <f>C16-230</f>
        <v>#VALUE!</v>
      </c>
      <c r="D22" s="384" t="s">
        <v>33</v>
      </c>
      <c r="E22" s="384"/>
      <c r="F22" s="384"/>
      <c r="G22" s="385"/>
      <c r="H22" s="386" t="s">
        <v>92</v>
      </c>
      <c r="I22" s="366"/>
      <c r="J22" s="366"/>
      <c r="K22" s="366"/>
      <c r="L22" s="367"/>
      <c r="M22" s="424"/>
    </row>
    <row r="23" spans="1:13" ht="16.5" thickBot="1">
      <c r="A23" s="387" t="s">
        <v>171</v>
      </c>
      <c r="B23" s="388"/>
      <c r="C23" s="37" t="e">
        <f>C24</f>
        <v>#VALUE!</v>
      </c>
      <c r="D23" s="389"/>
      <c r="E23" s="389"/>
      <c r="F23" s="389"/>
      <c r="G23" s="390"/>
      <c r="H23" s="373"/>
      <c r="I23" s="374"/>
      <c r="J23" s="374"/>
      <c r="K23" s="374"/>
      <c r="L23" s="375"/>
      <c r="M23" s="424"/>
    </row>
    <row r="24" spans="1:13" ht="15.75">
      <c r="A24" s="370" t="s">
        <v>73</v>
      </c>
      <c r="B24" s="371"/>
      <c r="C24" s="52" t="e">
        <f>C16-100</f>
        <v>#VALUE!</v>
      </c>
      <c r="D24" s="52" t="s">
        <v>82</v>
      </c>
      <c r="E24" s="51" t="e">
        <f>E16+300</f>
        <v>#VALUE!</v>
      </c>
      <c r="F24" s="52"/>
      <c r="G24" s="54"/>
      <c r="H24" s="351" t="s">
        <v>93</v>
      </c>
      <c r="I24" s="352"/>
      <c r="J24" s="352"/>
      <c r="K24" s="352"/>
      <c r="L24" s="353"/>
      <c r="M24" s="424"/>
    </row>
    <row r="25" spans="1:13" ht="16.5" thickBot="1">
      <c r="A25" s="294"/>
      <c r="B25" s="372"/>
      <c r="C25" s="354" t="s">
        <v>136</v>
      </c>
      <c r="D25" s="355"/>
      <c r="E25" s="355"/>
      <c r="F25" s="355"/>
      <c r="G25" s="356"/>
      <c r="H25" s="357" t="s">
        <v>94</v>
      </c>
      <c r="I25" s="358"/>
      <c r="J25" s="358"/>
      <c r="K25" s="358"/>
      <c r="L25" s="359"/>
      <c r="M25" s="424"/>
    </row>
    <row r="26" spans="1:13" ht="16.5" thickBot="1">
      <c r="A26" s="360" t="s">
        <v>95</v>
      </c>
      <c r="B26" s="361"/>
      <c r="C26" s="55" t="s">
        <v>33</v>
      </c>
      <c r="D26" s="75" t="s">
        <v>96</v>
      </c>
      <c r="E26" s="75" t="s">
        <v>33</v>
      </c>
      <c r="F26" s="75" t="s">
        <v>97</v>
      </c>
      <c r="G26" s="56" t="s">
        <v>33</v>
      </c>
      <c r="H26" s="368" t="s">
        <v>140</v>
      </c>
      <c r="I26" s="369"/>
      <c r="J26" s="369"/>
      <c r="K26" s="57">
        <v>300</v>
      </c>
      <c r="L26" s="144" t="s">
        <v>98</v>
      </c>
      <c r="M26" s="424"/>
    </row>
    <row r="27" spans="1:13" ht="15.75">
      <c r="A27" s="345" t="s">
        <v>99</v>
      </c>
      <c r="B27" s="346"/>
      <c r="C27" s="405" t="str">
        <f>'Data INPUT'!D34</f>
        <v>Select</v>
      </c>
      <c r="D27" s="384"/>
      <c r="E27" s="384"/>
      <c r="F27" s="384"/>
      <c r="G27" s="385"/>
      <c r="H27" s="27" t="s">
        <v>100</v>
      </c>
      <c r="I27" s="265"/>
      <c r="J27" s="265"/>
      <c r="K27" s="265"/>
      <c r="L27" s="266"/>
      <c r="M27" s="424"/>
    </row>
    <row r="28" spans="1:13" ht="16.5" thickBot="1">
      <c r="A28" s="274" t="s">
        <v>62</v>
      </c>
      <c r="B28" s="347"/>
      <c r="C28" s="322" t="str">
        <f>'Data INPUT'!D36</f>
        <v>Select</v>
      </c>
      <c r="D28" s="323"/>
      <c r="E28" s="323"/>
      <c r="F28" s="323"/>
      <c r="G28" s="324"/>
      <c r="H28" s="32"/>
      <c r="I28" s="320"/>
      <c r="J28" s="320"/>
      <c r="K28" s="320"/>
      <c r="L28" s="321"/>
      <c r="M28" s="424"/>
    </row>
    <row r="29" spans="1:13" ht="16.5" thickBot="1">
      <c r="A29" s="348" t="s">
        <v>101</v>
      </c>
      <c r="B29" s="349"/>
      <c r="C29" s="76" t="str">
        <f>'Data INPUT'!D35</f>
        <v>CSV x1</v>
      </c>
      <c r="D29" s="72" t="s">
        <v>33</v>
      </c>
      <c r="E29" s="306" t="s">
        <v>33</v>
      </c>
      <c r="F29" s="306"/>
      <c r="G29" s="350"/>
      <c r="H29" s="32" t="s">
        <v>100</v>
      </c>
      <c r="I29" s="58"/>
      <c r="J29" s="58"/>
      <c r="K29" s="58"/>
      <c r="L29" s="94"/>
      <c r="M29" s="424"/>
    </row>
    <row r="30" spans="1:13" ht="15.75">
      <c r="A30" s="342" t="s">
        <v>137</v>
      </c>
      <c r="B30" s="343"/>
      <c r="C30" s="343"/>
      <c r="D30" s="343"/>
      <c r="E30" s="343"/>
      <c r="F30" s="343"/>
      <c r="G30" s="344"/>
      <c r="H30" s="26" t="s">
        <v>102</v>
      </c>
      <c r="I30" s="59"/>
      <c r="J30" s="24"/>
      <c r="K30" s="24"/>
      <c r="L30" s="145">
        <f>'Data INPUT'!D42</f>
        <v>1</v>
      </c>
      <c r="M30" s="424"/>
    </row>
    <row r="31" spans="1:13" ht="15.75">
      <c r="A31" s="335" t="s">
        <v>65</v>
      </c>
      <c r="B31" s="336"/>
      <c r="C31" s="330" t="str">
        <f>'Data INPUT'!D37</f>
        <v xml:space="preserve"> </v>
      </c>
      <c r="D31" s="331"/>
      <c r="E31" s="331"/>
      <c r="F31" s="331"/>
      <c r="G31" s="332"/>
      <c r="H31" s="333" t="s">
        <v>103</v>
      </c>
      <c r="I31" s="235"/>
      <c r="J31" s="235"/>
      <c r="K31" s="334"/>
      <c r="L31" s="146">
        <f>'Data INPUT'!D43</f>
        <v>0</v>
      </c>
      <c r="M31" s="424"/>
    </row>
    <row r="32" spans="1:13" ht="15.75">
      <c r="A32" s="327" t="s">
        <v>104</v>
      </c>
      <c r="B32" s="329"/>
      <c r="C32" s="330" t="str">
        <f>'Data INPUT'!D38</f>
        <v xml:space="preserve"> </v>
      </c>
      <c r="D32" s="331"/>
      <c r="E32" s="331"/>
      <c r="F32" s="331"/>
      <c r="G32" s="332"/>
      <c r="H32" s="333" t="s">
        <v>105</v>
      </c>
      <c r="I32" s="235"/>
      <c r="J32" s="235"/>
      <c r="K32" s="334"/>
      <c r="L32" s="146">
        <f>'Data INPUT'!D44</f>
        <v>0</v>
      </c>
      <c r="M32" s="424"/>
    </row>
    <row r="33" spans="1:13" ht="15.75">
      <c r="A33" s="327" t="s">
        <v>106</v>
      </c>
      <c r="B33" s="329"/>
      <c r="C33" s="330" t="str">
        <f>'Data INPUT'!D40</f>
        <v xml:space="preserve"> </v>
      </c>
      <c r="D33" s="331"/>
      <c r="E33" s="331"/>
      <c r="F33" s="331"/>
      <c r="G33" s="332"/>
      <c r="H33" s="333" t="s">
        <v>107</v>
      </c>
      <c r="I33" s="235"/>
      <c r="J33" s="235"/>
      <c r="K33" s="334"/>
      <c r="L33" s="146">
        <f>'Data INPUT'!D45</f>
        <v>0</v>
      </c>
      <c r="M33" s="424"/>
    </row>
    <row r="34" spans="1:13" ht="15.75">
      <c r="A34" s="335" t="s">
        <v>108</v>
      </c>
      <c r="B34" s="336"/>
      <c r="C34" s="330" t="e">
        <f>'Data INPUT'!#REF!</f>
        <v>#REF!</v>
      </c>
      <c r="D34" s="331"/>
      <c r="E34" s="331"/>
      <c r="F34" s="331"/>
      <c r="G34" s="332"/>
      <c r="H34" s="60" t="s">
        <v>109</v>
      </c>
      <c r="I34" s="62"/>
      <c r="J34" s="25"/>
      <c r="K34" s="25"/>
      <c r="L34" s="146">
        <f>'Data INPUT'!D46</f>
        <v>0</v>
      </c>
      <c r="M34" s="424"/>
    </row>
    <row r="35" spans="1:13" ht="16.5" thickBot="1">
      <c r="A35" s="337" t="s">
        <v>110</v>
      </c>
      <c r="B35" s="338"/>
      <c r="C35" s="339" t="str">
        <f>'Data INPUT'!D41</f>
        <v>No</v>
      </c>
      <c r="D35" s="340"/>
      <c r="E35" s="340"/>
      <c r="F35" s="340"/>
      <c r="G35" s="341"/>
      <c r="H35" s="60" t="s">
        <v>111</v>
      </c>
      <c r="I35" s="25"/>
      <c r="J35" s="25"/>
      <c r="K35" s="61"/>
      <c r="L35" s="146">
        <f>'Data INPUT'!D47</f>
        <v>0</v>
      </c>
      <c r="M35" s="424"/>
    </row>
    <row r="36" spans="1:13" ht="15.75" customHeight="1">
      <c r="A36" s="406" t="s">
        <v>112</v>
      </c>
      <c r="B36" s="407"/>
      <c r="C36" s="148"/>
      <c r="D36" s="148"/>
      <c r="E36" s="148"/>
      <c r="F36" s="408" t="s">
        <v>115</v>
      </c>
      <c r="G36" s="409"/>
      <c r="H36" s="25" t="s">
        <v>113</v>
      </c>
      <c r="I36" s="62"/>
      <c r="J36" s="25"/>
      <c r="K36" s="25"/>
      <c r="L36" s="146">
        <f>'Data INPUT'!D48</f>
        <v>0</v>
      </c>
      <c r="M36" s="424"/>
    </row>
    <row r="37" spans="1:13" ht="15.75" customHeight="1">
      <c r="A37" s="327" t="s">
        <v>114</v>
      </c>
      <c r="B37" s="328"/>
      <c r="C37" s="328"/>
      <c r="D37" s="87"/>
      <c r="E37" s="87" t="s">
        <v>33</v>
      </c>
      <c r="F37" s="88" t="s">
        <v>33</v>
      </c>
      <c r="G37" s="89" t="s">
        <v>33</v>
      </c>
      <c r="H37" s="325"/>
      <c r="I37" s="326"/>
      <c r="J37" s="326"/>
      <c r="K37" s="74"/>
      <c r="L37" s="146" t="s">
        <v>33</v>
      </c>
      <c r="M37" s="424"/>
    </row>
    <row r="38" spans="1:13" ht="15.75" customHeight="1">
      <c r="A38" s="327" t="s">
        <v>116</v>
      </c>
      <c r="B38" s="328"/>
      <c r="C38" s="328"/>
      <c r="D38" s="328"/>
      <c r="E38" s="329"/>
      <c r="F38" s="88" t="s">
        <v>33</v>
      </c>
      <c r="G38" s="89"/>
      <c r="H38" s="60"/>
      <c r="I38" s="62"/>
      <c r="J38" s="25"/>
      <c r="K38" s="25"/>
      <c r="L38" s="146" t="s">
        <v>33</v>
      </c>
      <c r="M38" s="424"/>
    </row>
    <row r="39" spans="1:13" ht="16.5" customHeight="1" thickBot="1">
      <c r="A39" s="337" t="s">
        <v>117</v>
      </c>
      <c r="B39" s="362"/>
      <c r="C39" s="362"/>
      <c r="D39" s="362"/>
      <c r="E39" s="338"/>
      <c r="F39" s="90" t="s">
        <v>33</v>
      </c>
      <c r="G39" s="91"/>
      <c r="H39" s="363"/>
      <c r="I39" s="364"/>
      <c r="J39" s="364"/>
      <c r="K39" s="364"/>
      <c r="L39" s="147" t="s">
        <v>33</v>
      </c>
      <c r="M39" s="424"/>
    </row>
    <row r="40" spans="1:13" ht="36" customHeight="1" thickBot="1">
      <c r="A40" s="92" t="s">
        <v>118</v>
      </c>
      <c r="B40" s="93"/>
      <c r="C40" s="77" t="s">
        <v>119</v>
      </c>
      <c r="D40" s="82"/>
      <c r="E40" s="83"/>
      <c r="F40" s="84"/>
      <c r="G40" s="85"/>
      <c r="H40" s="402"/>
      <c r="I40" s="403"/>
      <c r="J40" s="403"/>
      <c r="K40" s="403"/>
      <c r="L40" s="404"/>
      <c r="M40" s="425"/>
    </row>
    <row r="41" spans="1:13" ht="19.5" customHeight="1" thickBot="1">
      <c r="A41" s="251" t="s">
        <v>69</v>
      </c>
      <c r="B41" s="252"/>
      <c r="C41" s="253">
        <f ca="1">'Data INPUT'!$B$13</f>
        <v>46222</v>
      </c>
      <c r="D41" s="254"/>
      <c r="E41" s="254"/>
      <c r="F41" s="254"/>
      <c r="G41" s="255" t="s">
        <v>7</v>
      </c>
      <c r="H41" s="255"/>
      <c r="I41" s="255"/>
      <c r="J41" s="256" t="str">
        <f>'Data INPUT'!$B$14</f>
        <v xml:space="preserve"> </v>
      </c>
      <c r="K41" s="257"/>
      <c r="L41" s="258"/>
      <c r="M41" s="420" t="s">
        <v>143</v>
      </c>
    </row>
    <row r="42" spans="1:13" ht="15.75">
      <c r="A42" s="259" t="s">
        <v>70</v>
      </c>
      <c r="B42" s="260"/>
      <c r="C42" s="261" t="str">
        <f>'Data INPUT'!$B$4</f>
        <v xml:space="preserve"> </v>
      </c>
      <c r="D42" s="262"/>
      <c r="E42" s="262"/>
      <c r="F42" s="262"/>
      <c r="G42" s="262"/>
      <c r="H42" s="262"/>
      <c r="I42" s="263"/>
      <c r="J42" s="264">
        <f>'Data INPUT'!E19</f>
        <v>1</v>
      </c>
      <c r="K42" s="265"/>
      <c r="L42" s="266"/>
      <c r="M42" s="421"/>
    </row>
    <row r="43" spans="1:13" ht="15.75">
      <c r="A43" s="232" t="s">
        <v>71</v>
      </c>
      <c r="B43" s="233"/>
      <c r="C43" s="234" t="str">
        <f>'Data INPUT'!$B$2</f>
        <v xml:space="preserve"> </v>
      </c>
      <c r="D43" s="235"/>
      <c r="E43" s="235"/>
      <c r="F43" s="235"/>
      <c r="G43" s="235"/>
      <c r="H43" s="235"/>
      <c r="I43" s="236"/>
      <c r="J43" s="237" t="str">
        <f>'Data INPUT'!E24</f>
        <v xml:space="preserve"> </v>
      </c>
      <c r="K43" s="238"/>
      <c r="L43" s="239"/>
      <c r="M43" s="421"/>
    </row>
    <row r="44" spans="1:13" ht="16.5" thickBot="1">
      <c r="A44" s="240" t="s">
        <v>0</v>
      </c>
      <c r="B44" s="241"/>
      <c r="C44" s="242" t="str">
        <f>'Data INPUT'!$B$3</f>
        <v xml:space="preserve"> </v>
      </c>
      <c r="D44" s="243"/>
      <c r="E44" s="243"/>
      <c r="F44" s="243"/>
      <c r="G44" s="243"/>
      <c r="H44" s="243"/>
      <c r="I44" s="244"/>
      <c r="J44" s="317" t="str">
        <f>'Data INPUT'!E18</f>
        <v>Curtain 2</v>
      </c>
      <c r="K44" s="318"/>
      <c r="L44" s="319"/>
      <c r="M44" s="421"/>
    </row>
    <row r="45" spans="1:13" ht="15.75">
      <c r="A45" s="245" t="str">
        <f>'Data INPUT'!E21</f>
        <v>Fire Curtain</v>
      </c>
      <c r="B45" s="247" t="str">
        <f>'Data INPUT'!E25</f>
        <v>Select</v>
      </c>
      <c r="C45" s="248"/>
      <c r="D45" s="313" t="str">
        <f>'Data INPUT'!E20</f>
        <v>EN1634-2</v>
      </c>
      <c r="E45" s="313"/>
      <c r="F45" s="314"/>
      <c r="G45" s="365" t="s">
        <v>72</v>
      </c>
      <c r="H45" s="366"/>
      <c r="I45" s="366"/>
      <c r="J45" s="366"/>
      <c r="K45" s="366"/>
      <c r="L45" s="367"/>
      <c r="M45" s="421"/>
    </row>
    <row r="46" spans="1:13" ht="16.5" thickBot="1">
      <c r="A46" s="246"/>
      <c r="B46" s="249"/>
      <c r="C46" s="250"/>
      <c r="D46" s="315"/>
      <c r="E46" s="315"/>
      <c r="F46" s="316"/>
      <c r="G46" s="305" t="str">
        <f>'Data INPUT'!$B$7</f>
        <v xml:space="preserve"> </v>
      </c>
      <c r="H46" s="306"/>
      <c r="I46" s="306"/>
      <c r="J46" s="306"/>
      <c r="K46" s="306"/>
      <c r="L46" s="307"/>
      <c r="M46" s="421"/>
    </row>
    <row r="47" spans="1:13" ht="15.75">
      <c r="A47" s="259" t="s">
        <v>74</v>
      </c>
      <c r="B47" s="260"/>
      <c r="C47" s="308" t="str">
        <f>'Data INPUT'!$B$12</f>
        <v>Select</v>
      </c>
      <c r="D47" s="308"/>
      <c r="E47" s="308"/>
      <c r="F47" s="309"/>
      <c r="G47" s="305" t="str">
        <f>'Data INPUT'!$B$8</f>
        <v xml:space="preserve"> </v>
      </c>
      <c r="H47" s="306"/>
      <c r="I47" s="306"/>
      <c r="J47" s="306"/>
      <c r="K47" s="306"/>
      <c r="L47" s="307"/>
      <c r="M47" s="421"/>
    </row>
    <row r="48" spans="1:13" ht="15.75">
      <c r="A48" s="232" t="s">
        <v>75</v>
      </c>
      <c r="B48" s="233"/>
      <c r="C48" s="310" t="str">
        <f>'Data INPUT'!E23</f>
        <v>In Fit</v>
      </c>
      <c r="D48" s="311"/>
      <c r="E48" s="311"/>
      <c r="F48" s="312"/>
      <c r="G48" s="305" t="str">
        <f>'Data INPUT'!$B$9</f>
        <v xml:space="preserve"> </v>
      </c>
      <c r="H48" s="306"/>
      <c r="I48" s="306"/>
      <c r="J48" s="306"/>
      <c r="K48" s="306"/>
      <c r="L48" s="307"/>
      <c r="M48" s="421"/>
    </row>
    <row r="49" spans="1:13" ht="15.75">
      <c r="A49" s="270" t="s">
        <v>76</v>
      </c>
      <c r="B49" s="271"/>
      <c r="C49" s="276">
        <v>1</v>
      </c>
      <c r="D49" s="277"/>
      <c r="E49" s="277"/>
      <c r="F49" s="278"/>
      <c r="G49" s="285" t="str">
        <f>'Data INPUT'!$B$10</f>
        <v xml:space="preserve"> </v>
      </c>
      <c r="H49" s="286"/>
      <c r="I49" s="286"/>
      <c r="J49" s="286"/>
      <c r="K49" s="286"/>
      <c r="L49" s="287"/>
      <c r="M49" s="421"/>
    </row>
    <row r="50" spans="1:13" ht="15.75">
      <c r="A50" s="272"/>
      <c r="B50" s="273"/>
      <c r="C50" s="279"/>
      <c r="D50" s="280"/>
      <c r="E50" s="280"/>
      <c r="F50" s="281"/>
      <c r="G50" s="28" t="s">
        <v>77</v>
      </c>
      <c r="H50" s="29"/>
      <c r="I50" s="29"/>
      <c r="J50" s="288" t="str">
        <f>'Data INPUT'!$B$5</f>
        <v xml:space="preserve"> </v>
      </c>
      <c r="K50" s="288"/>
      <c r="L50" s="289"/>
      <c r="M50" s="421"/>
    </row>
    <row r="51" spans="1:13" ht="16.5" thickBot="1">
      <c r="A51" s="274"/>
      <c r="B51" s="275"/>
      <c r="C51" s="282"/>
      <c r="D51" s="283"/>
      <c r="E51" s="283"/>
      <c r="F51" s="284"/>
      <c r="G51" s="31" t="s">
        <v>78</v>
      </c>
      <c r="H51" s="32"/>
      <c r="I51" s="32"/>
      <c r="J51" s="290" t="str">
        <f>'Data INPUT'!$B$6</f>
        <v xml:space="preserve"> </v>
      </c>
      <c r="K51" s="290"/>
      <c r="L51" s="291"/>
      <c r="M51" s="421"/>
    </row>
    <row r="52" spans="1:13" ht="15.75">
      <c r="A52" s="292" t="s">
        <v>79</v>
      </c>
      <c r="B52" s="293"/>
      <c r="C52" s="296" t="str">
        <f>'Data INPUT'!$B$16</f>
        <v xml:space="preserve"> </v>
      </c>
      <c r="D52" s="297"/>
      <c r="E52" s="297"/>
      <c r="F52" s="297"/>
      <c r="G52" s="297"/>
      <c r="H52" s="297"/>
      <c r="I52" s="297"/>
      <c r="J52" s="297"/>
      <c r="K52" s="297"/>
      <c r="L52" s="298"/>
      <c r="M52" s="421"/>
    </row>
    <row r="53" spans="1:13" ht="15.75">
      <c r="A53" s="292"/>
      <c r="B53" s="293"/>
      <c r="C53" s="299" t="str">
        <f>'Data INPUT'!$B$17</f>
        <v xml:space="preserve"> </v>
      </c>
      <c r="D53" s="300"/>
      <c r="E53" s="300"/>
      <c r="F53" s="300"/>
      <c r="G53" s="300"/>
      <c r="H53" s="300"/>
      <c r="I53" s="300"/>
      <c r="J53" s="300"/>
      <c r="K53" s="300"/>
      <c r="L53" s="301"/>
      <c r="M53" s="421"/>
    </row>
    <row r="54" spans="1:13" ht="16.5" thickBot="1">
      <c r="A54" s="294"/>
      <c r="B54" s="295"/>
      <c r="C54" s="302" t="str">
        <f>'Data INPUT'!$B$18</f>
        <v xml:space="preserve"> </v>
      </c>
      <c r="D54" s="303"/>
      <c r="E54" s="303"/>
      <c r="F54" s="303"/>
      <c r="G54" s="303"/>
      <c r="H54" s="303"/>
      <c r="I54" s="303"/>
      <c r="J54" s="303"/>
      <c r="K54" s="303"/>
      <c r="L54" s="304"/>
      <c r="M54" s="421"/>
    </row>
    <row r="55" spans="1:13" ht="16.5" thickBot="1">
      <c r="A55" s="391" t="s">
        <v>80</v>
      </c>
      <c r="B55" s="392"/>
      <c r="C55" s="66" t="s">
        <v>42</v>
      </c>
      <c r="D55" s="66"/>
      <c r="E55" s="69" t="s">
        <v>43</v>
      </c>
      <c r="F55" s="66"/>
      <c r="G55" s="67"/>
      <c r="H55" s="275" t="s">
        <v>230</v>
      </c>
      <c r="I55" s="275"/>
      <c r="J55" s="275"/>
      <c r="K55" s="275"/>
      <c r="L55" s="393"/>
      <c r="M55" s="421"/>
    </row>
    <row r="56" spans="1:13" ht="15.75">
      <c r="A56" s="394" t="s">
        <v>81</v>
      </c>
      <c r="B56" s="395"/>
      <c r="C56" s="71" t="str">
        <f>'Data INPUT'!E26</f>
        <v xml:space="preserve"> </v>
      </c>
      <c r="D56" s="72" t="s">
        <v>82</v>
      </c>
      <c r="E56" s="70" t="str">
        <f>'Data INPUT'!E27</f>
        <v xml:space="preserve"> </v>
      </c>
      <c r="F56" s="73"/>
      <c r="G56" s="33"/>
      <c r="H56" s="396"/>
      <c r="I56" s="397"/>
      <c r="J56" s="397"/>
      <c r="K56" s="397"/>
      <c r="L56" s="398"/>
      <c r="M56" s="421"/>
    </row>
    <row r="57" spans="1:13" ht="15.75">
      <c r="A57" s="34" t="s">
        <v>83</v>
      </c>
      <c r="B57" s="35" t="str">
        <f>D58</f>
        <v>Select</v>
      </c>
      <c r="C57" s="65" t="str">
        <f>C56</f>
        <v xml:space="preserve"> </v>
      </c>
      <c r="D57" s="37"/>
      <c r="E57" s="36"/>
      <c r="F57" s="38"/>
      <c r="G57" s="38"/>
      <c r="H57" s="399" t="s">
        <v>84</v>
      </c>
      <c r="I57" s="400"/>
      <c r="J57" s="400"/>
      <c r="K57" s="400"/>
      <c r="L57" s="401"/>
      <c r="M57" s="421"/>
    </row>
    <row r="58" spans="1:13" ht="15.75">
      <c r="A58" s="39" t="s">
        <v>85</v>
      </c>
      <c r="B58" s="35" t="str">
        <f>D58</f>
        <v>Select</v>
      </c>
      <c r="C58" s="68" t="s">
        <v>33</v>
      </c>
      <c r="D58" s="37" t="str">
        <f>'Data INPUT'!E28</f>
        <v>Select</v>
      </c>
      <c r="E58" s="37"/>
      <c r="F58" s="37"/>
      <c r="G58" s="53"/>
      <c r="H58" s="267" t="s">
        <v>33</v>
      </c>
      <c r="I58" s="268"/>
      <c r="J58" s="268"/>
      <c r="K58" s="268"/>
      <c r="L58" s="269"/>
      <c r="M58" s="421"/>
    </row>
    <row r="59" spans="1:13" ht="16.5" thickBot="1">
      <c r="A59" s="40" t="s">
        <v>86</v>
      </c>
      <c r="B59" s="41" t="str">
        <f>'Data INPUT'!E29</f>
        <v>Standard</v>
      </c>
      <c r="C59" s="72" t="e">
        <f>E56-D58+10</f>
        <v>#VALUE!</v>
      </c>
      <c r="D59" s="42" t="s">
        <v>82</v>
      </c>
      <c r="E59" s="30">
        <v>100</v>
      </c>
      <c r="F59" s="42" t="s">
        <v>82</v>
      </c>
      <c r="G59" s="42">
        <v>53</v>
      </c>
      <c r="H59" s="373"/>
      <c r="I59" s="374"/>
      <c r="J59" s="374"/>
      <c r="K59" s="374"/>
      <c r="L59" s="375"/>
      <c r="M59" s="421"/>
    </row>
    <row r="60" spans="1:13" ht="15.75">
      <c r="A60" s="43" t="s">
        <v>87</v>
      </c>
      <c r="B60" s="44" t="s">
        <v>88</v>
      </c>
      <c r="C60" s="45" t="e">
        <f>C61</f>
        <v>#VALUE!</v>
      </c>
      <c r="D60" s="45" t="s">
        <v>82</v>
      </c>
      <c r="E60" s="140">
        <v>1</v>
      </c>
      <c r="F60" s="46"/>
      <c r="G60" s="46"/>
      <c r="H60" s="410" t="s">
        <v>89</v>
      </c>
      <c r="I60" s="384"/>
      <c r="J60" s="384"/>
      <c r="K60" s="384"/>
      <c r="L60" s="411"/>
      <c r="M60" s="421"/>
    </row>
    <row r="61" spans="1:13" ht="16.5" thickBot="1">
      <c r="A61" s="47" t="s">
        <v>90</v>
      </c>
      <c r="B61" s="48"/>
      <c r="C61" s="49" t="e">
        <f>C56-180</f>
        <v>#VALUE!</v>
      </c>
      <c r="D61" s="49" t="s">
        <v>82</v>
      </c>
      <c r="E61" s="137">
        <v>1</v>
      </c>
      <c r="F61" s="50"/>
      <c r="G61" s="50"/>
      <c r="H61" s="322"/>
      <c r="I61" s="323"/>
      <c r="J61" s="323"/>
      <c r="K61" s="323"/>
      <c r="L61" s="412"/>
      <c r="M61" s="421"/>
    </row>
    <row r="62" spans="1:13" ht="15.75">
      <c r="A62" s="382" t="s">
        <v>91</v>
      </c>
      <c r="B62" s="383"/>
      <c r="C62" s="52" t="e">
        <f>C56-230</f>
        <v>#VALUE!</v>
      </c>
      <c r="D62" s="384" t="s">
        <v>33</v>
      </c>
      <c r="E62" s="384"/>
      <c r="F62" s="384"/>
      <c r="G62" s="385"/>
      <c r="H62" s="386" t="s">
        <v>92</v>
      </c>
      <c r="I62" s="366"/>
      <c r="J62" s="366"/>
      <c r="K62" s="366"/>
      <c r="L62" s="367"/>
      <c r="M62" s="421"/>
    </row>
    <row r="63" spans="1:13" ht="16.5" thickBot="1">
      <c r="A63" s="387" t="s">
        <v>135</v>
      </c>
      <c r="B63" s="388"/>
      <c r="C63" s="37" t="e">
        <f>C64</f>
        <v>#VALUE!</v>
      </c>
      <c r="D63" s="389"/>
      <c r="E63" s="389"/>
      <c r="F63" s="389"/>
      <c r="G63" s="390"/>
      <c r="H63" s="373"/>
      <c r="I63" s="374"/>
      <c r="J63" s="374"/>
      <c r="K63" s="374"/>
      <c r="L63" s="375"/>
      <c r="M63" s="421"/>
    </row>
    <row r="64" spans="1:13" ht="15.75">
      <c r="A64" s="370" t="s">
        <v>73</v>
      </c>
      <c r="B64" s="371"/>
      <c r="C64" s="52" t="e">
        <f>C56-100</f>
        <v>#VALUE!</v>
      </c>
      <c r="D64" s="52" t="s">
        <v>82</v>
      </c>
      <c r="E64" s="51" t="e">
        <f>E56+300</f>
        <v>#VALUE!</v>
      </c>
      <c r="F64" s="52"/>
      <c r="G64" s="54"/>
      <c r="H64" s="351" t="s">
        <v>93</v>
      </c>
      <c r="I64" s="352"/>
      <c r="J64" s="352"/>
      <c r="K64" s="352"/>
      <c r="L64" s="353"/>
      <c r="M64" s="421"/>
    </row>
    <row r="65" spans="1:13" ht="16.5" thickBot="1">
      <c r="A65" s="294"/>
      <c r="B65" s="372"/>
      <c r="C65" s="354" t="s">
        <v>136</v>
      </c>
      <c r="D65" s="355"/>
      <c r="E65" s="355"/>
      <c r="F65" s="355"/>
      <c r="G65" s="356"/>
      <c r="H65" s="357" t="s">
        <v>94</v>
      </c>
      <c r="I65" s="358"/>
      <c r="J65" s="358"/>
      <c r="K65" s="358"/>
      <c r="L65" s="359"/>
      <c r="M65" s="421"/>
    </row>
    <row r="66" spans="1:13" ht="16.5" thickBot="1">
      <c r="A66" s="360" t="s">
        <v>95</v>
      </c>
      <c r="B66" s="361"/>
      <c r="C66" s="55" t="s">
        <v>33</v>
      </c>
      <c r="D66" s="75" t="s">
        <v>96</v>
      </c>
      <c r="E66" s="75" t="s">
        <v>33</v>
      </c>
      <c r="F66" s="75" t="s">
        <v>97</v>
      </c>
      <c r="G66" s="56" t="s">
        <v>33</v>
      </c>
      <c r="H66" s="368" t="s">
        <v>141</v>
      </c>
      <c r="I66" s="369"/>
      <c r="J66" s="369"/>
      <c r="K66" s="57">
        <v>300</v>
      </c>
      <c r="L66" s="144" t="s">
        <v>98</v>
      </c>
      <c r="M66" s="421"/>
    </row>
    <row r="67" spans="1:13" ht="15.75">
      <c r="A67" s="345" t="s">
        <v>99</v>
      </c>
      <c r="B67" s="346"/>
      <c r="C67" s="405" t="str">
        <f>'Data INPUT'!E34</f>
        <v>Select</v>
      </c>
      <c r="D67" s="384"/>
      <c r="E67" s="384"/>
      <c r="F67" s="384"/>
      <c r="G67" s="385"/>
      <c r="H67" s="27" t="s">
        <v>100</v>
      </c>
      <c r="I67" s="265"/>
      <c r="J67" s="265"/>
      <c r="K67" s="265"/>
      <c r="L67" s="266"/>
      <c r="M67" s="421"/>
    </row>
    <row r="68" spans="1:13" ht="16.5" thickBot="1">
      <c r="A68" s="274" t="s">
        <v>62</v>
      </c>
      <c r="B68" s="347"/>
      <c r="C68" s="322" t="str">
        <f>'Data INPUT'!E36</f>
        <v>Select</v>
      </c>
      <c r="D68" s="323"/>
      <c r="E68" s="323"/>
      <c r="F68" s="323"/>
      <c r="G68" s="324"/>
      <c r="H68" s="32"/>
      <c r="I68" s="320"/>
      <c r="J68" s="320"/>
      <c r="K68" s="320"/>
      <c r="L68" s="321"/>
      <c r="M68" s="421"/>
    </row>
    <row r="69" spans="1:13" ht="16.5" thickBot="1">
      <c r="A69" s="348" t="s">
        <v>101</v>
      </c>
      <c r="B69" s="349"/>
      <c r="C69" s="76" t="str">
        <f>'Data INPUT'!E35</f>
        <v>CSV x1</v>
      </c>
      <c r="D69" s="72" t="s">
        <v>33</v>
      </c>
      <c r="E69" s="306" t="s">
        <v>33</v>
      </c>
      <c r="F69" s="306"/>
      <c r="G69" s="350"/>
      <c r="H69" s="32" t="s">
        <v>100</v>
      </c>
      <c r="I69" s="58"/>
      <c r="J69" s="58"/>
      <c r="K69" s="58"/>
      <c r="L69" s="94"/>
      <c r="M69" s="421"/>
    </row>
    <row r="70" spans="1:13" ht="15.75">
      <c r="A70" s="342" t="s">
        <v>137</v>
      </c>
      <c r="B70" s="343"/>
      <c r="C70" s="343"/>
      <c r="D70" s="343"/>
      <c r="E70" s="343"/>
      <c r="F70" s="343"/>
      <c r="G70" s="343"/>
      <c r="H70" s="26" t="s">
        <v>102</v>
      </c>
      <c r="I70" s="59"/>
      <c r="J70" s="24"/>
      <c r="K70" s="24"/>
      <c r="L70" s="145">
        <f>'Data INPUT'!E42</f>
        <v>1</v>
      </c>
      <c r="M70" s="421"/>
    </row>
    <row r="71" spans="1:13" ht="15.75">
      <c r="A71" s="335" t="s">
        <v>65</v>
      </c>
      <c r="B71" s="336"/>
      <c r="C71" s="330" t="str">
        <f>'Data INPUT'!E37</f>
        <v>RAL 9010</v>
      </c>
      <c r="D71" s="331"/>
      <c r="E71" s="331"/>
      <c r="F71" s="331"/>
      <c r="G71" s="332"/>
      <c r="H71" s="333" t="s">
        <v>103</v>
      </c>
      <c r="I71" s="235"/>
      <c r="J71" s="235"/>
      <c r="K71" s="334"/>
      <c r="L71" s="146">
        <f>'Data INPUT'!E43</f>
        <v>0</v>
      </c>
      <c r="M71" s="421"/>
    </row>
    <row r="72" spans="1:13" ht="15.75">
      <c r="A72" s="327" t="s">
        <v>104</v>
      </c>
      <c r="B72" s="329"/>
      <c r="C72" s="330" t="str">
        <f>'Data INPUT'!E38</f>
        <v>RAL 9010</v>
      </c>
      <c r="D72" s="331"/>
      <c r="E72" s="331"/>
      <c r="F72" s="331"/>
      <c r="G72" s="332"/>
      <c r="H72" s="333" t="s">
        <v>105</v>
      </c>
      <c r="I72" s="235"/>
      <c r="J72" s="235"/>
      <c r="K72" s="334"/>
      <c r="L72" s="146">
        <f>'Data INPUT'!E44</f>
        <v>0</v>
      </c>
      <c r="M72" s="421"/>
    </row>
    <row r="73" spans="1:13" ht="15.75">
      <c r="A73" s="327" t="s">
        <v>106</v>
      </c>
      <c r="B73" s="329"/>
      <c r="C73" s="330" t="str">
        <f>'Data INPUT'!E39</f>
        <v>RAL 9010</v>
      </c>
      <c r="D73" s="331"/>
      <c r="E73" s="331"/>
      <c r="F73" s="331"/>
      <c r="G73" s="332"/>
      <c r="H73" s="333" t="s">
        <v>107</v>
      </c>
      <c r="I73" s="235"/>
      <c r="J73" s="235"/>
      <c r="K73" s="334"/>
      <c r="L73" s="146">
        <f>'Data INPUT'!E45</f>
        <v>0</v>
      </c>
      <c r="M73" s="421"/>
    </row>
    <row r="74" spans="1:13" ht="15.75">
      <c r="A74" s="335" t="s">
        <v>108</v>
      </c>
      <c r="B74" s="336"/>
      <c r="C74" s="330" t="str">
        <f>'Data INPUT'!E40</f>
        <v>RAL 9010</v>
      </c>
      <c r="D74" s="331"/>
      <c r="E74" s="331"/>
      <c r="F74" s="331"/>
      <c r="G74" s="332"/>
      <c r="H74" s="60" t="s">
        <v>109</v>
      </c>
      <c r="I74" s="62"/>
      <c r="J74" s="25"/>
      <c r="K74" s="25"/>
      <c r="L74" s="146">
        <f>'Data INPUT'!E46</f>
        <v>0</v>
      </c>
      <c r="M74" s="421"/>
    </row>
    <row r="75" spans="1:13" ht="15.75">
      <c r="A75" s="327" t="s">
        <v>110</v>
      </c>
      <c r="B75" s="329"/>
      <c r="C75" s="330" t="str">
        <f>'Data INPUT'!E41</f>
        <v>No</v>
      </c>
      <c r="D75" s="331"/>
      <c r="E75" s="331"/>
      <c r="F75" s="331"/>
      <c r="G75" s="332"/>
      <c r="H75" s="60" t="s">
        <v>111</v>
      </c>
      <c r="I75" s="25"/>
      <c r="J75" s="25"/>
      <c r="K75" s="61"/>
      <c r="L75" s="146">
        <f>'Data INPUT'!E47</f>
        <v>0</v>
      </c>
      <c r="M75" s="421"/>
    </row>
    <row r="76" spans="1:13" ht="15.75" customHeight="1">
      <c r="A76" s="406" t="s">
        <v>112</v>
      </c>
      <c r="B76" s="407"/>
      <c r="C76" s="148"/>
      <c r="D76" s="148"/>
      <c r="E76" s="148"/>
      <c r="F76" s="408" t="s">
        <v>115</v>
      </c>
      <c r="G76" s="409"/>
      <c r="H76" s="60" t="s">
        <v>113</v>
      </c>
      <c r="I76" s="62"/>
      <c r="J76" s="25"/>
      <c r="K76" s="25"/>
      <c r="L76" s="146">
        <f>'Data INPUT'!E48</f>
        <v>0</v>
      </c>
      <c r="M76" s="421"/>
    </row>
    <row r="77" spans="1:13" ht="15.75" customHeight="1">
      <c r="A77" s="327" t="s">
        <v>114</v>
      </c>
      <c r="B77" s="328"/>
      <c r="C77" s="328"/>
      <c r="D77" s="87"/>
      <c r="E77" s="87" t="s">
        <v>33</v>
      </c>
      <c r="F77" s="88" t="s">
        <v>33</v>
      </c>
      <c r="G77" s="89" t="s">
        <v>33</v>
      </c>
      <c r="H77" s="325"/>
      <c r="I77" s="326"/>
      <c r="J77" s="326"/>
      <c r="K77" s="74"/>
      <c r="L77" s="146" t="s">
        <v>33</v>
      </c>
      <c r="M77" s="421"/>
    </row>
    <row r="78" spans="1:13" ht="15.75" customHeight="1">
      <c r="A78" s="327" t="s">
        <v>116</v>
      </c>
      <c r="B78" s="328"/>
      <c r="C78" s="328"/>
      <c r="D78" s="328"/>
      <c r="E78" s="329"/>
      <c r="F78" s="88" t="s">
        <v>33</v>
      </c>
      <c r="G78" s="89"/>
      <c r="H78" s="60"/>
      <c r="I78" s="62"/>
      <c r="J78" s="25"/>
      <c r="K78" s="25"/>
      <c r="L78" s="146" t="s">
        <v>33</v>
      </c>
      <c r="M78" s="421"/>
    </row>
    <row r="79" spans="1:13" ht="16.5" customHeight="1" thickBot="1">
      <c r="A79" s="337" t="s">
        <v>117</v>
      </c>
      <c r="B79" s="362"/>
      <c r="C79" s="362"/>
      <c r="D79" s="362"/>
      <c r="E79" s="338"/>
      <c r="F79" s="90" t="s">
        <v>33</v>
      </c>
      <c r="G79" s="91"/>
      <c r="H79" s="363"/>
      <c r="I79" s="364"/>
      <c r="J79" s="364"/>
      <c r="K79" s="364"/>
      <c r="L79" s="147" t="s">
        <v>33</v>
      </c>
      <c r="M79" s="421"/>
    </row>
    <row r="80" spans="1:13" ht="49.5" customHeight="1" thickBot="1">
      <c r="A80" s="92" t="s">
        <v>118</v>
      </c>
      <c r="B80" s="93"/>
      <c r="C80" s="77" t="s">
        <v>119</v>
      </c>
      <c r="D80" s="82"/>
      <c r="E80" s="82"/>
      <c r="F80" s="84"/>
      <c r="G80" s="85"/>
      <c r="H80" s="402"/>
      <c r="I80" s="403"/>
      <c r="J80" s="403"/>
      <c r="K80" s="403"/>
      <c r="L80" s="404"/>
      <c r="M80" s="422"/>
    </row>
    <row r="81" spans="1:13" ht="18.75" customHeight="1" thickBot="1">
      <c r="A81" s="251" t="s">
        <v>69</v>
      </c>
      <c r="B81" s="252"/>
      <c r="C81" s="253">
        <f ca="1">'Data INPUT'!$B$13</f>
        <v>46222</v>
      </c>
      <c r="D81" s="254"/>
      <c r="E81" s="254"/>
      <c r="F81" s="254"/>
      <c r="G81" s="255" t="s">
        <v>7</v>
      </c>
      <c r="H81" s="255"/>
      <c r="I81" s="255"/>
      <c r="J81" s="256" t="str">
        <f>'Data INPUT'!$B$14</f>
        <v xml:space="preserve"> </v>
      </c>
      <c r="K81" s="257"/>
      <c r="L81" s="258"/>
      <c r="M81" s="423" t="s">
        <v>144</v>
      </c>
    </row>
    <row r="82" spans="1:13" ht="15.75">
      <c r="A82" s="259" t="s">
        <v>70</v>
      </c>
      <c r="B82" s="260"/>
      <c r="C82" s="261" t="str">
        <f>'Data INPUT'!$B$4</f>
        <v xml:space="preserve"> </v>
      </c>
      <c r="D82" s="262"/>
      <c r="E82" s="262"/>
      <c r="F82" s="262"/>
      <c r="G82" s="262"/>
      <c r="H82" s="262"/>
      <c r="I82" s="263"/>
      <c r="J82" s="264">
        <f>'Data INPUT'!F19</f>
        <v>1</v>
      </c>
      <c r="K82" s="265"/>
      <c r="L82" s="266"/>
      <c r="M82" s="424"/>
    </row>
    <row r="83" spans="1:13" ht="15.75">
      <c r="A83" s="232" t="s">
        <v>71</v>
      </c>
      <c r="B83" s="233"/>
      <c r="C83" s="234" t="str">
        <f>'Data INPUT'!$B$2</f>
        <v xml:space="preserve"> </v>
      </c>
      <c r="D83" s="235"/>
      <c r="E83" s="235"/>
      <c r="F83" s="235"/>
      <c r="G83" s="235"/>
      <c r="H83" s="235"/>
      <c r="I83" s="236"/>
      <c r="J83" s="237" t="str">
        <f>'Data INPUT'!F24</f>
        <v xml:space="preserve"> </v>
      </c>
      <c r="K83" s="238"/>
      <c r="L83" s="239"/>
      <c r="M83" s="424"/>
    </row>
    <row r="84" spans="1:13" ht="16.5" thickBot="1">
      <c r="A84" s="240" t="s">
        <v>0</v>
      </c>
      <c r="B84" s="241"/>
      <c r="C84" s="242" t="str">
        <f>'Data INPUT'!$B$3</f>
        <v xml:space="preserve"> </v>
      </c>
      <c r="D84" s="243"/>
      <c r="E84" s="243"/>
      <c r="F84" s="243"/>
      <c r="G84" s="243"/>
      <c r="H84" s="243"/>
      <c r="I84" s="244"/>
      <c r="J84" s="317" t="str">
        <f>'Data INPUT'!F18</f>
        <v>Curtain 3</v>
      </c>
      <c r="K84" s="318"/>
      <c r="L84" s="319"/>
      <c r="M84" s="424"/>
    </row>
    <row r="85" spans="1:13" ht="15.75">
      <c r="A85" s="245" t="str">
        <f>'Data INPUT'!F21</f>
        <v>Fire Curtain</v>
      </c>
      <c r="B85" s="247" t="str">
        <f>'Data INPUT'!F25</f>
        <v>Select</v>
      </c>
      <c r="C85" s="248"/>
      <c r="D85" s="313" t="str">
        <f>'Data INPUT'!F20</f>
        <v>EN1634-3</v>
      </c>
      <c r="E85" s="313"/>
      <c r="F85" s="314"/>
      <c r="G85" s="365" t="s">
        <v>72</v>
      </c>
      <c r="H85" s="366"/>
      <c r="I85" s="366"/>
      <c r="J85" s="366"/>
      <c r="K85" s="366"/>
      <c r="L85" s="367"/>
      <c r="M85" s="424"/>
    </row>
    <row r="86" spans="1:13" ht="16.5" thickBot="1">
      <c r="A86" s="246"/>
      <c r="B86" s="249"/>
      <c r="C86" s="250"/>
      <c r="D86" s="315"/>
      <c r="E86" s="315"/>
      <c r="F86" s="316"/>
      <c r="G86" s="305" t="str">
        <f>'Data INPUT'!$B$7</f>
        <v xml:space="preserve"> </v>
      </c>
      <c r="H86" s="306"/>
      <c r="I86" s="306"/>
      <c r="J86" s="306"/>
      <c r="K86" s="306"/>
      <c r="L86" s="307"/>
      <c r="M86" s="424"/>
    </row>
    <row r="87" spans="1:13" ht="15.75">
      <c r="A87" s="259" t="s">
        <v>74</v>
      </c>
      <c r="B87" s="260"/>
      <c r="C87" s="308" t="str">
        <f>'Data INPUT'!$B$12</f>
        <v>Select</v>
      </c>
      <c r="D87" s="308"/>
      <c r="E87" s="308"/>
      <c r="F87" s="309"/>
      <c r="G87" s="305" t="str">
        <f>'Data INPUT'!$B$8</f>
        <v xml:space="preserve"> </v>
      </c>
      <c r="H87" s="306"/>
      <c r="I87" s="306"/>
      <c r="J87" s="306"/>
      <c r="K87" s="306"/>
      <c r="L87" s="307"/>
      <c r="M87" s="424"/>
    </row>
    <row r="88" spans="1:13" ht="15.75">
      <c r="A88" s="232" t="s">
        <v>75</v>
      </c>
      <c r="B88" s="233"/>
      <c r="C88" s="310" t="str">
        <f>'Data INPUT'!F23</f>
        <v>In Fit</v>
      </c>
      <c r="D88" s="311"/>
      <c r="E88" s="311"/>
      <c r="F88" s="312"/>
      <c r="G88" s="305" t="str">
        <f>'Data INPUT'!$B$9</f>
        <v xml:space="preserve"> </v>
      </c>
      <c r="H88" s="306"/>
      <c r="I88" s="306"/>
      <c r="J88" s="306"/>
      <c r="K88" s="306"/>
      <c r="L88" s="307"/>
      <c r="M88" s="424"/>
    </row>
    <row r="89" spans="1:13" ht="15.75">
      <c r="A89" s="270" t="s">
        <v>76</v>
      </c>
      <c r="B89" s="271"/>
      <c r="C89" s="276">
        <v>1</v>
      </c>
      <c r="D89" s="277"/>
      <c r="E89" s="277"/>
      <c r="F89" s="278"/>
      <c r="G89" s="285" t="str">
        <f>'Data INPUT'!$B$10</f>
        <v xml:space="preserve"> </v>
      </c>
      <c r="H89" s="286"/>
      <c r="I89" s="286"/>
      <c r="J89" s="286"/>
      <c r="K89" s="286"/>
      <c r="L89" s="287"/>
      <c r="M89" s="424"/>
    </row>
    <row r="90" spans="1:13" ht="15.75">
      <c r="A90" s="272"/>
      <c r="B90" s="273"/>
      <c r="C90" s="279"/>
      <c r="D90" s="280"/>
      <c r="E90" s="280"/>
      <c r="F90" s="281"/>
      <c r="G90" s="28" t="s">
        <v>77</v>
      </c>
      <c r="H90" s="29"/>
      <c r="I90" s="29"/>
      <c r="J90" s="288" t="str">
        <f>'Data INPUT'!$B$5</f>
        <v xml:space="preserve"> </v>
      </c>
      <c r="K90" s="288"/>
      <c r="L90" s="289"/>
      <c r="M90" s="424"/>
    </row>
    <row r="91" spans="1:13" ht="16.5" thickBot="1">
      <c r="A91" s="274"/>
      <c r="B91" s="275"/>
      <c r="C91" s="282"/>
      <c r="D91" s="283"/>
      <c r="E91" s="283"/>
      <c r="F91" s="284"/>
      <c r="G91" s="31" t="s">
        <v>78</v>
      </c>
      <c r="H91" s="32"/>
      <c r="I91" s="32"/>
      <c r="J91" s="290" t="str">
        <f>'Data INPUT'!$B$6</f>
        <v xml:space="preserve"> </v>
      </c>
      <c r="K91" s="290"/>
      <c r="L91" s="291"/>
      <c r="M91" s="424"/>
    </row>
    <row r="92" spans="1:13" ht="15.75">
      <c r="A92" s="292" t="s">
        <v>79</v>
      </c>
      <c r="B92" s="293"/>
      <c r="C92" s="296" t="str">
        <f>'Data INPUT'!$B$16</f>
        <v xml:space="preserve"> </v>
      </c>
      <c r="D92" s="297"/>
      <c r="E92" s="297"/>
      <c r="F92" s="297"/>
      <c r="G92" s="297"/>
      <c r="H92" s="297"/>
      <c r="I92" s="297"/>
      <c r="J92" s="297"/>
      <c r="K92" s="297"/>
      <c r="L92" s="298"/>
      <c r="M92" s="424"/>
    </row>
    <row r="93" spans="1:13" ht="15.75">
      <c r="A93" s="292"/>
      <c r="B93" s="293"/>
      <c r="C93" s="299" t="str">
        <f>'Data INPUT'!$B$17</f>
        <v xml:space="preserve"> </v>
      </c>
      <c r="D93" s="300"/>
      <c r="E93" s="300"/>
      <c r="F93" s="300"/>
      <c r="G93" s="300"/>
      <c r="H93" s="300"/>
      <c r="I93" s="300"/>
      <c r="J93" s="300"/>
      <c r="K93" s="300"/>
      <c r="L93" s="301"/>
      <c r="M93" s="424"/>
    </row>
    <row r="94" spans="1:13" ht="16.5" thickBot="1">
      <c r="A94" s="294"/>
      <c r="B94" s="295"/>
      <c r="C94" s="302" t="str">
        <f>'Data INPUT'!$B$18</f>
        <v xml:space="preserve"> </v>
      </c>
      <c r="D94" s="303"/>
      <c r="E94" s="303"/>
      <c r="F94" s="303"/>
      <c r="G94" s="303"/>
      <c r="H94" s="303"/>
      <c r="I94" s="303"/>
      <c r="J94" s="303"/>
      <c r="K94" s="303"/>
      <c r="L94" s="304"/>
      <c r="M94" s="424"/>
    </row>
    <row r="95" spans="1:13" ht="16.5" thickBot="1">
      <c r="A95" s="391" t="s">
        <v>80</v>
      </c>
      <c r="B95" s="392"/>
      <c r="C95" s="66" t="s">
        <v>42</v>
      </c>
      <c r="D95" s="66"/>
      <c r="E95" s="69" t="s">
        <v>43</v>
      </c>
      <c r="F95" s="66"/>
      <c r="G95" s="67"/>
      <c r="H95" s="275" t="s">
        <v>230</v>
      </c>
      <c r="I95" s="275"/>
      <c r="J95" s="275"/>
      <c r="K95" s="275"/>
      <c r="L95" s="393"/>
      <c r="M95" s="424"/>
    </row>
    <row r="96" spans="1:13" ht="15.75">
      <c r="A96" s="394" t="s">
        <v>81</v>
      </c>
      <c r="B96" s="395"/>
      <c r="C96" s="71" t="str">
        <f>'Data INPUT'!F26</f>
        <v xml:space="preserve"> </v>
      </c>
      <c r="D96" s="72" t="s">
        <v>82</v>
      </c>
      <c r="E96" s="70" t="str">
        <f>'Data INPUT'!F27</f>
        <v xml:space="preserve"> </v>
      </c>
      <c r="F96" s="73"/>
      <c r="G96" s="33"/>
      <c r="H96" s="396"/>
      <c r="I96" s="397"/>
      <c r="J96" s="397"/>
      <c r="K96" s="397"/>
      <c r="L96" s="398"/>
      <c r="M96" s="424"/>
    </row>
    <row r="97" spans="1:13" ht="15.75">
      <c r="A97" s="34" t="s">
        <v>83</v>
      </c>
      <c r="B97" s="35" t="str">
        <f>D98</f>
        <v>Select</v>
      </c>
      <c r="C97" s="65" t="str">
        <f>C96</f>
        <v xml:space="preserve"> </v>
      </c>
      <c r="D97" s="37"/>
      <c r="E97" s="36"/>
      <c r="F97" s="38"/>
      <c r="G97" s="38"/>
      <c r="H97" s="399" t="s">
        <v>84</v>
      </c>
      <c r="I97" s="400"/>
      <c r="J97" s="400"/>
      <c r="K97" s="400"/>
      <c r="L97" s="401"/>
      <c r="M97" s="424"/>
    </row>
    <row r="98" spans="1:13" ht="15.75">
      <c r="A98" s="39" t="s">
        <v>85</v>
      </c>
      <c r="B98" s="35" t="str">
        <f>D98</f>
        <v>Select</v>
      </c>
      <c r="C98" s="68" t="s">
        <v>33</v>
      </c>
      <c r="D98" s="37" t="str">
        <f>'Data INPUT'!F28</f>
        <v>Select</v>
      </c>
      <c r="E98" s="37"/>
      <c r="F98" s="37"/>
      <c r="G98" s="53"/>
      <c r="H98" s="267" t="s">
        <v>33</v>
      </c>
      <c r="I98" s="268"/>
      <c r="J98" s="268"/>
      <c r="K98" s="268"/>
      <c r="L98" s="269"/>
      <c r="M98" s="424"/>
    </row>
    <row r="99" spans="1:13" ht="16.5" thickBot="1">
      <c r="A99" s="40" t="s">
        <v>86</v>
      </c>
      <c r="B99" s="41" t="str">
        <f>'Data INPUT'!F29</f>
        <v>Standard</v>
      </c>
      <c r="C99" s="72" t="e">
        <f>E96-D98+10</f>
        <v>#VALUE!</v>
      </c>
      <c r="D99" s="42" t="s">
        <v>82</v>
      </c>
      <c r="E99" s="30">
        <v>100</v>
      </c>
      <c r="F99" s="42" t="s">
        <v>82</v>
      </c>
      <c r="G99" s="42">
        <v>53</v>
      </c>
      <c r="H99" s="373"/>
      <c r="I99" s="374"/>
      <c r="J99" s="374"/>
      <c r="K99" s="374"/>
      <c r="L99" s="375"/>
      <c r="M99" s="424"/>
    </row>
    <row r="100" spans="1:13" ht="15.75">
      <c r="A100" s="43" t="s">
        <v>87</v>
      </c>
      <c r="B100" s="44" t="s">
        <v>88</v>
      </c>
      <c r="C100" s="45" t="e">
        <f>C101</f>
        <v>#VALUE!</v>
      </c>
      <c r="D100" s="45" t="s">
        <v>82</v>
      </c>
      <c r="E100" s="140">
        <v>1</v>
      </c>
      <c r="F100" s="46"/>
      <c r="G100" s="46"/>
      <c r="H100" s="376" t="s">
        <v>89</v>
      </c>
      <c r="I100" s="377"/>
      <c r="J100" s="377"/>
      <c r="K100" s="377"/>
      <c r="L100" s="378"/>
      <c r="M100" s="424"/>
    </row>
    <row r="101" spans="1:13" ht="16.5" thickBot="1">
      <c r="A101" s="47" t="s">
        <v>90</v>
      </c>
      <c r="B101" s="48"/>
      <c r="C101" s="49" t="e">
        <f>C96-180</f>
        <v>#VALUE!</v>
      </c>
      <c r="D101" s="49" t="s">
        <v>82</v>
      </c>
      <c r="E101" s="137">
        <v>1</v>
      </c>
      <c r="F101" s="50"/>
      <c r="G101" s="50"/>
      <c r="H101" s="379"/>
      <c r="I101" s="380"/>
      <c r="J101" s="380"/>
      <c r="K101" s="380"/>
      <c r="L101" s="381"/>
      <c r="M101" s="424"/>
    </row>
    <row r="102" spans="1:13" ht="15.75">
      <c r="A102" s="382" t="s">
        <v>91</v>
      </c>
      <c r="B102" s="383"/>
      <c r="C102" s="52" t="e">
        <f>C96-230</f>
        <v>#VALUE!</v>
      </c>
      <c r="D102" s="384" t="s">
        <v>33</v>
      </c>
      <c r="E102" s="384"/>
      <c r="F102" s="384"/>
      <c r="G102" s="385"/>
      <c r="H102" s="386" t="s">
        <v>92</v>
      </c>
      <c r="I102" s="366"/>
      <c r="J102" s="366"/>
      <c r="K102" s="366"/>
      <c r="L102" s="367"/>
      <c r="M102" s="424"/>
    </row>
    <row r="103" spans="1:13" ht="16.5" thickBot="1">
      <c r="A103" s="387" t="s">
        <v>135</v>
      </c>
      <c r="B103" s="388"/>
      <c r="C103" s="37" t="e">
        <f>C104</f>
        <v>#VALUE!</v>
      </c>
      <c r="D103" s="389"/>
      <c r="E103" s="389"/>
      <c r="F103" s="389"/>
      <c r="G103" s="390"/>
      <c r="H103" s="373"/>
      <c r="I103" s="374"/>
      <c r="J103" s="374"/>
      <c r="K103" s="374"/>
      <c r="L103" s="375"/>
      <c r="M103" s="424"/>
    </row>
    <row r="104" spans="1:13" ht="15.75">
      <c r="A104" s="370" t="s">
        <v>73</v>
      </c>
      <c r="B104" s="371"/>
      <c r="C104" s="52" t="e">
        <f>C96-100</f>
        <v>#VALUE!</v>
      </c>
      <c r="D104" s="52" t="s">
        <v>82</v>
      </c>
      <c r="E104" s="51" t="e">
        <f>E96+300</f>
        <v>#VALUE!</v>
      </c>
      <c r="F104" s="52"/>
      <c r="G104" s="54"/>
      <c r="H104" s="351" t="s">
        <v>93</v>
      </c>
      <c r="I104" s="352"/>
      <c r="J104" s="352"/>
      <c r="K104" s="352"/>
      <c r="L104" s="353"/>
      <c r="M104" s="424"/>
    </row>
    <row r="105" spans="1:13" ht="16.5" thickBot="1">
      <c r="A105" s="294"/>
      <c r="B105" s="372"/>
      <c r="C105" s="354" t="s">
        <v>136</v>
      </c>
      <c r="D105" s="355"/>
      <c r="E105" s="355"/>
      <c r="F105" s="355"/>
      <c r="G105" s="356"/>
      <c r="H105" s="357" t="s">
        <v>94</v>
      </c>
      <c r="I105" s="358"/>
      <c r="J105" s="358"/>
      <c r="K105" s="358"/>
      <c r="L105" s="359"/>
      <c r="M105" s="424"/>
    </row>
    <row r="106" spans="1:13" ht="16.5" thickBot="1">
      <c r="A106" s="360" t="s">
        <v>95</v>
      </c>
      <c r="B106" s="361"/>
      <c r="C106" s="55" t="s">
        <v>33</v>
      </c>
      <c r="D106" s="75" t="s">
        <v>96</v>
      </c>
      <c r="E106" s="75" t="s">
        <v>33</v>
      </c>
      <c r="F106" s="75" t="s">
        <v>97</v>
      </c>
      <c r="G106" s="56" t="s">
        <v>33</v>
      </c>
      <c r="H106" s="368" t="s">
        <v>141</v>
      </c>
      <c r="I106" s="369"/>
      <c r="J106" s="369"/>
      <c r="K106" s="57">
        <v>300</v>
      </c>
      <c r="L106" s="144" t="s">
        <v>98</v>
      </c>
      <c r="M106" s="424"/>
    </row>
    <row r="107" spans="1:13" ht="15.75">
      <c r="A107" s="345" t="s">
        <v>99</v>
      </c>
      <c r="B107" s="346"/>
      <c r="C107" s="405" t="str">
        <f>'Data INPUT'!F34</f>
        <v>Select</v>
      </c>
      <c r="D107" s="384"/>
      <c r="E107" s="384"/>
      <c r="F107" s="384"/>
      <c r="G107" s="385"/>
      <c r="H107" s="27" t="s">
        <v>100</v>
      </c>
      <c r="I107" s="265"/>
      <c r="J107" s="265"/>
      <c r="K107" s="265"/>
      <c r="L107" s="266"/>
      <c r="M107" s="424"/>
    </row>
    <row r="108" spans="1:13" ht="16.5" thickBot="1">
      <c r="A108" s="274" t="s">
        <v>62</v>
      </c>
      <c r="B108" s="347"/>
      <c r="C108" s="322" t="str">
        <f>'Data INPUT'!F36</f>
        <v>Select</v>
      </c>
      <c r="D108" s="323"/>
      <c r="E108" s="323"/>
      <c r="F108" s="323"/>
      <c r="G108" s="324"/>
      <c r="H108" s="32"/>
      <c r="I108" s="320"/>
      <c r="J108" s="320"/>
      <c r="K108" s="320"/>
      <c r="L108" s="321"/>
      <c r="M108" s="424"/>
    </row>
    <row r="109" spans="1:13" ht="16.5" thickBot="1">
      <c r="A109" s="348" t="s">
        <v>101</v>
      </c>
      <c r="B109" s="349"/>
      <c r="C109" s="76" t="str">
        <f>'Data INPUT'!F35</f>
        <v>CSV x1</v>
      </c>
      <c r="D109" s="72" t="s">
        <v>33</v>
      </c>
      <c r="E109" s="306" t="s">
        <v>33</v>
      </c>
      <c r="F109" s="306"/>
      <c r="G109" s="350"/>
      <c r="H109" s="32" t="s">
        <v>100</v>
      </c>
      <c r="I109" s="58"/>
      <c r="J109" s="58"/>
      <c r="K109" s="58"/>
      <c r="L109" s="94"/>
      <c r="M109" s="424"/>
    </row>
    <row r="110" spans="1:13" ht="15.75">
      <c r="A110" s="342" t="s">
        <v>137</v>
      </c>
      <c r="B110" s="343"/>
      <c r="C110" s="343"/>
      <c r="D110" s="343"/>
      <c r="E110" s="343"/>
      <c r="F110" s="343"/>
      <c r="G110" s="343"/>
      <c r="H110" s="26" t="s">
        <v>102</v>
      </c>
      <c r="I110" s="59"/>
      <c r="J110" s="24"/>
      <c r="K110" s="24"/>
      <c r="L110" s="145">
        <f>'Data INPUT'!F42</f>
        <v>1</v>
      </c>
      <c r="M110" s="424"/>
    </row>
    <row r="111" spans="1:13" ht="15.75">
      <c r="A111" s="335" t="s">
        <v>65</v>
      </c>
      <c r="B111" s="336"/>
      <c r="C111" s="330" t="str">
        <f>'Data INPUT'!F37</f>
        <v>RAL 9010</v>
      </c>
      <c r="D111" s="331"/>
      <c r="E111" s="331"/>
      <c r="F111" s="331"/>
      <c r="G111" s="332"/>
      <c r="H111" s="333" t="s">
        <v>103</v>
      </c>
      <c r="I111" s="235"/>
      <c r="J111" s="235"/>
      <c r="K111" s="334"/>
      <c r="L111" s="146">
        <f>'Data INPUT'!F43</f>
        <v>0</v>
      </c>
      <c r="M111" s="424"/>
    </row>
    <row r="112" spans="1:13" ht="15.75">
      <c r="A112" s="327" t="s">
        <v>104</v>
      </c>
      <c r="B112" s="329"/>
      <c r="C112" s="330" t="str">
        <f>'Data INPUT'!F38</f>
        <v>RAL 9010</v>
      </c>
      <c r="D112" s="331"/>
      <c r="E112" s="331"/>
      <c r="F112" s="331"/>
      <c r="G112" s="332"/>
      <c r="H112" s="333" t="s">
        <v>105</v>
      </c>
      <c r="I112" s="235"/>
      <c r="J112" s="235"/>
      <c r="K112" s="334"/>
      <c r="L112" s="146">
        <f>'Data INPUT'!F44</f>
        <v>0</v>
      </c>
      <c r="M112" s="424"/>
    </row>
    <row r="113" spans="1:13" ht="15.75">
      <c r="A113" s="327" t="s">
        <v>106</v>
      </c>
      <c r="B113" s="329"/>
      <c r="C113" s="330" t="str">
        <f>'Data INPUT'!F39</f>
        <v>RAL 9010</v>
      </c>
      <c r="D113" s="331"/>
      <c r="E113" s="331"/>
      <c r="F113" s="331"/>
      <c r="G113" s="332"/>
      <c r="H113" s="333" t="s">
        <v>107</v>
      </c>
      <c r="I113" s="235"/>
      <c r="J113" s="235"/>
      <c r="K113" s="334"/>
      <c r="L113" s="146">
        <f>'Data INPUT'!F45</f>
        <v>0</v>
      </c>
      <c r="M113" s="424"/>
    </row>
    <row r="114" spans="1:13" ht="15.75">
      <c r="A114" s="335" t="s">
        <v>108</v>
      </c>
      <c r="B114" s="336"/>
      <c r="C114" s="330" t="str">
        <f>'Data INPUT'!F40</f>
        <v>RAL 9010</v>
      </c>
      <c r="D114" s="331"/>
      <c r="E114" s="331"/>
      <c r="F114" s="331"/>
      <c r="G114" s="332"/>
      <c r="H114" s="60" t="s">
        <v>109</v>
      </c>
      <c r="I114" s="62"/>
      <c r="J114" s="25"/>
      <c r="K114" s="25"/>
      <c r="L114" s="146">
        <f>'Data INPUT'!F46</f>
        <v>0</v>
      </c>
      <c r="M114" s="424"/>
    </row>
    <row r="115" spans="1:13" ht="15.75">
      <c r="A115" s="327" t="s">
        <v>110</v>
      </c>
      <c r="B115" s="329"/>
      <c r="C115" s="330" t="str">
        <f>'Data INPUT'!F41</f>
        <v>No</v>
      </c>
      <c r="D115" s="331"/>
      <c r="E115" s="331"/>
      <c r="F115" s="331"/>
      <c r="G115" s="332"/>
      <c r="H115" s="60" t="s">
        <v>111</v>
      </c>
      <c r="I115" s="25"/>
      <c r="J115" s="25"/>
      <c r="K115" s="61"/>
      <c r="L115" s="146">
        <f>'Data INPUT'!F47</f>
        <v>0</v>
      </c>
      <c r="M115" s="424"/>
    </row>
    <row r="116" spans="1:13" ht="15.75" customHeight="1">
      <c r="A116" s="406" t="s">
        <v>112</v>
      </c>
      <c r="B116" s="407"/>
      <c r="C116" s="148"/>
      <c r="D116" s="148"/>
      <c r="E116" s="148"/>
      <c r="F116" s="408" t="s">
        <v>115</v>
      </c>
      <c r="G116" s="409"/>
      <c r="H116" s="60" t="s">
        <v>113</v>
      </c>
      <c r="I116" s="62"/>
      <c r="J116" s="25"/>
      <c r="K116" s="25"/>
      <c r="L116" s="146">
        <f>'Data INPUT'!F48</f>
        <v>0</v>
      </c>
      <c r="M116" s="424"/>
    </row>
    <row r="117" spans="1:13" ht="15.75" customHeight="1">
      <c r="A117" s="327" t="s">
        <v>114</v>
      </c>
      <c r="B117" s="328"/>
      <c r="C117" s="328"/>
      <c r="D117" s="87"/>
      <c r="E117" s="87" t="s">
        <v>33</v>
      </c>
      <c r="F117" s="88" t="s">
        <v>33</v>
      </c>
      <c r="G117" s="89" t="s">
        <v>33</v>
      </c>
      <c r="H117" s="325"/>
      <c r="I117" s="326"/>
      <c r="J117" s="326"/>
      <c r="K117" s="74"/>
      <c r="L117" s="146" t="s">
        <v>33</v>
      </c>
      <c r="M117" s="424"/>
    </row>
    <row r="118" spans="1:13" ht="15.75" customHeight="1">
      <c r="A118" s="327" t="s">
        <v>116</v>
      </c>
      <c r="B118" s="328"/>
      <c r="C118" s="328"/>
      <c r="D118" s="328"/>
      <c r="E118" s="329"/>
      <c r="F118" s="88" t="s">
        <v>33</v>
      </c>
      <c r="G118" s="89"/>
      <c r="H118" s="60"/>
      <c r="I118" s="62"/>
      <c r="J118" s="25"/>
      <c r="K118" s="25"/>
      <c r="L118" s="146" t="s">
        <v>33</v>
      </c>
      <c r="M118" s="424"/>
    </row>
    <row r="119" spans="1:13" ht="22.5" customHeight="1" thickBot="1">
      <c r="A119" s="337" t="s">
        <v>117</v>
      </c>
      <c r="B119" s="362"/>
      <c r="C119" s="362"/>
      <c r="D119" s="362"/>
      <c r="E119" s="338"/>
      <c r="F119" s="90" t="s">
        <v>33</v>
      </c>
      <c r="G119" s="91"/>
      <c r="H119" s="363"/>
      <c r="I119" s="364"/>
      <c r="J119" s="364"/>
      <c r="K119" s="364"/>
      <c r="L119" s="147" t="s">
        <v>33</v>
      </c>
      <c r="M119" s="424"/>
    </row>
    <row r="120" spans="1:13" ht="48" customHeight="1" thickBot="1">
      <c r="A120" s="92" t="s">
        <v>118</v>
      </c>
      <c r="B120" s="93"/>
      <c r="C120" s="77" t="s">
        <v>119</v>
      </c>
      <c r="D120" s="82"/>
      <c r="E120" s="83"/>
      <c r="F120" s="84"/>
      <c r="G120" s="85"/>
      <c r="H120" s="402"/>
      <c r="I120" s="403"/>
      <c r="J120" s="403"/>
      <c r="K120" s="403"/>
      <c r="L120" s="404"/>
      <c r="M120" s="425"/>
    </row>
    <row r="121" spans="1:13" ht="19.5" customHeight="1" thickBot="1">
      <c r="A121" s="251" t="s">
        <v>69</v>
      </c>
      <c r="B121" s="252"/>
      <c r="C121" s="253">
        <f ca="1">'Data INPUT'!$B$13</f>
        <v>46222</v>
      </c>
      <c r="D121" s="254"/>
      <c r="E121" s="254"/>
      <c r="F121" s="254"/>
      <c r="G121" s="255" t="s">
        <v>7</v>
      </c>
      <c r="H121" s="255"/>
      <c r="I121" s="255"/>
      <c r="J121" s="256" t="str">
        <f>'Data INPUT'!$B$14</f>
        <v xml:space="preserve"> </v>
      </c>
      <c r="K121" s="257"/>
      <c r="L121" s="258"/>
      <c r="M121" s="420" t="s">
        <v>145</v>
      </c>
    </row>
    <row r="122" spans="1:13" ht="15.75">
      <c r="A122" s="259" t="s">
        <v>70</v>
      </c>
      <c r="B122" s="260"/>
      <c r="C122" s="261" t="str">
        <f>'Data INPUT'!$B$4</f>
        <v xml:space="preserve"> </v>
      </c>
      <c r="D122" s="262"/>
      <c r="E122" s="262"/>
      <c r="F122" s="262"/>
      <c r="G122" s="262"/>
      <c r="H122" s="262"/>
      <c r="I122" s="263"/>
      <c r="J122" s="264">
        <f>'Data INPUT'!G19</f>
        <v>1</v>
      </c>
      <c r="K122" s="265"/>
      <c r="L122" s="266"/>
      <c r="M122" s="421"/>
    </row>
    <row r="123" spans="1:13" ht="15.75">
      <c r="A123" s="232" t="s">
        <v>71</v>
      </c>
      <c r="B123" s="233"/>
      <c r="C123" s="234" t="str">
        <f>'Data INPUT'!$B$2</f>
        <v xml:space="preserve"> </v>
      </c>
      <c r="D123" s="235"/>
      <c r="E123" s="235"/>
      <c r="F123" s="235"/>
      <c r="G123" s="235"/>
      <c r="H123" s="235"/>
      <c r="I123" s="236"/>
      <c r="J123" s="237" t="str">
        <f>'Data INPUT'!G24</f>
        <v xml:space="preserve"> </v>
      </c>
      <c r="K123" s="238"/>
      <c r="L123" s="239"/>
      <c r="M123" s="421"/>
    </row>
    <row r="124" spans="1:13" ht="16.5" thickBot="1">
      <c r="A124" s="240" t="s">
        <v>0</v>
      </c>
      <c r="B124" s="241"/>
      <c r="C124" s="242" t="str">
        <f>'Data INPUT'!$B$3</f>
        <v xml:space="preserve"> </v>
      </c>
      <c r="D124" s="243"/>
      <c r="E124" s="243"/>
      <c r="F124" s="243"/>
      <c r="G124" s="243"/>
      <c r="H124" s="243"/>
      <c r="I124" s="244"/>
      <c r="J124" s="317" t="str">
        <f>'Data INPUT'!G18</f>
        <v>Curtain 4</v>
      </c>
      <c r="K124" s="318"/>
      <c r="L124" s="319"/>
      <c r="M124" s="421"/>
    </row>
    <row r="125" spans="1:13" ht="15.75">
      <c r="A125" s="245" t="str">
        <f>'Data INPUT'!G21</f>
        <v>Fire Curtain</v>
      </c>
      <c r="B125" s="247" t="str">
        <f>'Data INPUT'!G25</f>
        <v>Select</v>
      </c>
      <c r="C125" s="248"/>
      <c r="D125" s="313" t="str">
        <f>'Data INPUT'!G20</f>
        <v>EN1634-4</v>
      </c>
      <c r="E125" s="313"/>
      <c r="F125" s="314"/>
      <c r="G125" s="365" t="s">
        <v>72</v>
      </c>
      <c r="H125" s="366"/>
      <c r="I125" s="366"/>
      <c r="J125" s="366"/>
      <c r="K125" s="366"/>
      <c r="L125" s="367"/>
      <c r="M125" s="421"/>
    </row>
    <row r="126" spans="1:13" ht="16.5" thickBot="1">
      <c r="A126" s="246"/>
      <c r="B126" s="249"/>
      <c r="C126" s="250"/>
      <c r="D126" s="315"/>
      <c r="E126" s="315"/>
      <c r="F126" s="316"/>
      <c r="G126" s="305" t="str">
        <f>'Data INPUT'!$B$7</f>
        <v xml:space="preserve"> </v>
      </c>
      <c r="H126" s="306"/>
      <c r="I126" s="306"/>
      <c r="J126" s="306"/>
      <c r="K126" s="306"/>
      <c r="L126" s="307"/>
      <c r="M126" s="421"/>
    </row>
    <row r="127" spans="1:13" ht="15.75">
      <c r="A127" s="259" t="s">
        <v>74</v>
      </c>
      <c r="B127" s="260"/>
      <c r="C127" s="308" t="str">
        <f>'Data INPUT'!$B$12</f>
        <v>Select</v>
      </c>
      <c r="D127" s="308"/>
      <c r="E127" s="308"/>
      <c r="F127" s="309"/>
      <c r="G127" s="305" t="str">
        <f>'Data INPUT'!$B$8</f>
        <v xml:space="preserve"> </v>
      </c>
      <c r="H127" s="306"/>
      <c r="I127" s="306"/>
      <c r="J127" s="306"/>
      <c r="K127" s="306"/>
      <c r="L127" s="307"/>
      <c r="M127" s="421"/>
    </row>
    <row r="128" spans="1:13" ht="15.75">
      <c r="A128" s="232" t="s">
        <v>75</v>
      </c>
      <c r="B128" s="233"/>
      <c r="C128" s="310" t="str">
        <f>'Data INPUT'!G23</f>
        <v>In Fit</v>
      </c>
      <c r="D128" s="311"/>
      <c r="E128" s="311"/>
      <c r="F128" s="312"/>
      <c r="G128" s="305" t="str">
        <f>'Data INPUT'!$B$9</f>
        <v xml:space="preserve"> </v>
      </c>
      <c r="H128" s="306"/>
      <c r="I128" s="306"/>
      <c r="J128" s="306"/>
      <c r="K128" s="306"/>
      <c r="L128" s="307"/>
      <c r="M128" s="421"/>
    </row>
    <row r="129" spans="1:13" ht="15.75">
      <c r="A129" s="270" t="s">
        <v>76</v>
      </c>
      <c r="B129" s="271"/>
      <c r="C129" s="276">
        <v>1</v>
      </c>
      <c r="D129" s="277"/>
      <c r="E129" s="277"/>
      <c r="F129" s="278"/>
      <c r="G129" s="285" t="str">
        <f>'Data INPUT'!$B$10</f>
        <v xml:space="preserve"> </v>
      </c>
      <c r="H129" s="286"/>
      <c r="I129" s="286"/>
      <c r="J129" s="286"/>
      <c r="K129" s="286"/>
      <c r="L129" s="287"/>
      <c r="M129" s="421"/>
    </row>
    <row r="130" spans="1:13" ht="15.75">
      <c r="A130" s="272"/>
      <c r="B130" s="273"/>
      <c r="C130" s="279"/>
      <c r="D130" s="280"/>
      <c r="E130" s="280"/>
      <c r="F130" s="281"/>
      <c r="G130" s="28" t="s">
        <v>77</v>
      </c>
      <c r="H130" s="29"/>
      <c r="I130" s="29"/>
      <c r="J130" s="288" t="str">
        <f>'Data INPUT'!$B$5</f>
        <v xml:space="preserve"> </v>
      </c>
      <c r="K130" s="288"/>
      <c r="L130" s="289"/>
      <c r="M130" s="421"/>
    </row>
    <row r="131" spans="1:13" ht="16.5" thickBot="1">
      <c r="A131" s="274"/>
      <c r="B131" s="275"/>
      <c r="C131" s="282"/>
      <c r="D131" s="283"/>
      <c r="E131" s="283"/>
      <c r="F131" s="284"/>
      <c r="G131" s="31" t="s">
        <v>78</v>
      </c>
      <c r="H131" s="32"/>
      <c r="I131" s="32"/>
      <c r="J131" s="290" t="str">
        <f>'Data INPUT'!$B$6</f>
        <v xml:space="preserve"> </v>
      </c>
      <c r="K131" s="290"/>
      <c r="L131" s="291"/>
      <c r="M131" s="421"/>
    </row>
    <row r="132" spans="1:13" ht="15.75">
      <c r="A132" s="292" t="s">
        <v>79</v>
      </c>
      <c r="B132" s="293"/>
      <c r="C132" s="296" t="str">
        <f>'Data INPUT'!$B$16</f>
        <v xml:space="preserve"> </v>
      </c>
      <c r="D132" s="297"/>
      <c r="E132" s="297"/>
      <c r="F132" s="297"/>
      <c r="G132" s="297"/>
      <c r="H132" s="297"/>
      <c r="I132" s="297"/>
      <c r="J132" s="297"/>
      <c r="K132" s="297"/>
      <c r="L132" s="298"/>
      <c r="M132" s="421"/>
    </row>
    <row r="133" spans="1:13" ht="15.75">
      <c r="A133" s="292"/>
      <c r="B133" s="293"/>
      <c r="C133" s="299" t="str">
        <f>'Data INPUT'!$B$17</f>
        <v xml:space="preserve"> </v>
      </c>
      <c r="D133" s="300"/>
      <c r="E133" s="300"/>
      <c r="F133" s="300"/>
      <c r="G133" s="300"/>
      <c r="H133" s="300"/>
      <c r="I133" s="300"/>
      <c r="J133" s="300"/>
      <c r="K133" s="300"/>
      <c r="L133" s="301"/>
      <c r="M133" s="421"/>
    </row>
    <row r="134" spans="1:13" ht="16.5" thickBot="1">
      <c r="A134" s="294"/>
      <c r="B134" s="295"/>
      <c r="C134" s="302" t="str">
        <f>'Data INPUT'!$B$18</f>
        <v xml:space="preserve"> </v>
      </c>
      <c r="D134" s="303"/>
      <c r="E134" s="303"/>
      <c r="F134" s="303"/>
      <c r="G134" s="303"/>
      <c r="H134" s="303"/>
      <c r="I134" s="303"/>
      <c r="J134" s="303"/>
      <c r="K134" s="303"/>
      <c r="L134" s="304"/>
      <c r="M134" s="421"/>
    </row>
    <row r="135" spans="1:13" ht="16.5" thickBot="1">
      <c r="A135" s="391" t="s">
        <v>80</v>
      </c>
      <c r="B135" s="392"/>
      <c r="C135" s="66" t="s">
        <v>42</v>
      </c>
      <c r="D135" s="66"/>
      <c r="E135" s="69" t="s">
        <v>43</v>
      </c>
      <c r="F135" s="66"/>
      <c r="G135" s="67"/>
      <c r="H135" s="275" t="s">
        <v>230</v>
      </c>
      <c r="I135" s="275"/>
      <c r="J135" s="275"/>
      <c r="K135" s="275"/>
      <c r="L135" s="393"/>
      <c r="M135" s="421"/>
    </row>
    <row r="136" spans="1:13" ht="15.75">
      <c r="A136" s="394" t="s">
        <v>81</v>
      </c>
      <c r="B136" s="395"/>
      <c r="C136" s="71" t="str">
        <f>'Data INPUT'!G26</f>
        <v xml:space="preserve"> </v>
      </c>
      <c r="D136" s="72" t="s">
        <v>82</v>
      </c>
      <c r="E136" s="70" t="str">
        <f>'Data INPUT'!G27</f>
        <v xml:space="preserve"> </v>
      </c>
      <c r="F136" s="73"/>
      <c r="G136" s="33"/>
      <c r="H136" s="396"/>
      <c r="I136" s="397"/>
      <c r="J136" s="397"/>
      <c r="K136" s="397"/>
      <c r="L136" s="398"/>
      <c r="M136" s="421"/>
    </row>
    <row r="137" spans="1:13" ht="15.75">
      <c r="A137" s="34" t="s">
        <v>83</v>
      </c>
      <c r="B137" s="35" t="str">
        <f>D138</f>
        <v>Select</v>
      </c>
      <c r="C137" s="65" t="str">
        <f>C136</f>
        <v xml:space="preserve"> </v>
      </c>
      <c r="D137" s="37"/>
      <c r="E137" s="36"/>
      <c r="F137" s="38"/>
      <c r="G137" s="38"/>
      <c r="H137" s="399" t="s">
        <v>84</v>
      </c>
      <c r="I137" s="400"/>
      <c r="J137" s="400"/>
      <c r="K137" s="400"/>
      <c r="L137" s="401"/>
      <c r="M137" s="421"/>
    </row>
    <row r="138" spans="1:13" ht="15.75">
      <c r="A138" s="39" t="s">
        <v>85</v>
      </c>
      <c r="B138" s="35" t="str">
        <f>D138</f>
        <v>Select</v>
      </c>
      <c r="C138" s="68" t="s">
        <v>33</v>
      </c>
      <c r="D138" s="37" t="str">
        <f>'Data INPUT'!G28</f>
        <v>Select</v>
      </c>
      <c r="E138" s="37"/>
      <c r="F138" s="37"/>
      <c r="G138" s="53"/>
      <c r="H138" s="267" t="s">
        <v>33</v>
      </c>
      <c r="I138" s="268"/>
      <c r="J138" s="268"/>
      <c r="K138" s="268"/>
      <c r="L138" s="269"/>
      <c r="M138" s="421"/>
    </row>
    <row r="139" spans="1:13" ht="16.5" thickBot="1">
      <c r="A139" s="40" t="s">
        <v>86</v>
      </c>
      <c r="B139" s="41" t="str">
        <f>'Data INPUT'!G29</f>
        <v>Standard</v>
      </c>
      <c r="C139" s="72" t="e">
        <f>E136-D138+10</f>
        <v>#VALUE!</v>
      </c>
      <c r="D139" s="42" t="s">
        <v>82</v>
      </c>
      <c r="E139" s="30">
        <v>100</v>
      </c>
      <c r="F139" s="42" t="s">
        <v>82</v>
      </c>
      <c r="G139" s="42">
        <v>53</v>
      </c>
      <c r="H139" s="373"/>
      <c r="I139" s="374"/>
      <c r="J139" s="374"/>
      <c r="K139" s="374"/>
      <c r="L139" s="375"/>
      <c r="M139" s="421"/>
    </row>
    <row r="140" spans="1:13" ht="15.75">
      <c r="A140" s="43" t="s">
        <v>87</v>
      </c>
      <c r="B140" s="44" t="s">
        <v>88</v>
      </c>
      <c r="C140" s="45" t="e">
        <f>C141</f>
        <v>#VALUE!</v>
      </c>
      <c r="D140" s="45" t="s">
        <v>82</v>
      </c>
      <c r="E140" s="140">
        <v>1</v>
      </c>
      <c r="F140" s="46"/>
      <c r="G140" s="46"/>
      <c r="H140" s="376" t="s">
        <v>89</v>
      </c>
      <c r="I140" s="377"/>
      <c r="J140" s="377"/>
      <c r="K140" s="377"/>
      <c r="L140" s="378"/>
      <c r="M140" s="421"/>
    </row>
    <row r="141" spans="1:13" ht="16.5" thickBot="1">
      <c r="A141" s="47" t="s">
        <v>90</v>
      </c>
      <c r="B141" s="48"/>
      <c r="C141" s="49" t="e">
        <f>C136-180</f>
        <v>#VALUE!</v>
      </c>
      <c r="D141" s="49" t="s">
        <v>82</v>
      </c>
      <c r="E141" s="137">
        <v>1</v>
      </c>
      <c r="F141" s="50"/>
      <c r="G141" s="50"/>
      <c r="H141" s="379"/>
      <c r="I141" s="380"/>
      <c r="J141" s="380"/>
      <c r="K141" s="380"/>
      <c r="L141" s="381"/>
      <c r="M141" s="421"/>
    </row>
    <row r="142" spans="1:13" ht="15.75">
      <c r="A142" s="382" t="s">
        <v>91</v>
      </c>
      <c r="B142" s="383"/>
      <c r="C142" s="52" t="e">
        <f>C136-230</f>
        <v>#VALUE!</v>
      </c>
      <c r="D142" s="384" t="s">
        <v>33</v>
      </c>
      <c r="E142" s="384"/>
      <c r="F142" s="384"/>
      <c r="G142" s="385"/>
      <c r="H142" s="386" t="s">
        <v>92</v>
      </c>
      <c r="I142" s="366"/>
      <c r="J142" s="366"/>
      <c r="K142" s="366"/>
      <c r="L142" s="367"/>
      <c r="M142" s="421"/>
    </row>
    <row r="143" spans="1:13" ht="16.5" thickBot="1">
      <c r="A143" s="387" t="s">
        <v>135</v>
      </c>
      <c r="B143" s="388"/>
      <c r="C143" s="37" t="e">
        <f>C144</f>
        <v>#VALUE!</v>
      </c>
      <c r="D143" s="389"/>
      <c r="E143" s="389"/>
      <c r="F143" s="389"/>
      <c r="G143" s="390"/>
      <c r="H143" s="373"/>
      <c r="I143" s="374"/>
      <c r="J143" s="374"/>
      <c r="K143" s="374"/>
      <c r="L143" s="375"/>
      <c r="M143" s="421"/>
    </row>
    <row r="144" spans="1:13" ht="15.75">
      <c r="A144" s="370" t="s">
        <v>73</v>
      </c>
      <c r="B144" s="371"/>
      <c r="C144" s="52" t="e">
        <f>C136-100</f>
        <v>#VALUE!</v>
      </c>
      <c r="D144" s="52" t="s">
        <v>82</v>
      </c>
      <c r="E144" s="51" t="e">
        <f>E136+300</f>
        <v>#VALUE!</v>
      </c>
      <c r="F144" s="52"/>
      <c r="G144" s="54"/>
      <c r="H144" s="351" t="s">
        <v>93</v>
      </c>
      <c r="I144" s="352"/>
      <c r="J144" s="352"/>
      <c r="K144" s="352"/>
      <c r="L144" s="353"/>
      <c r="M144" s="421"/>
    </row>
    <row r="145" spans="1:13" ht="16.5" thickBot="1">
      <c r="A145" s="294"/>
      <c r="B145" s="372"/>
      <c r="C145" s="354" t="s">
        <v>136</v>
      </c>
      <c r="D145" s="355"/>
      <c r="E145" s="355"/>
      <c r="F145" s="355"/>
      <c r="G145" s="356"/>
      <c r="H145" s="357" t="s">
        <v>94</v>
      </c>
      <c r="I145" s="358"/>
      <c r="J145" s="358"/>
      <c r="K145" s="358"/>
      <c r="L145" s="359"/>
      <c r="M145" s="421"/>
    </row>
    <row r="146" spans="1:13" ht="16.5" thickBot="1">
      <c r="A146" s="360" t="s">
        <v>95</v>
      </c>
      <c r="B146" s="361"/>
      <c r="C146" s="55" t="s">
        <v>33</v>
      </c>
      <c r="D146" s="75" t="s">
        <v>96</v>
      </c>
      <c r="E146" s="75" t="s">
        <v>33</v>
      </c>
      <c r="F146" s="75" t="s">
        <v>97</v>
      </c>
      <c r="G146" s="56" t="s">
        <v>33</v>
      </c>
      <c r="H146" s="368" t="s">
        <v>141</v>
      </c>
      <c r="I146" s="369"/>
      <c r="J146" s="369"/>
      <c r="K146" s="57">
        <v>300</v>
      </c>
      <c r="L146" s="144" t="s">
        <v>98</v>
      </c>
      <c r="M146" s="421"/>
    </row>
    <row r="147" spans="1:13" ht="15.75">
      <c r="A147" s="345" t="s">
        <v>99</v>
      </c>
      <c r="B147" s="346"/>
      <c r="C147" s="405" t="str">
        <f>'Data INPUT'!G34</f>
        <v>Select</v>
      </c>
      <c r="D147" s="384"/>
      <c r="E147" s="384"/>
      <c r="F147" s="384"/>
      <c r="G147" s="385"/>
      <c r="H147" s="27" t="s">
        <v>100</v>
      </c>
      <c r="I147" s="265"/>
      <c r="J147" s="265"/>
      <c r="K147" s="265"/>
      <c r="L147" s="266"/>
      <c r="M147" s="421"/>
    </row>
    <row r="148" spans="1:13" ht="16.5" thickBot="1">
      <c r="A148" s="274" t="s">
        <v>62</v>
      </c>
      <c r="B148" s="347"/>
      <c r="C148" s="322" t="str">
        <f>'Data INPUT'!G36</f>
        <v>Select</v>
      </c>
      <c r="D148" s="323"/>
      <c r="E148" s="323"/>
      <c r="F148" s="323"/>
      <c r="G148" s="324"/>
      <c r="H148" s="32"/>
      <c r="I148" s="320"/>
      <c r="J148" s="320"/>
      <c r="K148" s="320"/>
      <c r="L148" s="321"/>
      <c r="M148" s="421"/>
    </row>
    <row r="149" spans="1:13" ht="16.5" thickBot="1">
      <c r="A149" s="348" t="s">
        <v>101</v>
      </c>
      <c r="B149" s="349"/>
      <c r="C149" s="76" t="str">
        <f>'Data INPUT'!G35</f>
        <v>CSV x1</v>
      </c>
      <c r="D149" s="72" t="s">
        <v>33</v>
      </c>
      <c r="E149" s="306" t="s">
        <v>33</v>
      </c>
      <c r="F149" s="306"/>
      <c r="G149" s="350"/>
      <c r="H149" s="32" t="s">
        <v>100</v>
      </c>
      <c r="I149" s="58"/>
      <c r="J149" s="58"/>
      <c r="K149" s="58"/>
      <c r="L149" s="94"/>
      <c r="M149" s="421"/>
    </row>
    <row r="150" spans="1:13" ht="15.75">
      <c r="A150" s="342" t="s">
        <v>137</v>
      </c>
      <c r="B150" s="343"/>
      <c r="C150" s="343"/>
      <c r="D150" s="343"/>
      <c r="E150" s="343"/>
      <c r="F150" s="343"/>
      <c r="G150" s="343"/>
      <c r="H150" s="26" t="s">
        <v>102</v>
      </c>
      <c r="I150" s="59"/>
      <c r="J150" s="24"/>
      <c r="K150" s="24"/>
      <c r="L150" s="145">
        <f>'Data INPUT'!G42</f>
        <v>1</v>
      </c>
      <c r="M150" s="421"/>
    </row>
    <row r="151" spans="1:13" ht="15.75">
      <c r="A151" s="335" t="s">
        <v>65</v>
      </c>
      <c r="B151" s="336"/>
      <c r="C151" s="330" t="str">
        <f>'Data INPUT'!G37</f>
        <v>RAL 9010</v>
      </c>
      <c r="D151" s="331"/>
      <c r="E151" s="331"/>
      <c r="F151" s="331"/>
      <c r="G151" s="332"/>
      <c r="H151" s="333" t="s">
        <v>103</v>
      </c>
      <c r="I151" s="235"/>
      <c r="J151" s="235"/>
      <c r="K151" s="334"/>
      <c r="L151" s="146">
        <f>'Data INPUT'!G43</f>
        <v>0</v>
      </c>
      <c r="M151" s="421"/>
    </row>
    <row r="152" spans="1:13" ht="15.75">
      <c r="A152" s="327" t="s">
        <v>104</v>
      </c>
      <c r="B152" s="329"/>
      <c r="C152" s="330" t="str">
        <f>'Data INPUT'!G38</f>
        <v>RAL 9010</v>
      </c>
      <c r="D152" s="331"/>
      <c r="E152" s="331"/>
      <c r="F152" s="331"/>
      <c r="G152" s="332"/>
      <c r="H152" s="333" t="s">
        <v>105</v>
      </c>
      <c r="I152" s="235"/>
      <c r="J152" s="235"/>
      <c r="K152" s="334"/>
      <c r="L152" s="146">
        <f>'Data INPUT'!G44</f>
        <v>0</v>
      </c>
      <c r="M152" s="421"/>
    </row>
    <row r="153" spans="1:13" ht="15.75">
      <c r="A153" s="327" t="s">
        <v>106</v>
      </c>
      <c r="B153" s="329"/>
      <c r="C153" s="330" t="str">
        <f>'Data INPUT'!G39</f>
        <v>RAL 9010</v>
      </c>
      <c r="D153" s="331"/>
      <c r="E153" s="331"/>
      <c r="F153" s="331"/>
      <c r="G153" s="332"/>
      <c r="H153" s="333" t="s">
        <v>107</v>
      </c>
      <c r="I153" s="235"/>
      <c r="J153" s="235"/>
      <c r="K153" s="334"/>
      <c r="L153" s="146">
        <f>'Data INPUT'!G45</f>
        <v>0</v>
      </c>
      <c r="M153" s="421"/>
    </row>
    <row r="154" spans="1:13" ht="15.75">
      <c r="A154" s="335" t="s">
        <v>108</v>
      </c>
      <c r="B154" s="336"/>
      <c r="C154" s="330" t="str">
        <f>'Data INPUT'!G40</f>
        <v>RAL 9010</v>
      </c>
      <c r="D154" s="331"/>
      <c r="E154" s="331"/>
      <c r="F154" s="331"/>
      <c r="G154" s="332"/>
      <c r="H154" s="60" t="s">
        <v>109</v>
      </c>
      <c r="I154" s="62"/>
      <c r="J154" s="25"/>
      <c r="K154" s="25"/>
      <c r="L154" s="146">
        <f>'Data INPUT'!G46</f>
        <v>0</v>
      </c>
      <c r="M154" s="421"/>
    </row>
    <row r="155" spans="1:13" ht="16.5" thickBot="1">
      <c r="A155" s="413" t="s">
        <v>110</v>
      </c>
      <c r="B155" s="414"/>
      <c r="C155" s="415" t="str">
        <f>'Data INPUT'!G41</f>
        <v>No</v>
      </c>
      <c r="D155" s="288"/>
      <c r="E155" s="288"/>
      <c r="F155" s="288"/>
      <c r="G155" s="289"/>
      <c r="H155" s="60" t="s">
        <v>111</v>
      </c>
      <c r="I155" s="25"/>
      <c r="J155" s="25"/>
      <c r="K155" s="61"/>
      <c r="L155" s="146">
        <f>'Data INPUT'!G47</f>
        <v>0</v>
      </c>
      <c r="M155" s="421"/>
    </row>
    <row r="156" spans="1:13" ht="15.75" customHeight="1">
      <c r="A156" s="428" t="s">
        <v>112</v>
      </c>
      <c r="B156" s="429"/>
      <c r="C156" s="86"/>
      <c r="D156" s="86"/>
      <c r="E156" s="86"/>
      <c r="F156" s="426" t="s">
        <v>115</v>
      </c>
      <c r="G156" s="427"/>
      <c r="H156" s="25" t="s">
        <v>113</v>
      </c>
      <c r="I156" s="62"/>
      <c r="J156" s="25"/>
      <c r="K156" s="25"/>
      <c r="L156" s="146">
        <f>'Data INPUT'!G48</f>
        <v>0</v>
      </c>
      <c r="M156" s="421"/>
    </row>
    <row r="157" spans="1:13" ht="15.75" customHeight="1">
      <c r="A157" s="327" t="s">
        <v>114</v>
      </c>
      <c r="B157" s="328"/>
      <c r="C157" s="328"/>
      <c r="D157" s="87"/>
      <c r="E157" s="87" t="s">
        <v>33</v>
      </c>
      <c r="F157" s="88" t="s">
        <v>33</v>
      </c>
      <c r="G157" s="89" t="s">
        <v>33</v>
      </c>
      <c r="H157" s="326"/>
      <c r="I157" s="326"/>
      <c r="J157" s="326"/>
      <c r="K157" s="74"/>
      <c r="L157" s="146" t="s">
        <v>33</v>
      </c>
      <c r="M157" s="421"/>
    </row>
    <row r="158" spans="1:13" ht="15.75" customHeight="1">
      <c r="A158" s="327" t="s">
        <v>116</v>
      </c>
      <c r="B158" s="328"/>
      <c r="C158" s="328"/>
      <c r="D158" s="328"/>
      <c r="E158" s="329"/>
      <c r="F158" s="88" t="s">
        <v>33</v>
      </c>
      <c r="G158" s="89"/>
      <c r="H158" s="25"/>
      <c r="I158" s="62"/>
      <c r="J158" s="25"/>
      <c r="K158" s="25"/>
      <c r="L158" s="146" t="s">
        <v>33</v>
      </c>
      <c r="M158" s="421"/>
    </row>
    <row r="159" spans="1:13" ht="16.5" customHeight="1" thickBot="1">
      <c r="A159" s="337" t="s">
        <v>117</v>
      </c>
      <c r="B159" s="362"/>
      <c r="C159" s="362"/>
      <c r="D159" s="362"/>
      <c r="E159" s="338"/>
      <c r="F159" s="138" t="s">
        <v>33</v>
      </c>
      <c r="G159" s="139"/>
      <c r="H159" s="416"/>
      <c r="I159" s="364"/>
      <c r="J159" s="364"/>
      <c r="K159" s="364"/>
      <c r="L159" s="147" t="s">
        <v>33</v>
      </c>
      <c r="M159" s="421"/>
    </row>
    <row r="160" spans="1:13" ht="48" customHeight="1" thickBot="1">
      <c r="A160" s="92" t="s">
        <v>118</v>
      </c>
      <c r="B160" s="93"/>
      <c r="C160" s="77" t="s">
        <v>119</v>
      </c>
      <c r="D160" s="82"/>
      <c r="E160" s="83"/>
      <c r="F160" s="84"/>
      <c r="G160" s="85"/>
      <c r="H160" s="402"/>
      <c r="I160" s="403"/>
      <c r="J160" s="403"/>
      <c r="K160" s="403"/>
      <c r="L160" s="404"/>
      <c r="M160" s="422"/>
    </row>
    <row r="161" spans="1:13" ht="21" customHeight="1" thickBot="1">
      <c r="A161" s="251" t="s">
        <v>69</v>
      </c>
      <c r="B161" s="252"/>
      <c r="C161" s="253">
        <f ca="1">'Data INPUT'!$B$13</f>
        <v>46222</v>
      </c>
      <c r="D161" s="254"/>
      <c r="E161" s="254"/>
      <c r="F161" s="254"/>
      <c r="G161" s="255" t="s">
        <v>7</v>
      </c>
      <c r="H161" s="255"/>
      <c r="I161" s="255"/>
      <c r="J161" s="256" t="str">
        <f>'Data INPUT'!$B$14</f>
        <v xml:space="preserve"> </v>
      </c>
      <c r="K161" s="257"/>
      <c r="L161" s="258"/>
      <c r="M161" s="423" t="s">
        <v>146</v>
      </c>
    </row>
    <row r="162" spans="1:13" ht="15.75">
      <c r="A162" s="259" t="s">
        <v>70</v>
      </c>
      <c r="B162" s="260"/>
      <c r="C162" s="261" t="str">
        <f>'Data INPUT'!$B$4</f>
        <v xml:space="preserve"> </v>
      </c>
      <c r="D162" s="262"/>
      <c r="E162" s="262"/>
      <c r="F162" s="262"/>
      <c r="G162" s="262"/>
      <c r="H162" s="262"/>
      <c r="I162" s="263"/>
      <c r="J162" s="264">
        <f>'Data INPUT'!H19</f>
        <v>1</v>
      </c>
      <c r="K162" s="265"/>
      <c r="L162" s="266"/>
      <c r="M162" s="424"/>
    </row>
    <row r="163" spans="1:13" ht="15.75">
      <c r="A163" s="232" t="s">
        <v>71</v>
      </c>
      <c r="B163" s="233"/>
      <c r="C163" s="234" t="str">
        <f>'Data INPUT'!$B$2</f>
        <v xml:space="preserve"> </v>
      </c>
      <c r="D163" s="235"/>
      <c r="E163" s="235"/>
      <c r="F163" s="235"/>
      <c r="G163" s="235"/>
      <c r="H163" s="235"/>
      <c r="I163" s="236"/>
      <c r="J163" s="237" t="str">
        <f>'Data INPUT'!H24</f>
        <v xml:space="preserve"> </v>
      </c>
      <c r="K163" s="238"/>
      <c r="L163" s="239"/>
      <c r="M163" s="424"/>
    </row>
    <row r="164" spans="1:13" ht="16.5" thickBot="1">
      <c r="A164" s="240" t="s">
        <v>0</v>
      </c>
      <c r="B164" s="241"/>
      <c r="C164" s="242" t="str">
        <f>'Data INPUT'!$B$3</f>
        <v xml:space="preserve"> </v>
      </c>
      <c r="D164" s="243"/>
      <c r="E164" s="243"/>
      <c r="F164" s="243"/>
      <c r="G164" s="243"/>
      <c r="H164" s="243"/>
      <c r="I164" s="244"/>
      <c r="J164" s="317" t="str">
        <f>'Data INPUT'!H18</f>
        <v>Curtain 5</v>
      </c>
      <c r="K164" s="318"/>
      <c r="L164" s="319"/>
      <c r="M164" s="424"/>
    </row>
    <row r="165" spans="1:13" ht="15.75">
      <c r="A165" s="245" t="str">
        <f>'Data INPUT'!H21</f>
        <v>Fire Curtain</v>
      </c>
      <c r="B165" s="247" t="str">
        <f>'Data INPUT'!H25</f>
        <v>Select</v>
      </c>
      <c r="C165" s="248"/>
      <c r="D165" s="313" t="str">
        <f>'Data INPUT'!H20</f>
        <v>EN1634-5</v>
      </c>
      <c r="E165" s="313"/>
      <c r="F165" s="314"/>
      <c r="G165" s="365" t="s">
        <v>72</v>
      </c>
      <c r="H165" s="366"/>
      <c r="I165" s="366"/>
      <c r="J165" s="366"/>
      <c r="K165" s="366"/>
      <c r="L165" s="367"/>
      <c r="M165" s="424"/>
    </row>
    <row r="166" spans="1:13" ht="16.5" thickBot="1">
      <c r="A166" s="246"/>
      <c r="B166" s="249"/>
      <c r="C166" s="250"/>
      <c r="D166" s="315"/>
      <c r="E166" s="315"/>
      <c r="F166" s="316"/>
      <c r="G166" s="305" t="str">
        <f>'Data INPUT'!$B$7</f>
        <v xml:space="preserve"> </v>
      </c>
      <c r="H166" s="306"/>
      <c r="I166" s="306"/>
      <c r="J166" s="306"/>
      <c r="K166" s="306"/>
      <c r="L166" s="307"/>
      <c r="M166" s="424"/>
    </row>
    <row r="167" spans="1:13" ht="15.75">
      <c r="A167" s="259" t="s">
        <v>74</v>
      </c>
      <c r="B167" s="260"/>
      <c r="C167" s="308" t="str">
        <f>'Data INPUT'!$B$12</f>
        <v>Select</v>
      </c>
      <c r="D167" s="308"/>
      <c r="E167" s="308"/>
      <c r="F167" s="309"/>
      <c r="G167" s="305" t="str">
        <f>'Data INPUT'!$B$8</f>
        <v xml:space="preserve"> </v>
      </c>
      <c r="H167" s="306"/>
      <c r="I167" s="306"/>
      <c r="J167" s="306"/>
      <c r="K167" s="306"/>
      <c r="L167" s="307"/>
      <c r="M167" s="424"/>
    </row>
    <row r="168" spans="1:13" ht="15.75">
      <c r="A168" s="232" t="s">
        <v>75</v>
      </c>
      <c r="B168" s="233"/>
      <c r="C168" s="310" t="str">
        <f>'Data INPUT'!H23</f>
        <v>In Fit</v>
      </c>
      <c r="D168" s="311"/>
      <c r="E168" s="311"/>
      <c r="F168" s="312"/>
      <c r="G168" s="305" t="str">
        <f>'Data INPUT'!$B$9</f>
        <v xml:space="preserve"> </v>
      </c>
      <c r="H168" s="306"/>
      <c r="I168" s="306"/>
      <c r="J168" s="306"/>
      <c r="K168" s="306"/>
      <c r="L168" s="307"/>
      <c r="M168" s="424"/>
    </row>
    <row r="169" spans="1:13" ht="15.75">
      <c r="A169" s="270" t="s">
        <v>76</v>
      </c>
      <c r="B169" s="271"/>
      <c r="C169" s="276">
        <v>1</v>
      </c>
      <c r="D169" s="277"/>
      <c r="E169" s="277"/>
      <c r="F169" s="278"/>
      <c r="G169" s="285" t="str">
        <f>'Data INPUT'!$B$10</f>
        <v xml:space="preserve"> </v>
      </c>
      <c r="H169" s="286"/>
      <c r="I169" s="286"/>
      <c r="J169" s="286"/>
      <c r="K169" s="286"/>
      <c r="L169" s="287"/>
      <c r="M169" s="424"/>
    </row>
    <row r="170" spans="1:13" ht="15.75">
      <c r="A170" s="272"/>
      <c r="B170" s="273"/>
      <c r="C170" s="279"/>
      <c r="D170" s="280"/>
      <c r="E170" s="280"/>
      <c r="F170" s="281"/>
      <c r="G170" s="28" t="s">
        <v>77</v>
      </c>
      <c r="H170" s="29"/>
      <c r="I170" s="29"/>
      <c r="J170" s="288" t="str">
        <f>'Data INPUT'!$B$5</f>
        <v xml:space="preserve"> </v>
      </c>
      <c r="K170" s="288"/>
      <c r="L170" s="289"/>
      <c r="M170" s="424"/>
    </row>
    <row r="171" spans="1:13" ht="16.5" thickBot="1">
      <c r="A171" s="274"/>
      <c r="B171" s="275"/>
      <c r="C171" s="282"/>
      <c r="D171" s="283"/>
      <c r="E171" s="283"/>
      <c r="F171" s="284"/>
      <c r="G171" s="31" t="s">
        <v>78</v>
      </c>
      <c r="H171" s="32"/>
      <c r="I171" s="32"/>
      <c r="J171" s="290" t="str">
        <f>'Data INPUT'!$B$6</f>
        <v xml:space="preserve"> </v>
      </c>
      <c r="K171" s="290"/>
      <c r="L171" s="291"/>
      <c r="M171" s="424"/>
    </row>
    <row r="172" spans="1:13" ht="15.75">
      <c r="A172" s="292" t="s">
        <v>79</v>
      </c>
      <c r="B172" s="293"/>
      <c r="C172" s="296" t="str">
        <f>'Data INPUT'!$B$16</f>
        <v xml:space="preserve"> </v>
      </c>
      <c r="D172" s="297"/>
      <c r="E172" s="297"/>
      <c r="F172" s="297"/>
      <c r="G172" s="297"/>
      <c r="H172" s="297"/>
      <c r="I172" s="297"/>
      <c r="J172" s="297"/>
      <c r="K172" s="297"/>
      <c r="L172" s="298"/>
      <c r="M172" s="424"/>
    </row>
    <row r="173" spans="1:13" ht="15.75">
      <c r="A173" s="292"/>
      <c r="B173" s="293"/>
      <c r="C173" s="299" t="str">
        <f>'Data INPUT'!$B$17</f>
        <v xml:space="preserve"> </v>
      </c>
      <c r="D173" s="300"/>
      <c r="E173" s="300"/>
      <c r="F173" s="300"/>
      <c r="G173" s="300"/>
      <c r="H173" s="300"/>
      <c r="I173" s="300"/>
      <c r="J173" s="300"/>
      <c r="K173" s="300"/>
      <c r="L173" s="301"/>
      <c r="M173" s="424"/>
    </row>
    <row r="174" spans="1:13" ht="16.5" thickBot="1">
      <c r="A174" s="294"/>
      <c r="B174" s="295"/>
      <c r="C174" s="302" t="str">
        <f>'Data INPUT'!$B$18</f>
        <v xml:space="preserve"> </v>
      </c>
      <c r="D174" s="303"/>
      <c r="E174" s="303"/>
      <c r="F174" s="303"/>
      <c r="G174" s="303"/>
      <c r="H174" s="303"/>
      <c r="I174" s="303"/>
      <c r="J174" s="303"/>
      <c r="K174" s="303"/>
      <c r="L174" s="304"/>
      <c r="M174" s="424"/>
    </row>
    <row r="175" spans="1:13" ht="16.5" thickBot="1">
      <c r="A175" s="391" t="s">
        <v>80</v>
      </c>
      <c r="B175" s="392"/>
      <c r="C175" s="66" t="s">
        <v>42</v>
      </c>
      <c r="D175" s="66"/>
      <c r="E175" s="69" t="s">
        <v>43</v>
      </c>
      <c r="F175" s="66"/>
      <c r="G175" s="67"/>
      <c r="H175" s="275" t="s">
        <v>230</v>
      </c>
      <c r="I175" s="275"/>
      <c r="J175" s="275"/>
      <c r="K175" s="275"/>
      <c r="L175" s="393"/>
      <c r="M175" s="424"/>
    </row>
    <row r="176" spans="1:13" ht="15.75">
      <c r="A176" s="394" t="s">
        <v>81</v>
      </c>
      <c r="B176" s="395"/>
      <c r="C176" s="71" t="str">
        <f>'Data INPUT'!H26</f>
        <v xml:space="preserve"> </v>
      </c>
      <c r="D176" s="72" t="s">
        <v>82</v>
      </c>
      <c r="E176" s="70" t="str">
        <f>'Data INPUT'!H27</f>
        <v xml:space="preserve"> </v>
      </c>
      <c r="F176" s="73"/>
      <c r="G176" s="33"/>
      <c r="H176" s="396"/>
      <c r="I176" s="397"/>
      <c r="J176" s="397"/>
      <c r="K176" s="397"/>
      <c r="L176" s="398"/>
      <c r="M176" s="424"/>
    </row>
    <row r="177" spans="1:13" ht="15.75">
      <c r="A177" s="34" t="s">
        <v>83</v>
      </c>
      <c r="B177" s="35" t="str">
        <f>D178</f>
        <v>Select</v>
      </c>
      <c r="C177" s="65" t="str">
        <f>C176</f>
        <v xml:space="preserve"> </v>
      </c>
      <c r="D177" s="37"/>
      <c r="E177" s="36"/>
      <c r="F177" s="38"/>
      <c r="G177" s="38"/>
      <c r="H177" s="399" t="s">
        <v>84</v>
      </c>
      <c r="I177" s="400"/>
      <c r="J177" s="400"/>
      <c r="K177" s="400"/>
      <c r="L177" s="401"/>
      <c r="M177" s="424"/>
    </row>
    <row r="178" spans="1:13" ht="15.75">
      <c r="A178" s="39" t="s">
        <v>85</v>
      </c>
      <c r="B178" s="35" t="str">
        <f>D178</f>
        <v>Select</v>
      </c>
      <c r="C178" s="68" t="s">
        <v>33</v>
      </c>
      <c r="D178" s="37" t="str">
        <f>'Data INPUT'!H28</f>
        <v>Select</v>
      </c>
      <c r="E178" s="37"/>
      <c r="F178" s="37"/>
      <c r="G178" s="53"/>
      <c r="H178" s="267" t="s">
        <v>33</v>
      </c>
      <c r="I178" s="268"/>
      <c r="J178" s="268"/>
      <c r="K178" s="268"/>
      <c r="L178" s="269"/>
      <c r="M178" s="424"/>
    </row>
    <row r="179" spans="1:13" ht="16.5" thickBot="1">
      <c r="A179" s="40" t="s">
        <v>86</v>
      </c>
      <c r="B179" s="41" t="str">
        <f>'Data INPUT'!H29</f>
        <v>Standard</v>
      </c>
      <c r="C179" s="72" t="e">
        <f>E176-D178+10</f>
        <v>#VALUE!</v>
      </c>
      <c r="D179" s="42" t="s">
        <v>82</v>
      </c>
      <c r="E179" s="30">
        <v>100</v>
      </c>
      <c r="F179" s="42" t="s">
        <v>82</v>
      </c>
      <c r="G179" s="42">
        <v>53</v>
      </c>
      <c r="H179" s="373"/>
      <c r="I179" s="374"/>
      <c r="J179" s="374"/>
      <c r="K179" s="374"/>
      <c r="L179" s="375"/>
      <c r="M179" s="424"/>
    </row>
    <row r="180" spans="1:13" ht="15.75">
      <c r="A180" s="43" t="s">
        <v>87</v>
      </c>
      <c r="B180" s="44" t="s">
        <v>88</v>
      </c>
      <c r="C180" s="45" t="e">
        <f>C181</f>
        <v>#VALUE!</v>
      </c>
      <c r="D180" s="45" t="s">
        <v>82</v>
      </c>
      <c r="E180" s="140">
        <v>1</v>
      </c>
      <c r="F180" s="46"/>
      <c r="G180" s="46"/>
      <c r="H180" s="376" t="s">
        <v>89</v>
      </c>
      <c r="I180" s="377"/>
      <c r="J180" s="377"/>
      <c r="K180" s="377"/>
      <c r="L180" s="378"/>
      <c r="M180" s="424"/>
    </row>
    <row r="181" spans="1:13" ht="16.5" thickBot="1">
      <c r="A181" s="47" t="s">
        <v>90</v>
      </c>
      <c r="B181" s="48"/>
      <c r="C181" s="49" t="e">
        <f>C176-180</f>
        <v>#VALUE!</v>
      </c>
      <c r="D181" s="49" t="s">
        <v>82</v>
      </c>
      <c r="E181" s="137">
        <v>1</v>
      </c>
      <c r="F181" s="50"/>
      <c r="G181" s="50"/>
      <c r="H181" s="379"/>
      <c r="I181" s="380"/>
      <c r="J181" s="380"/>
      <c r="K181" s="380"/>
      <c r="L181" s="381"/>
      <c r="M181" s="424"/>
    </row>
    <row r="182" spans="1:13" ht="15.75">
      <c r="A182" s="382" t="s">
        <v>91</v>
      </c>
      <c r="B182" s="383"/>
      <c r="C182" s="52" t="e">
        <f>C176-230</f>
        <v>#VALUE!</v>
      </c>
      <c r="D182" s="384" t="s">
        <v>33</v>
      </c>
      <c r="E182" s="384"/>
      <c r="F182" s="384"/>
      <c r="G182" s="385"/>
      <c r="H182" s="386" t="s">
        <v>92</v>
      </c>
      <c r="I182" s="366"/>
      <c r="J182" s="366"/>
      <c r="K182" s="366"/>
      <c r="L182" s="367"/>
      <c r="M182" s="424"/>
    </row>
    <row r="183" spans="1:13" ht="16.5" thickBot="1">
      <c r="A183" s="387" t="s">
        <v>135</v>
      </c>
      <c r="B183" s="388"/>
      <c r="C183" s="37" t="e">
        <f>C184</f>
        <v>#VALUE!</v>
      </c>
      <c r="D183" s="389"/>
      <c r="E183" s="389"/>
      <c r="F183" s="389"/>
      <c r="G183" s="390"/>
      <c r="H183" s="373"/>
      <c r="I183" s="374"/>
      <c r="J183" s="374"/>
      <c r="K183" s="374"/>
      <c r="L183" s="375"/>
      <c r="M183" s="424"/>
    </row>
    <row r="184" spans="1:13" ht="15.75">
      <c r="A184" s="370" t="s">
        <v>73</v>
      </c>
      <c r="B184" s="371"/>
      <c r="C184" s="52" t="e">
        <f>C176-100</f>
        <v>#VALUE!</v>
      </c>
      <c r="D184" s="52" t="s">
        <v>82</v>
      </c>
      <c r="E184" s="51" t="e">
        <f>E176+300</f>
        <v>#VALUE!</v>
      </c>
      <c r="F184" s="52"/>
      <c r="G184" s="54"/>
      <c r="H184" s="351" t="s">
        <v>93</v>
      </c>
      <c r="I184" s="352"/>
      <c r="J184" s="352"/>
      <c r="K184" s="352"/>
      <c r="L184" s="353"/>
      <c r="M184" s="424"/>
    </row>
    <row r="185" spans="1:13" ht="16.5" thickBot="1">
      <c r="A185" s="294"/>
      <c r="B185" s="372"/>
      <c r="C185" s="354" t="s">
        <v>136</v>
      </c>
      <c r="D185" s="355"/>
      <c r="E185" s="355"/>
      <c r="F185" s="355"/>
      <c r="G185" s="356"/>
      <c r="H185" s="357" t="s">
        <v>94</v>
      </c>
      <c r="I185" s="358"/>
      <c r="J185" s="358"/>
      <c r="K185" s="358"/>
      <c r="L185" s="359"/>
      <c r="M185" s="424"/>
    </row>
    <row r="186" spans="1:13" ht="16.5" thickBot="1">
      <c r="A186" s="360" t="s">
        <v>95</v>
      </c>
      <c r="B186" s="361"/>
      <c r="C186" s="55" t="s">
        <v>33</v>
      </c>
      <c r="D186" s="75" t="s">
        <v>96</v>
      </c>
      <c r="E186" s="75" t="s">
        <v>33</v>
      </c>
      <c r="F186" s="75" t="s">
        <v>97</v>
      </c>
      <c r="G186" s="56" t="s">
        <v>33</v>
      </c>
      <c r="H186" s="368" t="s">
        <v>141</v>
      </c>
      <c r="I186" s="369"/>
      <c r="J186" s="369"/>
      <c r="K186" s="57">
        <v>300</v>
      </c>
      <c r="L186" s="144" t="s">
        <v>98</v>
      </c>
      <c r="M186" s="424"/>
    </row>
    <row r="187" spans="1:13" ht="15.75">
      <c r="A187" s="345" t="s">
        <v>99</v>
      </c>
      <c r="B187" s="346"/>
      <c r="C187" s="405" t="str">
        <f>'Data INPUT'!H34</f>
        <v>Select</v>
      </c>
      <c r="D187" s="384"/>
      <c r="E187" s="384"/>
      <c r="F187" s="384"/>
      <c r="G187" s="385"/>
      <c r="H187" s="27" t="s">
        <v>100</v>
      </c>
      <c r="I187" s="265"/>
      <c r="J187" s="265"/>
      <c r="K187" s="265"/>
      <c r="L187" s="266"/>
      <c r="M187" s="424"/>
    </row>
    <row r="188" spans="1:13" ht="16.5" thickBot="1">
      <c r="A188" s="274" t="s">
        <v>62</v>
      </c>
      <c r="B188" s="347"/>
      <c r="C188" s="322" t="str">
        <f>'Data INPUT'!H36</f>
        <v>Select</v>
      </c>
      <c r="D188" s="323"/>
      <c r="E188" s="323"/>
      <c r="F188" s="323"/>
      <c r="G188" s="324"/>
      <c r="H188" s="32"/>
      <c r="I188" s="320"/>
      <c r="J188" s="320"/>
      <c r="K188" s="320"/>
      <c r="L188" s="321"/>
      <c r="M188" s="424"/>
    </row>
    <row r="189" spans="1:13" ht="16.5" thickBot="1">
      <c r="A189" s="348" t="s">
        <v>101</v>
      </c>
      <c r="B189" s="349"/>
      <c r="C189" s="76" t="str">
        <f>'Data INPUT'!H35</f>
        <v>CSV x1</v>
      </c>
      <c r="D189" s="72" t="s">
        <v>33</v>
      </c>
      <c r="E189" s="306" t="s">
        <v>33</v>
      </c>
      <c r="F189" s="306"/>
      <c r="G189" s="350"/>
      <c r="H189" s="32" t="s">
        <v>100</v>
      </c>
      <c r="I189" s="58"/>
      <c r="J189" s="58"/>
      <c r="K189" s="58"/>
      <c r="L189" s="94"/>
      <c r="M189" s="424"/>
    </row>
    <row r="190" spans="1:13" ht="15.75">
      <c r="A190" s="342" t="s">
        <v>137</v>
      </c>
      <c r="B190" s="343"/>
      <c r="C190" s="343"/>
      <c r="D190" s="343"/>
      <c r="E190" s="343"/>
      <c r="F190" s="343"/>
      <c r="G190" s="343"/>
      <c r="H190" s="26" t="s">
        <v>102</v>
      </c>
      <c r="I190" s="59"/>
      <c r="J190" s="24"/>
      <c r="K190" s="24"/>
      <c r="L190" s="145">
        <f>'Data INPUT'!H42</f>
        <v>1</v>
      </c>
      <c r="M190" s="424"/>
    </row>
    <row r="191" spans="1:13" ht="15.75">
      <c r="A191" s="335" t="s">
        <v>65</v>
      </c>
      <c r="B191" s="336"/>
      <c r="C191" s="330" t="str">
        <f>'Data INPUT'!H37</f>
        <v>RAL 9010</v>
      </c>
      <c r="D191" s="331"/>
      <c r="E191" s="331"/>
      <c r="F191" s="331"/>
      <c r="G191" s="332"/>
      <c r="H191" s="333" t="s">
        <v>103</v>
      </c>
      <c r="I191" s="235"/>
      <c r="J191" s="235"/>
      <c r="K191" s="334"/>
      <c r="L191" s="146">
        <f>'Data INPUT'!H43</f>
        <v>0</v>
      </c>
      <c r="M191" s="424"/>
    </row>
    <row r="192" spans="1:13" ht="15.75">
      <c r="A192" s="327" t="s">
        <v>104</v>
      </c>
      <c r="B192" s="329"/>
      <c r="C192" s="330" t="str">
        <f>'Data INPUT'!H38</f>
        <v>RAL 9010</v>
      </c>
      <c r="D192" s="331"/>
      <c r="E192" s="331"/>
      <c r="F192" s="331"/>
      <c r="G192" s="332"/>
      <c r="H192" s="333" t="s">
        <v>105</v>
      </c>
      <c r="I192" s="235"/>
      <c r="J192" s="235"/>
      <c r="K192" s="334"/>
      <c r="L192" s="146">
        <f>'Data INPUT'!H44</f>
        <v>0</v>
      </c>
      <c r="M192" s="424"/>
    </row>
    <row r="193" spans="1:13" ht="15.75">
      <c r="A193" s="327" t="s">
        <v>106</v>
      </c>
      <c r="B193" s="329"/>
      <c r="C193" s="330" t="str">
        <f>'Data INPUT'!H39</f>
        <v>RAL 9010</v>
      </c>
      <c r="D193" s="331"/>
      <c r="E193" s="331"/>
      <c r="F193" s="331"/>
      <c r="G193" s="332"/>
      <c r="H193" s="333" t="s">
        <v>107</v>
      </c>
      <c r="I193" s="235"/>
      <c r="J193" s="235"/>
      <c r="K193" s="334"/>
      <c r="L193" s="146">
        <f>'Data INPUT'!H45</f>
        <v>0</v>
      </c>
      <c r="M193" s="424"/>
    </row>
    <row r="194" spans="1:13" ht="15.75">
      <c r="A194" s="335" t="s">
        <v>108</v>
      </c>
      <c r="B194" s="336"/>
      <c r="C194" s="330" t="str">
        <f>'Data INPUT'!H40</f>
        <v>RAL 9010</v>
      </c>
      <c r="D194" s="331"/>
      <c r="E194" s="331"/>
      <c r="F194" s="331"/>
      <c r="G194" s="332"/>
      <c r="H194" s="60" t="s">
        <v>109</v>
      </c>
      <c r="I194" s="62"/>
      <c r="J194" s="25"/>
      <c r="K194" s="25"/>
      <c r="L194" s="146">
        <f>'Data INPUT'!H46</f>
        <v>0</v>
      </c>
      <c r="M194" s="424"/>
    </row>
    <row r="195" spans="1:13" ht="16.5" thickBot="1">
      <c r="A195" s="327" t="s">
        <v>110</v>
      </c>
      <c r="B195" s="329"/>
      <c r="C195" s="330" t="str">
        <f>'Data INPUT'!H41</f>
        <v>No</v>
      </c>
      <c r="D195" s="331"/>
      <c r="E195" s="331"/>
      <c r="F195" s="331"/>
      <c r="G195" s="332"/>
      <c r="H195" s="60" t="s">
        <v>111</v>
      </c>
      <c r="I195" s="25"/>
      <c r="J195" s="25"/>
      <c r="K195" s="61"/>
      <c r="L195" s="146">
        <f>'Data INPUT'!H47</f>
        <v>0</v>
      </c>
      <c r="M195" s="424"/>
    </row>
    <row r="196" spans="1:13" ht="15.75" customHeight="1">
      <c r="A196" s="428" t="s">
        <v>112</v>
      </c>
      <c r="B196" s="429"/>
      <c r="C196" s="86"/>
      <c r="D196" s="86"/>
      <c r="E196" s="86"/>
      <c r="F196" s="426" t="s">
        <v>115</v>
      </c>
      <c r="G196" s="427"/>
      <c r="H196" s="60" t="s">
        <v>113</v>
      </c>
      <c r="I196" s="62"/>
      <c r="J196" s="25"/>
      <c r="K196" s="25"/>
      <c r="L196" s="146">
        <f>'Data INPUT'!H48</f>
        <v>0</v>
      </c>
      <c r="M196" s="424"/>
    </row>
    <row r="197" spans="1:13" ht="15.75" customHeight="1">
      <c r="A197" s="327" t="s">
        <v>114</v>
      </c>
      <c r="B197" s="328"/>
      <c r="C197" s="328"/>
      <c r="D197" s="87"/>
      <c r="E197" s="87" t="s">
        <v>33</v>
      </c>
      <c r="F197" s="88" t="s">
        <v>33</v>
      </c>
      <c r="G197" s="89" t="s">
        <v>33</v>
      </c>
      <c r="H197" s="325"/>
      <c r="I197" s="326"/>
      <c r="J197" s="326"/>
      <c r="K197" s="74"/>
      <c r="L197" s="146" t="s">
        <v>33</v>
      </c>
      <c r="M197" s="424"/>
    </row>
    <row r="198" spans="1:13" ht="15.75" customHeight="1">
      <c r="A198" s="327" t="s">
        <v>116</v>
      </c>
      <c r="B198" s="328"/>
      <c r="C198" s="328"/>
      <c r="D198" s="328"/>
      <c r="E198" s="329"/>
      <c r="F198" s="88" t="s">
        <v>33</v>
      </c>
      <c r="G198" s="89"/>
      <c r="H198" s="60"/>
      <c r="I198" s="62"/>
      <c r="J198" s="25"/>
      <c r="K198" s="25"/>
      <c r="L198" s="146" t="s">
        <v>33</v>
      </c>
      <c r="M198" s="424"/>
    </row>
    <row r="199" spans="1:13" ht="16.5" customHeight="1" thickBot="1">
      <c r="A199" s="337" t="s">
        <v>117</v>
      </c>
      <c r="B199" s="362"/>
      <c r="C199" s="362"/>
      <c r="D199" s="362"/>
      <c r="E199" s="338"/>
      <c r="F199" s="138" t="s">
        <v>33</v>
      </c>
      <c r="G199" s="139"/>
      <c r="H199" s="363"/>
      <c r="I199" s="364"/>
      <c r="J199" s="364"/>
      <c r="K199" s="364"/>
      <c r="L199" s="147" t="s">
        <v>33</v>
      </c>
      <c r="M199" s="424"/>
    </row>
    <row r="200" spans="1:13" ht="48" customHeight="1" thickBot="1">
      <c r="A200" s="92" t="s">
        <v>118</v>
      </c>
      <c r="B200" s="93"/>
      <c r="C200" s="77" t="s">
        <v>119</v>
      </c>
      <c r="D200" s="82"/>
      <c r="E200" s="83"/>
      <c r="F200" s="84"/>
      <c r="G200" s="85"/>
      <c r="H200" s="402"/>
      <c r="I200" s="403"/>
      <c r="J200" s="403"/>
      <c r="K200" s="403"/>
      <c r="L200" s="404"/>
      <c r="M200" s="425"/>
    </row>
    <row r="201" spans="1:13" ht="18" customHeight="1" thickBot="1">
      <c r="A201" s="251" t="s">
        <v>69</v>
      </c>
      <c r="B201" s="252"/>
      <c r="C201" s="253">
        <f ca="1">'Data INPUT'!$B$13</f>
        <v>46222</v>
      </c>
      <c r="D201" s="254"/>
      <c r="E201" s="254"/>
      <c r="F201" s="254"/>
      <c r="G201" s="255" t="s">
        <v>7</v>
      </c>
      <c r="H201" s="255"/>
      <c r="I201" s="255"/>
      <c r="J201" s="256" t="str">
        <f>'Data INPUT'!$B$14</f>
        <v xml:space="preserve"> </v>
      </c>
      <c r="K201" s="257"/>
      <c r="L201" s="258"/>
      <c r="M201" s="420" t="s">
        <v>147</v>
      </c>
    </row>
    <row r="202" spans="1:13" ht="15.75">
      <c r="A202" s="259" t="s">
        <v>70</v>
      </c>
      <c r="B202" s="260"/>
      <c r="C202" s="261" t="str">
        <f>'Data INPUT'!$B$4</f>
        <v xml:space="preserve"> </v>
      </c>
      <c r="D202" s="262"/>
      <c r="E202" s="262"/>
      <c r="F202" s="262"/>
      <c r="G202" s="262"/>
      <c r="H202" s="262"/>
      <c r="I202" s="263"/>
      <c r="J202" s="264" t="str">
        <f>'Data INPUT'!I19</f>
        <v xml:space="preserve"> </v>
      </c>
      <c r="K202" s="265"/>
      <c r="L202" s="266"/>
      <c r="M202" s="421"/>
    </row>
    <row r="203" spans="1:13" ht="15.75">
      <c r="A203" s="232" t="s">
        <v>71</v>
      </c>
      <c r="B203" s="233"/>
      <c r="C203" s="234" t="str">
        <f>'Data INPUT'!$B$2</f>
        <v xml:space="preserve"> </v>
      </c>
      <c r="D203" s="235"/>
      <c r="E203" s="235"/>
      <c r="F203" s="235"/>
      <c r="G203" s="235"/>
      <c r="H203" s="235"/>
      <c r="I203" s="236"/>
      <c r="J203" s="237" t="str">
        <f>'Data INPUT'!I24</f>
        <v xml:space="preserve"> </v>
      </c>
      <c r="K203" s="238"/>
      <c r="L203" s="239"/>
      <c r="M203" s="421"/>
    </row>
    <row r="204" spans="1:13" ht="16.5" thickBot="1">
      <c r="A204" s="240" t="s">
        <v>0</v>
      </c>
      <c r="B204" s="241"/>
      <c r="C204" s="242" t="str">
        <f>'Data INPUT'!$B$3</f>
        <v xml:space="preserve"> </v>
      </c>
      <c r="D204" s="243"/>
      <c r="E204" s="243"/>
      <c r="F204" s="243"/>
      <c r="G204" s="243"/>
      <c r="H204" s="243"/>
      <c r="I204" s="244"/>
      <c r="J204" s="317" t="str">
        <f>'Data INPUT'!I18</f>
        <v>Curtain 6</v>
      </c>
      <c r="K204" s="318"/>
      <c r="L204" s="319"/>
      <c r="M204" s="421"/>
    </row>
    <row r="205" spans="1:13" ht="15.75">
      <c r="A205" s="245" t="str">
        <f>'Data INPUT'!I21</f>
        <v>Select</v>
      </c>
      <c r="B205" s="247" t="str">
        <f>'Data INPUT'!I25</f>
        <v>Select</v>
      </c>
      <c r="C205" s="248"/>
      <c r="D205" s="313" t="str">
        <f>'Data INPUT'!I20</f>
        <v>Select</v>
      </c>
      <c r="E205" s="313"/>
      <c r="F205" s="314"/>
      <c r="G205" s="365" t="s">
        <v>72</v>
      </c>
      <c r="H205" s="366"/>
      <c r="I205" s="366"/>
      <c r="J205" s="366"/>
      <c r="K205" s="366"/>
      <c r="L205" s="367"/>
      <c r="M205" s="421"/>
    </row>
    <row r="206" spans="1:13" ht="16.5" thickBot="1">
      <c r="A206" s="246"/>
      <c r="B206" s="249"/>
      <c r="C206" s="250"/>
      <c r="D206" s="315"/>
      <c r="E206" s="315"/>
      <c r="F206" s="316"/>
      <c r="G206" s="305" t="str">
        <f>'Data INPUT'!$B$7</f>
        <v xml:space="preserve"> </v>
      </c>
      <c r="H206" s="306"/>
      <c r="I206" s="306"/>
      <c r="J206" s="306"/>
      <c r="K206" s="306"/>
      <c r="L206" s="307"/>
      <c r="M206" s="421"/>
    </row>
    <row r="207" spans="1:13" ht="15.75">
      <c r="A207" s="259" t="s">
        <v>74</v>
      </c>
      <c r="B207" s="260"/>
      <c r="C207" s="308" t="str">
        <f>'Data INPUT'!$B$12</f>
        <v>Select</v>
      </c>
      <c r="D207" s="308"/>
      <c r="E207" s="308"/>
      <c r="F207" s="309"/>
      <c r="G207" s="305" t="str">
        <f>'Data INPUT'!$B$8</f>
        <v xml:space="preserve"> </v>
      </c>
      <c r="H207" s="306"/>
      <c r="I207" s="306"/>
      <c r="J207" s="306"/>
      <c r="K207" s="306"/>
      <c r="L207" s="307"/>
      <c r="M207" s="421"/>
    </row>
    <row r="208" spans="1:13" ht="15.75">
      <c r="A208" s="232" t="s">
        <v>75</v>
      </c>
      <c r="B208" s="233"/>
      <c r="C208" s="310" t="str">
        <f>'Data INPUT'!I23</f>
        <v>Select</v>
      </c>
      <c r="D208" s="311"/>
      <c r="E208" s="311"/>
      <c r="F208" s="312"/>
      <c r="G208" s="305" t="str">
        <f>'Data INPUT'!$B$9</f>
        <v xml:space="preserve"> </v>
      </c>
      <c r="H208" s="306"/>
      <c r="I208" s="306"/>
      <c r="J208" s="306"/>
      <c r="K208" s="306"/>
      <c r="L208" s="307"/>
      <c r="M208" s="421"/>
    </row>
    <row r="209" spans="1:13" ht="15.75">
      <c r="A209" s="270" t="s">
        <v>76</v>
      </c>
      <c r="B209" s="271"/>
      <c r="C209" s="276">
        <v>1</v>
      </c>
      <c r="D209" s="277"/>
      <c r="E209" s="277"/>
      <c r="F209" s="278"/>
      <c r="G209" s="285" t="str">
        <f>'Data INPUT'!$B$10</f>
        <v xml:space="preserve"> </v>
      </c>
      <c r="H209" s="286"/>
      <c r="I209" s="286"/>
      <c r="J209" s="286"/>
      <c r="K209" s="286"/>
      <c r="L209" s="287"/>
      <c r="M209" s="421"/>
    </row>
    <row r="210" spans="1:13" ht="15.75">
      <c r="A210" s="272"/>
      <c r="B210" s="273"/>
      <c r="C210" s="279"/>
      <c r="D210" s="280"/>
      <c r="E210" s="280"/>
      <c r="F210" s="281"/>
      <c r="G210" s="28" t="s">
        <v>77</v>
      </c>
      <c r="H210" s="29"/>
      <c r="I210" s="29"/>
      <c r="J210" s="288" t="str">
        <f>'Data INPUT'!$B$5</f>
        <v xml:space="preserve"> </v>
      </c>
      <c r="K210" s="288"/>
      <c r="L210" s="289"/>
      <c r="M210" s="421"/>
    </row>
    <row r="211" spans="1:13" ht="16.5" thickBot="1">
      <c r="A211" s="274"/>
      <c r="B211" s="275"/>
      <c r="C211" s="282"/>
      <c r="D211" s="283"/>
      <c r="E211" s="283"/>
      <c r="F211" s="284"/>
      <c r="G211" s="31" t="s">
        <v>78</v>
      </c>
      <c r="H211" s="32"/>
      <c r="I211" s="32"/>
      <c r="J211" s="290" t="str">
        <f>'Data INPUT'!$B$6</f>
        <v xml:space="preserve"> </v>
      </c>
      <c r="K211" s="290"/>
      <c r="L211" s="291"/>
      <c r="M211" s="421"/>
    </row>
    <row r="212" spans="1:13" ht="15.75">
      <c r="A212" s="292" t="s">
        <v>79</v>
      </c>
      <c r="B212" s="293"/>
      <c r="C212" s="296" t="str">
        <f>'Data INPUT'!$B$16</f>
        <v xml:space="preserve"> </v>
      </c>
      <c r="D212" s="297"/>
      <c r="E212" s="297"/>
      <c r="F212" s="297"/>
      <c r="G212" s="297"/>
      <c r="H212" s="297"/>
      <c r="I212" s="297"/>
      <c r="J212" s="297"/>
      <c r="K212" s="297"/>
      <c r="L212" s="298"/>
      <c r="M212" s="421"/>
    </row>
    <row r="213" spans="1:13" ht="15.75">
      <c r="A213" s="292"/>
      <c r="B213" s="293"/>
      <c r="C213" s="299" t="str">
        <f>'Data INPUT'!$B$17</f>
        <v xml:space="preserve"> </v>
      </c>
      <c r="D213" s="300"/>
      <c r="E213" s="300"/>
      <c r="F213" s="300"/>
      <c r="G213" s="300"/>
      <c r="H213" s="300"/>
      <c r="I213" s="300"/>
      <c r="J213" s="300"/>
      <c r="K213" s="300"/>
      <c r="L213" s="301"/>
      <c r="M213" s="421"/>
    </row>
    <row r="214" spans="1:13" ht="16.5" thickBot="1">
      <c r="A214" s="294"/>
      <c r="B214" s="295"/>
      <c r="C214" s="302" t="str">
        <f>'Data INPUT'!$B$18</f>
        <v xml:space="preserve"> </v>
      </c>
      <c r="D214" s="303"/>
      <c r="E214" s="303"/>
      <c r="F214" s="303"/>
      <c r="G214" s="303"/>
      <c r="H214" s="303"/>
      <c r="I214" s="303"/>
      <c r="J214" s="303"/>
      <c r="K214" s="303"/>
      <c r="L214" s="304"/>
      <c r="M214" s="421"/>
    </row>
    <row r="215" spans="1:13" ht="16.5" thickBot="1">
      <c r="A215" s="391" t="s">
        <v>80</v>
      </c>
      <c r="B215" s="392"/>
      <c r="C215" s="66" t="s">
        <v>42</v>
      </c>
      <c r="D215" s="66"/>
      <c r="E215" s="69" t="s">
        <v>43</v>
      </c>
      <c r="F215" s="66"/>
      <c r="G215" s="67"/>
      <c r="H215" s="275" t="s">
        <v>230</v>
      </c>
      <c r="I215" s="275"/>
      <c r="J215" s="275"/>
      <c r="K215" s="275"/>
      <c r="L215" s="393"/>
      <c r="M215" s="421"/>
    </row>
    <row r="216" spans="1:13" ht="15.75">
      <c r="A216" s="394" t="s">
        <v>81</v>
      </c>
      <c r="B216" s="395"/>
      <c r="C216" s="71" t="str">
        <f>'Data INPUT'!I26</f>
        <v xml:space="preserve"> </v>
      </c>
      <c r="D216" s="72" t="s">
        <v>82</v>
      </c>
      <c r="E216" s="70" t="str">
        <f>'Data INPUT'!I27</f>
        <v xml:space="preserve"> </v>
      </c>
      <c r="F216" s="73"/>
      <c r="G216" s="33"/>
      <c r="H216" s="396"/>
      <c r="I216" s="397"/>
      <c r="J216" s="397"/>
      <c r="K216" s="397"/>
      <c r="L216" s="398"/>
      <c r="M216" s="421"/>
    </row>
    <row r="217" spans="1:13" ht="15.75">
      <c r="A217" s="34" t="s">
        <v>83</v>
      </c>
      <c r="B217" s="35" t="str">
        <f>D218</f>
        <v>Select</v>
      </c>
      <c r="C217" s="65" t="str">
        <f>C216</f>
        <v xml:space="preserve"> </v>
      </c>
      <c r="D217" s="37"/>
      <c r="E217" s="36"/>
      <c r="F217" s="38"/>
      <c r="G217" s="38"/>
      <c r="H217" s="399" t="s">
        <v>84</v>
      </c>
      <c r="I217" s="400"/>
      <c r="J217" s="400"/>
      <c r="K217" s="400"/>
      <c r="L217" s="401"/>
      <c r="M217" s="421"/>
    </row>
    <row r="218" spans="1:13" ht="15.75">
      <c r="A218" s="39" t="s">
        <v>85</v>
      </c>
      <c r="B218" s="35" t="str">
        <f>D218</f>
        <v>Select</v>
      </c>
      <c r="C218" s="68" t="s">
        <v>33</v>
      </c>
      <c r="D218" s="37" t="str">
        <f>'Data INPUT'!I28</f>
        <v>Select</v>
      </c>
      <c r="E218" s="37"/>
      <c r="F218" s="37"/>
      <c r="G218" s="53"/>
      <c r="H218" s="267" t="s">
        <v>33</v>
      </c>
      <c r="I218" s="268"/>
      <c r="J218" s="268"/>
      <c r="K218" s="268"/>
      <c r="L218" s="269"/>
      <c r="M218" s="421"/>
    </row>
    <row r="219" spans="1:13" ht="16.5" thickBot="1">
      <c r="A219" s="40" t="s">
        <v>86</v>
      </c>
      <c r="B219" s="41" t="str">
        <f>'Data INPUT'!I29</f>
        <v>Standard</v>
      </c>
      <c r="C219" s="72" t="e">
        <f>E216-D218+10</f>
        <v>#VALUE!</v>
      </c>
      <c r="D219" s="42" t="s">
        <v>82</v>
      </c>
      <c r="E219" s="30">
        <v>100</v>
      </c>
      <c r="F219" s="42" t="s">
        <v>82</v>
      </c>
      <c r="G219" s="42">
        <v>53</v>
      </c>
      <c r="H219" s="373"/>
      <c r="I219" s="374"/>
      <c r="J219" s="374"/>
      <c r="K219" s="374"/>
      <c r="L219" s="375"/>
      <c r="M219" s="421"/>
    </row>
    <row r="220" spans="1:13" ht="15.75">
      <c r="A220" s="43" t="s">
        <v>87</v>
      </c>
      <c r="B220" s="44" t="s">
        <v>88</v>
      </c>
      <c r="C220" s="45" t="e">
        <f>C221</f>
        <v>#VALUE!</v>
      </c>
      <c r="D220" s="45" t="s">
        <v>82</v>
      </c>
      <c r="E220" s="140">
        <v>1</v>
      </c>
      <c r="F220" s="46"/>
      <c r="G220" s="46"/>
      <c r="H220" s="376" t="s">
        <v>89</v>
      </c>
      <c r="I220" s="377"/>
      <c r="J220" s="377"/>
      <c r="K220" s="377"/>
      <c r="L220" s="378"/>
      <c r="M220" s="421"/>
    </row>
    <row r="221" spans="1:13" ht="16.5" thickBot="1">
      <c r="A221" s="47" t="s">
        <v>90</v>
      </c>
      <c r="B221" s="48"/>
      <c r="C221" s="49" t="e">
        <f>C216-180</f>
        <v>#VALUE!</v>
      </c>
      <c r="D221" s="49" t="s">
        <v>82</v>
      </c>
      <c r="E221" s="137">
        <v>1</v>
      </c>
      <c r="F221" s="50"/>
      <c r="G221" s="50"/>
      <c r="H221" s="379"/>
      <c r="I221" s="380"/>
      <c r="J221" s="380"/>
      <c r="K221" s="380"/>
      <c r="L221" s="381"/>
      <c r="M221" s="421"/>
    </row>
    <row r="222" spans="1:13" ht="15.75">
      <c r="A222" s="382" t="s">
        <v>91</v>
      </c>
      <c r="B222" s="383"/>
      <c r="C222" s="52" t="e">
        <f>C216-230</f>
        <v>#VALUE!</v>
      </c>
      <c r="D222" s="384" t="s">
        <v>33</v>
      </c>
      <c r="E222" s="384"/>
      <c r="F222" s="384"/>
      <c r="G222" s="385"/>
      <c r="H222" s="386" t="s">
        <v>92</v>
      </c>
      <c r="I222" s="366"/>
      <c r="J222" s="366"/>
      <c r="K222" s="366"/>
      <c r="L222" s="367"/>
      <c r="M222" s="421"/>
    </row>
    <row r="223" spans="1:13" ht="16.5" thickBot="1">
      <c r="A223" s="387" t="s">
        <v>135</v>
      </c>
      <c r="B223" s="388"/>
      <c r="C223" s="37" t="e">
        <f>C224</f>
        <v>#VALUE!</v>
      </c>
      <c r="D223" s="389"/>
      <c r="E223" s="389"/>
      <c r="F223" s="389"/>
      <c r="G223" s="390"/>
      <c r="H223" s="373"/>
      <c r="I223" s="374"/>
      <c r="J223" s="374"/>
      <c r="K223" s="374"/>
      <c r="L223" s="375"/>
      <c r="M223" s="421"/>
    </row>
    <row r="224" spans="1:13" ht="15.75">
      <c r="A224" s="370" t="s">
        <v>73</v>
      </c>
      <c r="B224" s="371"/>
      <c r="C224" s="52" t="e">
        <f>C216-100</f>
        <v>#VALUE!</v>
      </c>
      <c r="D224" s="52" t="s">
        <v>82</v>
      </c>
      <c r="E224" s="51" t="e">
        <f>E216+300</f>
        <v>#VALUE!</v>
      </c>
      <c r="F224" s="52"/>
      <c r="G224" s="54"/>
      <c r="H224" s="351" t="s">
        <v>93</v>
      </c>
      <c r="I224" s="352"/>
      <c r="J224" s="352"/>
      <c r="K224" s="352"/>
      <c r="L224" s="353"/>
      <c r="M224" s="421"/>
    </row>
    <row r="225" spans="1:13" ht="16.5" thickBot="1">
      <c r="A225" s="294"/>
      <c r="B225" s="372"/>
      <c r="C225" s="354" t="s">
        <v>136</v>
      </c>
      <c r="D225" s="355"/>
      <c r="E225" s="355"/>
      <c r="F225" s="355"/>
      <c r="G225" s="356"/>
      <c r="H225" s="357" t="s">
        <v>94</v>
      </c>
      <c r="I225" s="358"/>
      <c r="J225" s="358"/>
      <c r="K225" s="358"/>
      <c r="L225" s="359"/>
      <c r="M225" s="421"/>
    </row>
    <row r="226" spans="1:13" ht="16.5" thickBot="1">
      <c r="A226" s="360" t="s">
        <v>95</v>
      </c>
      <c r="B226" s="361"/>
      <c r="C226" s="55" t="s">
        <v>33</v>
      </c>
      <c r="D226" s="75" t="s">
        <v>96</v>
      </c>
      <c r="E226" s="75" t="s">
        <v>33</v>
      </c>
      <c r="F226" s="75" t="s">
        <v>97</v>
      </c>
      <c r="G226" s="56" t="s">
        <v>33</v>
      </c>
      <c r="H226" s="368" t="s">
        <v>141</v>
      </c>
      <c r="I226" s="369"/>
      <c r="J226" s="369"/>
      <c r="K226" s="57">
        <v>300</v>
      </c>
      <c r="L226" s="144" t="s">
        <v>98</v>
      </c>
      <c r="M226" s="421"/>
    </row>
    <row r="227" spans="1:13" ht="15.75">
      <c r="A227" s="345" t="s">
        <v>99</v>
      </c>
      <c r="B227" s="346"/>
      <c r="C227" s="405" t="str">
        <f>'Data INPUT'!I34</f>
        <v>Select</v>
      </c>
      <c r="D227" s="384"/>
      <c r="E227" s="384"/>
      <c r="F227" s="384"/>
      <c r="G227" s="385"/>
      <c r="H227" s="27" t="s">
        <v>100</v>
      </c>
      <c r="I227" s="265"/>
      <c r="J227" s="265"/>
      <c r="K227" s="265"/>
      <c r="L227" s="266"/>
      <c r="M227" s="421"/>
    </row>
    <row r="228" spans="1:13" ht="16.5" thickBot="1">
      <c r="A228" s="274" t="s">
        <v>62</v>
      </c>
      <c r="B228" s="347"/>
      <c r="C228" s="322" t="str">
        <f>'Data INPUT'!I36</f>
        <v>Select</v>
      </c>
      <c r="D228" s="323"/>
      <c r="E228" s="323"/>
      <c r="F228" s="323"/>
      <c r="G228" s="324"/>
      <c r="H228" s="32"/>
      <c r="I228" s="320"/>
      <c r="J228" s="320"/>
      <c r="K228" s="320"/>
      <c r="L228" s="321"/>
      <c r="M228" s="421"/>
    </row>
    <row r="229" spans="1:13" ht="16.5" thickBot="1">
      <c r="A229" s="348" t="s">
        <v>101</v>
      </c>
      <c r="B229" s="349"/>
      <c r="C229" s="76" t="str">
        <f>'Data INPUT'!I35</f>
        <v>CSV x1</v>
      </c>
      <c r="D229" s="72" t="s">
        <v>33</v>
      </c>
      <c r="E229" s="306" t="s">
        <v>33</v>
      </c>
      <c r="F229" s="306"/>
      <c r="G229" s="350"/>
      <c r="H229" s="32" t="s">
        <v>100</v>
      </c>
      <c r="I229" s="58"/>
      <c r="J229" s="58"/>
      <c r="K229" s="58"/>
      <c r="L229" s="94"/>
      <c r="M229" s="421"/>
    </row>
    <row r="230" spans="1:13" ht="15.75">
      <c r="A230" s="342" t="s">
        <v>137</v>
      </c>
      <c r="B230" s="343"/>
      <c r="C230" s="343"/>
      <c r="D230" s="343"/>
      <c r="E230" s="343"/>
      <c r="F230" s="343"/>
      <c r="G230" s="343"/>
      <c r="H230" s="26" t="s">
        <v>102</v>
      </c>
      <c r="I230" s="59"/>
      <c r="J230" s="24"/>
      <c r="K230" s="24"/>
      <c r="L230" s="145">
        <f>'Data INPUT'!I42</f>
        <v>1</v>
      </c>
      <c r="M230" s="421"/>
    </row>
    <row r="231" spans="1:13" ht="15.75">
      <c r="A231" s="335" t="s">
        <v>65</v>
      </c>
      <c r="B231" s="336"/>
      <c r="C231" s="330" t="str">
        <f>'Data INPUT'!I37</f>
        <v>RAL 9010</v>
      </c>
      <c r="D231" s="331"/>
      <c r="E231" s="331"/>
      <c r="F231" s="331"/>
      <c r="G231" s="332"/>
      <c r="H231" s="333" t="s">
        <v>103</v>
      </c>
      <c r="I231" s="235"/>
      <c r="J231" s="235"/>
      <c r="K231" s="334"/>
      <c r="L231" s="146">
        <f>'Data INPUT'!I43</f>
        <v>0</v>
      </c>
      <c r="M231" s="421"/>
    </row>
    <row r="232" spans="1:13" ht="15.75">
      <c r="A232" s="327" t="s">
        <v>104</v>
      </c>
      <c r="B232" s="329"/>
      <c r="C232" s="330" t="str">
        <f>'Data INPUT'!I38</f>
        <v>RAL 9010</v>
      </c>
      <c r="D232" s="331"/>
      <c r="E232" s="331"/>
      <c r="F232" s="331"/>
      <c r="G232" s="332"/>
      <c r="H232" s="333" t="s">
        <v>105</v>
      </c>
      <c r="I232" s="235"/>
      <c r="J232" s="235"/>
      <c r="K232" s="334"/>
      <c r="L232" s="146">
        <f>'Data INPUT'!I44</f>
        <v>0</v>
      </c>
      <c r="M232" s="421"/>
    </row>
    <row r="233" spans="1:13" ht="15.75">
      <c r="A233" s="327" t="s">
        <v>106</v>
      </c>
      <c r="B233" s="329"/>
      <c r="C233" s="330" t="str">
        <f>'Data INPUT'!I39</f>
        <v>RAL 9010</v>
      </c>
      <c r="D233" s="331"/>
      <c r="E233" s="331"/>
      <c r="F233" s="331"/>
      <c r="G233" s="332"/>
      <c r="H233" s="333" t="s">
        <v>107</v>
      </c>
      <c r="I233" s="235"/>
      <c r="J233" s="235"/>
      <c r="K233" s="334"/>
      <c r="L233" s="146">
        <f>'Data INPUT'!I45</f>
        <v>0</v>
      </c>
      <c r="M233" s="421"/>
    </row>
    <row r="234" spans="1:13" ht="15.75">
      <c r="A234" s="335" t="s">
        <v>108</v>
      </c>
      <c r="B234" s="336"/>
      <c r="C234" s="330" t="str">
        <f>'Data INPUT'!I40</f>
        <v>RAL 9010</v>
      </c>
      <c r="D234" s="331"/>
      <c r="E234" s="331"/>
      <c r="F234" s="331"/>
      <c r="G234" s="332"/>
      <c r="H234" s="60" t="s">
        <v>109</v>
      </c>
      <c r="I234" s="62"/>
      <c r="J234" s="25"/>
      <c r="K234" s="25"/>
      <c r="L234" s="146">
        <f>'Data INPUT'!I46</f>
        <v>0</v>
      </c>
      <c r="M234" s="421"/>
    </row>
    <row r="235" spans="1:13" ht="15.75">
      <c r="A235" s="327" t="s">
        <v>110</v>
      </c>
      <c r="B235" s="329"/>
      <c r="C235" s="330" t="str">
        <f>'Data INPUT'!I41</f>
        <v>Select</v>
      </c>
      <c r="D235" s="331"/>
      <c r="E235" s="331"/>
      <c r="F235" s="331"/>
      <c r="G235" s="332"/>
      <c r="H235" s="60" t="s">
        <v>111</v>
      </c>
      <c r="I235" s="25"/>
      <c r="J235" s="25"/>
      <c r="K235" s="61"/>
      <c r="L235" s="146">
        <f>'Data INPUT'!I47</f>
        <v>0</v>
      </c>
      <c r="M235" s="421"/>
    </row>
    <row r="236" spans="1:13" ht="15.75" customHeight="1">
      <c r="A236" s="406" t="s">
        <v>112</v>
      </c>
      <c r="B236" s="407"/>
      <c r="C236" s="148"/>
      <c r="D236" s="148"/>
      <c r="E236" s="148"/>
      <c r="F236" s="408" t="s">
        <v>115</v>
      </c>
      <c r="G236" s="409"/>
      <c r="H236" s="60" t="s">
        <v>113</v>
      </c>
      <c r="I236" s="62"/>
      <c r="J236" s="25"/>
      <c r="K236" s="25"/>
      <c r="L236" s="146">
        <f>'Data INPUT'!I48</f>
        <v>0</v>
      </c>
      <c r="M236" s="421"/>
    </row>
    <row r="237" spans="1:13" ht="15.75" customHeight="1">
      <c r="A237" s="327" t="s">
        <v>114</v>
      </c>
      <c r="B237" s="328"/>
      <c r="C237" s="328"/>
      <c r="D237" s="87"/>
      <c r="E237" s="87" t="s">
        <v>33</v>
      </c>
      <c r="F237" s="88" t="s">
        <v>33</v>
      </c>
      <c r="G237" s="89" t="s">
        <v>33</v>
      </c>
      <c r="H237" s="325"/>
      <c r="I237" s="326"/>
      <c r="J237" s="326"/>
      <c r="K237" s="74"/>
      <c r="L237" s="146" t="s">
        <v>33</v>
      </c>
      <c r="M237" s="421"/>
    </row>
    <row r="238" spans="1:13" ht="15.75" customHeight="1">
      <c r="A238" s="327" t="s">
        <v>116</v>
      </c>
      <c r="B238" s="328"/>
      <c r="C238" s="328"/>
      <c r="D238" s="328"/>
      <c r="E238" s="329"/>
      <c r="F238" s="88" t="s">
        <v>33</v>
      </c>
      <c r="G238" s="89"/>
      <c r="H238" s="60"/>
      <c r="I238" s="62"/>
      <c r="J238" s="25"/>
      <c r="K238" s="25"/>
      <c r="L238" s="146" t="s">
        <v>33</v>
      </c>
      <c r="M238" s="421"/>
    </row>
    <row r="239" spans="1:13" ht="16.5" customHeight="1" thickBot="1">
      <c r="A239" s="337" t="s">
        <v>117</v>
      </c>
      <c r="B239" s="362"/>
      <c r="C239" s="362"/>
      <c r="D239" s="362"/>
      <c r="E239" s="338"/>
      <c r="F239" s="90" t="s">
        <v>33</v>
      </c>
      <c r="G239" s="91"/>
      <c r="H239" s="363"/>
      <c r="I239" s="364"/>
      <c r="J239" s="364"/>
      <c r="K239" s="364"/>
      <c r="L239" s="147" t="s">
        <v>33</v>
      </c>
      <c r="M239" s="421"/>
    </row>
    <row r="240" spans="1:13" ht="49.5" customHeight="1" thickBot="1">
      <c r="A240" s="92" t="s">
        <v>118</v>
      </c>
      <c r="B240" s="93"/>
      <c r="C240" s="77" t="s">
        <v>119</v>
      </c>
      <c r="D240" s="82"/>
      <c r="E240" s="83"/>
      <c r="F240" s="84"/>
      <c r="G240" s="85"/>
      <c r="H240" s="402"/>
      <c r="I240" s="403"/>
      <c r="J240" s="403"/>
      <c r="K240" s="403"/>
      <c r="L240" s="404"/>
      <c r="M240" s="422"/>
    </row>
    <row r="241" spans="1:13" ht="17.25" customHeight="1" thickBot="1">
      <c r="A241" s="251" t="s">
        <v>69</v>
      </c>
      <c r="B241" s="252"/>
      <c r="C241" s="253">
        <f ca="1">'Data INPUT'!$B$13</f>
        <v>46222</v>
      </c>
      <c r="D241" s="254"/>
      <c r="E241" s="254"/>
      <c r="F241" s="254"/>
      <c r="G241" s="255" t="s">
        <v>7</v>
      </c>
      <c r="H241" s="255"/>
      <c r="I241" s="255"/>
      <c r="J241" s="256" t="str">
        <f>'Data INPUT'!$B$14</f>
        <v xml:space="preserve"> </v>
      </c>
      <c r="K241" s="257"/>
      <c r="L241" s="258"/>
      <c r="M241" s="423" t="s">
        <v>148</v>
      </c>
    </row>
    <row r="242" spans="1:13" ht="15.75">
      <c r="A242" s="259" t="s">
        <v>70</v>
      </c>
      <c r="B242" s="260"/>
      <c r="C242" s="261" t="str">
        <f>'Data INPUT'!$B$4</f>
        <v xml:space="preserve"> </v>
      </c>
      <c r="D242" s="262"/>
      <c r="E242" s="262"/>
      <c r="F242" s="262"/>
      <c r="G242" s="262"/>
      <c r="H242" s="262"/>
      <c r="I242" s="263"/>
      <c r="J242" s="264" t="str">
        <f>'Data INPUT'!J19</f>
        <v xml:space="preserve"> </v>
      </c>
      <c r="K242" s="265"/>
      <c r="L242" s="266"/>
      <c r="M242" s="424"/>
    </row>
    <row r="243" spans="1:13" ht="15.75">
      <c r="A243" s="232" t="s">
        <v>71</v>
      </c>
      <c r="B243" s="233"/>
      <c r="C243" s="234" t="str">
        <f>'Data INPUT'!$B$2</f>
        <v xml:space="preserve"> </v>
      </c>
      <c r="D243" s="235"/>
      <c r="E243" s="235"/>
      <c r="F243" s="235"/>
      <c r="G243" s="235"/>
      <c r="H243" s="235"/>
      <c r="I243" s="236"/>
      <c r="J243" s="237" t="str">
        <f>'Data INPUT'!J24</f>
        <v xml:space="preserve"> </v>
      </c>
      <c r="K243" s="238"/>
      <c r="L243" s="239"/>
      <c r="M243" s="424"/>
    </row>
    <row r="244" spans="1:13" ht="16.5" thickBot="1">
      <c r="A244" s="240" t="s">
        <v>0</v>
      </c>
      <c r="B244" s="241"/>
      <c r="C244" s="242" t="str">
        <f>'Data INPUT'!$B$3</f>
        <v xml:space="preserve"> </v>
      </c>
      <c r="D244" s="243"/>
      <c r="E244" s="243"/>
      <c r="F244" s="243"/>
      <c r="G244" s="243"/>
      <c r="H244" s="243"/>
      <c r="I244" s="244"/>
      <c r="J244" s="317" t="str">
        <f>'Data INPUT'!J18</f>
        <v>Curtain 7</v>
      </c>
      <c r="K244" s="318"/>
      <c r="L244" s="319"/>
      <c r="M244" s="424"/>
    </row>
    <row r="245" spans="1:13" ht="15.75">
      <c r="A245" s="245" t="str">
        <f>'Data INPUT'!J21</f>
        <v>Select</v>
      </c>
      <c r="B245" s="247" t="str">
        <f>'Data INPUT'!J25</f>
        <v>Select</v>
      </c>
      <c r="C245" s="248"/>
      <c r="D245" s="313" t="str">
        <f>'Data INPUT'!J20</f>
        <v>Select</v>
      </c>
      <c r="E245" s="313"/>
      <c r="F245" s="314"/>
      <c r="G245" s="365" t="s">
        <v>72</v>
      </c>
      <c r="H245" s="366"/>
      <c r="I245" s="366"/>
      <c r="J245" s="366"/>
      <c r="K245" s="366"/>
      <c r="L245" s="367"/>
      <c r="M245" s="424"/>
    </row>
    <row r="246" spans="1:13" ht="16.5" thickBot="1">
      <c r="A246" s="246"/>
      <c r="B246" s="249"/>
      <c r="C246" s="250"/>
      <c r="D246" s="315"/>
      <c r="E246" s="315"/>
      <c r="F246" s="316"/>
      <c r="G246" s="305" t="str">
        <f>'Data INPUT'!$B$7</f>
        <v xml:space="preserve"> </v>
      </c>
      <c r="H246" s="306"/>
      <c r="I246" s="306"/>
      <c r="J246" s="306"/>
      <c r="K246" s="306"/>
      <c r="L246" s="307"/>
      <c r="M246" s="424"/>
    </row>
    <row r="247" spans="1:13" ht="15.75">
      <c r="A247" s="259" t="s">
        <v>74</v>
      </c>
      <c r="B247" s="260"/>
      <c r="C247" s="308" t="str">
        <f>'Data INPUT'!$B$12</f>
        <v>Select</v>
      </c>
      <c r="D247" s="308"/>
      <c r="E247" s="308"/>
      <c r="F247" s="309"/>
      <c r="G247" s="305" t="str">
        <f>'Data INPUT'!$B$8</f>
        <v xml:space="preserve"> </v>
      </c>
      <c r="H247" s="306"/>
      <c r="I247" s="306"/>
      <c r="J247" s="306"/>
      <c r="K247" s="306"/>
      <c r="L247" s="307"/>
      <c r="M247" s="424"/>
    </row>
    <row r="248" spans="1:13" ht="15.75">
      <c r="A248" s="232" t="s">
        <v>75</v>
      </c>
      <c r="B248" s="233"/>
      <c r="C248" s="310" t="str">
        <f>'Data INPUT'!J23</f>
        <v>Select</v>
      </c>
      <c r="D248" s="311"/>
      <c r="E248" s="311"/>
      <c r="F248" s="312"/>
      <c r="G248" s="305" t="str">
        <f>'Data INPUT'!$B$9</f>
        <v xml:space="preserve"> </v>
      </c>
      <c r="H248" s="306"/>
      <c r="I248" s="306"/>
      <c r="J248" s="306"/>
      <c r="K248" s="306"/>
      <c r="L248" s="307"/>
      <c r="M248" s="424"/>
    </row>
    <row r="249" spans="1:13" ht="15.75">
      <c r="A249" s="270" t="s">
        <v>76</v>
      </c>
      <c r="B249" s="271"/>
      <c r="C249" s="276">
        <v>1</v>
      </c>
      <c r="D249" s="277"/>
      <c r="E249" s="277"/>
      <c r="F249" s="278"/>
      <c r="G249" s="285" t="str">
        <f>'Data INPUT'!$B$10</f>
        <v xml:space="preserve"> </v>
      </c>
      <c r="H249" s="286"/>
      <c r="I249" s="286"/>
      <c r="J249" s="286"/>
      <c r="K249" s="286"/>
      <c r="L249" s="287"/>
      <c r="M249" s="424"/>
    </row>
    <row r="250" spans="1:13" ht="15.75">
      <c r="A250" s="272"/>
      <c r="B250" s="273"/>
      <c r="C250" s="279"/>
      <c r="D250" s="280"/>
      <c r="E250" s="280"/>
      <c r="F250" s="281"/>
      <c r="G250" s="28" t="s">
        <v>77</v>
      </c>
      <c r="H250" s="29"/>
      <c r="I250" s="29"/>
      <c r="J250" s="288" t="str">
        <f>'Data INPUT'!$B$5</f>
        <v xml:space="preserve"> </v>
      </c>
      <c r="K250" s="288"/>
      <c r="L250" s="289"/>
      <c r="M250" s="424"/>
    </row>
    <row r="251" spans="1:13" ht="16.5" thickBot="1">
      <c r="A251" s="274"/>
      <c r="B251" s="275"/>
      <c r="C251" s="282"/>
      <c r="D251" s="283"/>
      <c r="E251" s="283"/>
      <c r="F251" s="284"/>
      <c r="G251" s="31" t="s">
        <v>78</v>
      </c>
      <c r="H251" s="32"/>
      <c r="I251" s="32"/>
      <c r="J251" s="290" t="str">
        <f>'Data INPUT'!$B$6</f>
        <v xml:space="preserve"> </v>
      </c>
      <c r="K251" s="290"/>
      <c r="L251" s="291"/>
      <c r="M251" s="424"/>
    </row>
    <row r="252" spans="1:13" ht="15.75">
      <c r="A252" s="292" t="s">
        <v>79</v>
      </c>
      <c r="B252" s="293"/>
      <c r="C252" s="296" t="str">
        <f>'Data INPUT'!$B$16</f>
        <v xml:space="preserve"> </v>
      </c>
      <c r="D252" s="297"/>
      <c r="E252" s="297"/>
      <c r="F252" s="297"/>
      <c r="G252" s="297"/>
      <c r="H252" s="297"/>
      <c r="I252" s="297"/>
      <c r="J252" s="297"/>
      <c r="K252" s="297"/>
      <c r="L252" s="298"/>
      <c r="M252" s="424"/>
    </row>
    <row r="253" spans="1:13" ht="15.75">
      <c r="A253" s="292"/>
      <c r="B253" s="293"/>
      <c r="C253" s="299" t="str">
        <f>'Data INPUT'!$B$17</f>
        <v xml:space="preserve"> </v>
      </c>
      <c r="D253" s="300"/>
      <c r="E253" s="300"/>
      <c r="F253" s="300"/>
      <c r="G253" s="300"/>
      <c r="H253" s="300"/>
      <c r="I253" s="300"/>
      <c r="J253" s="300"/>
      <c r="K253" s="300"/>
      <c r="L253" s="301"/>
      <c r="M253" s="424"/>
    </row>
    <row r="254" spans="1:13" ht="16.5" thickBot="1">
      <c r="A254" s="294"/>
      <c r="B254" s="295"/>
      <c r="C254" s="302" t="str">
        <f>'Data INPUT'!$B$18</f>
        <v xml:space="preserve"> </v>
      </c>
      <c r="D254" s="303"/>
      <c r="E254" s="303"/>
      <c r="F254" s="303"/>
      <c r="G254" s="303"/>
      <c r="H254" s="303"/>
      <c r="I254" s="303"/>
      <c r="J254" s="303"/>
      <c r="K254" s="303"/>
      <c r="L254" s="304"/>
      <c r="M254" s="424"/>
    </row>
    <row r="255" spans="1:13" ht="16.5" thickBot="1">
      <c r="A255" s="391" t="s">
        <v>80</v>
      </c>
      <c r="B255" s="392"/>
      <c r="C255" s="66" t="s">
        <v>42</v>
      </c>
      <c r="D255" s="66"/>
      <c r="E255" s="69" t="s">
        <v>43</v>
      </c>
      <c r="F255" s="66"/>
      <c r="G255" s="67"/>
      <c r="H255" s="275" t="s">
        <v>230</v>
      </c>
      <c r="I255" s="275"/>
      <c r="J255" s="275"/>
      <c r="K255" s="275"/>
      <c r="L255" s="393"/>
      <c r="M255" s="424"/>
    </row>
    <row r="256" spans="1:13" ht="15.75">
      <c r="A256" s="394" t="s">
        <v>81</v>
      </c>
      <c r="B256" s="395"/>
      <c r="C256" s="71" t="str">
        <f>'Data INPUT'!J26</f>
        <v xml:space="preserve"> </v>
      </c>
      <c r="D256" s="72" t="s">
        <v>82</v>
      </c>
      <c r="E256" s="70" t="str">
        <f>'Data INPUT'!J27</f>
        <v xml:space="preserve"> </v>
      </c>
      <c r="F256" s="73"/>
      <c r="G256" s="33"/>
      <c r="H256" s="396"/>
      <c r="I256" s="397"/>
      <c r="J256" s="397"/>
      <c r="K256" s="397"/>
      <c r="L256" s="398"/>
      <c r="M256" s="424"/>
    </row>
    <row r="257" spans="1:13" ht="15.75">
      <c r="A257" s="34" t="s">
        <v>83</v>
      </c>
      <c r="B257" s="35" t="str">
        <f>D258</f>
        <v>Select</v>
      </c>
      <c r="C257" s="65" t="str">
        <f>C256</f>
        <v xml:space="preserve"> </v>
      </c>
      <c r="D257" s="37"/>
      <c r="E257" s="36"/>
      <c r="F257" s="38"/>
      <c r="G257" s="38"/>
      <c r="H257" s="399" t="s">
        <v>84</v>
      </c>
      <c r="I257" s="400"/>
      <c r="J257" s="400"/>
      <c r="K257" s="400"/>
      <c r="L257" s="401"/>
      <c r="M257" s="424"/>
    </row>
    <row r="258" spans="1:13" ht="15.75">
      <c r="A258" s="39" t="s">
        <v>85</v>
      </c>
      <c r="B258" s="35" t="str">
        <f>D258</f>
        <v>Select</v>
      </c>
      <c r="C258" s="68" t="s">
        <v>33</v>
      </c>
      <c r="D258" s="37" t="str">
        <f>'Data INPUT'!J28</f>
        <v>Select</v>
      </c>
      <c r="E258" s="37"/>
      <c r="F258" s="37"/>
      <c r="G258" s="53"/>
      <c r="H258" s="267" t="s">
        <v>33</v>
      </c>
      <c r="I258" s="268"/>
      <c r="J258" s="268"/>
      <c r="K258" s="268"/>
      <c r="L258" s="269"/>
      <c r="M258" s="424"/>
    </row>
    <row r="259" spans="1:13" ht="16.5" thickBot="1">
      <c r="A259" s="40" t="s">
        <v>86</v>
      </c>
      <c r="B259" s="41" t="str">
        <f>'Data INPUT'!J29</f>
        <v>Standard</v>
      </c>
      <c r="C259" s="72" t="e">
        <f>E256-D258+10</f>
        <v>#VALUE!</v>
      </c>
      <c r="D259" s="42" t="s">
        <v>82</v>
      </c>
      <c r="E259" s="30">
        <v>100</v>
      </c>
      <c r="F259" s="42" t="s">
        <v>82</v>
      </c>
      <c r="G259" s="42">
        <v>53</v>
      </c>
      <c r="H259" s="373"/>
      <c r="I259" s="374"/>
      <c r="J259" s="374"/>
      <c r="K259" s="374"/>
      <c r="L259" s="375"/>
      <c r="M259" s="424"/>
    </row>
    <row r="260" spans="1:13" ht="15.75">
      <c r="A260" s="43" t="s">
        <v>87</v>
      </c>
      <c r="B260" s="44" t="s">
        <v>88</v>
      </c>
      <c r="C260" s="45" t="e">
        <f>C261</f>
        <v>#VALUE!</v>
      </c>
      <c r="D260" s="45" t="s">
        <v>82</v>
      </c>
      <c r="E260" s="140">
        <v>1</v>
      </c>
      <c r="F260" s="46"/>
      <c r="G260" s="46"/>
      <c r="H260" s="376" t="s">
        <v>89</v>
      </c>
      <c r="I260" s="377"/>
      <c r="J260" s="377"/>
      <c r="K260" s="377"/>
      <c r="L260" s="378"/>
      <c r="M260" s="424"/>
    </row>
    <row r="261" spans="1:13" ht="16.5" thickBot="1">
      <c r="A261" s="47" t="s">
        <v>90</v>
      </c>
      <c r="B261" s="48"/>
      <c r="C261" s="49" t="e">
        <f>C256-180</f>
        <v>#VALUE!</v>
      </c>
      <c r="D261" s="49" t="s">
        <v>82</v>
      </c>
      <c r="E261" s="137">
        <v>1</v>
      </c>
      <c r="F261" s="50"/>
      <c r="G261" s="50"/>
      <c r="H261" s="379"/>
      <c r="I261" s="380"/>
      <c r="J261" s="380"/>
      <c r="K261" s="380"/>
      <c r="L261" s="381"/>
      <c r="M261" s="424"/>
    </row>
    <row r="262" spans="1:13" ht="15.75">
      <c r="A262" s="382" t="s">
        <v>91</v>
      </c>
      <c r="B262" s="383"/>
      <c r="C262" s="52" t="e">
        <f>C256-230</f>
        <v>#VALUE!</v>
      </c>
      <c r="D262" s="384" t="s">
        <v>33</v>
      </c>
      <c r="E262" s="384"/>
      <c r="F262" s="384"/>
      <c r="G262" s="385"/>
      <c r="H262" s="386" t="s">
        <v>92</v>
      </c>
      <c r="I262" s="366"/>
      <c r="J262" s="366"/>
      <c r="K262" s="366"/>
      <c r="L262" s="367"/>
      <c r="M262" s="424"/>
    </row>
    <row r="263" spans="1:13" ht="16.5" thickBot="1">
      <c r="A263" s="387" t="s">
        <v>135</v>
      </c>
      <c r="B263" s="388"/>
      <c r="C263" s="37" t="e">
        <f>C264</f>
        <v>#VALUE!</v>
      </c>
      <c r="D263" s="389"/>
      <c r="E263" s="389"/>
      <c r="F263" s="389"/>
      <c r="G263" s="390"/>
      <c r="H263" s="373"/>
      <c r="I263" s="374"/>
      <c r="J263" s="374"/>
      <c r="K263" s="374"/>
      <c r="L263" s="375"/>
      <c r="M263" s="424"/>
    </row>
    <row r="264" spans="1:13" ht="15.75">
      <c r="A264" s="370" t="s">
        <v>73</v>
      </c>
      <c r="B264" s="371"/>
      <c r="C264" s="52" t="e">
        <f>C256-100</f>
        <v>#VALUE!</v>
      </c>
      <c r="D264" s="52" t="s">
        <v>82</v>
      </c>
      <c r="E264" s="51" t="e">
        <f>E256+300</f>
        <v>#VALUE!</v>
      </c>
      <c r="F264" s="52"/>
      <c r="G264" s="54"/>
      <c r="H264" s="351" t="s">
        <v>93</v>
      </c>
      <c r="I264" s="352"/>
      <c r="J264" s="352"/>
      <c r="K264" s="352"/>
      <c r="L264" s="353"/>
      <c r="M264" s="424"/>
    </row>
    <row r="265" spans="1:13" ht="16.5" thickBot="1">
      <c r="A265" s="294"/>
      <c r="B265" s="372"/>
      <c r="C265" s="354" t="s">
        <v>136</v>
      </c>
      <c r="D265" s="355"/>
      <c r="E265" s="355"/>
      <c r="F265" s="355"/>
      <c r="G265" s="356"/>
      <c r="H265" s="357" t="s">
        <v>94</v>
      </c>
      <c r="I265" s="358"/>
      <c r="J265" s="358"/>
      <c r="K265" s="358"/>
      <c r="L265" s="359"/>
      <c r="M265" s="424"/>
    </row>
    <row r="266" spans="1:13" ht="16.5" thickBot="1">
      <c r="A266" s="360" t="s">
        <v>95</v>
      </c>
      <c r="B266" s="361"/>
      <c r="C266" s="55" t="s">
        <v>33</v>
      </c>
      <c r="D266" s="75" t="s">
        <v>96</v>
      </c>
      <c r="E266" s="75" t="s">
        <v>33</v>
      </c>
      <c r="F266" s="75" t="s">
        <v>97</v>
      </c>
      <c r="G266" s="56" t="s">
        <v>33</v>
      </c>
      <c r="H266" s="368" t="s">
        <v>141</v>
      </c>
      <c r="I266" s="369"/>
      <c r="J266" s="369"/>
      <c r="K266" s="57">
        <v>300</v>
      </c>
      <c r="L266" s="144" t="s">
        <v>98</v>
      </c>
      <c r="M266" s="424"/>
    </row>
    <row r="267" spans="1:13" ht="15.75">
      <c r="A267" s="345" t="s">
        <v>99</v>
      </c>
      <c r="B267" s="346"/>
      <c r="C267" s="405" t="str">
        <f>'Data INPUT'!J34</f>
        <v>Select</v>
      </c>
      <c r="D267" s="384"/>
      <c r="E267" s="384"/>
      <c r="F267" s="384"/>
      <c r="G267" s="385"/>
      <c r="H267" s="27" t="s">
        <v>100</v>
      </c>
      <c r="I267" s="265"/>
      <c r="J267" s="265"/>
      <c r="K267" s="265"/>
      <c r="L267" s="266"/>
      <c r="M267" s="424"/>
    </row>
    <row r="268" spans="1:13" ht="16.5" thickBot="1">
      <c r="A268" s="274" t="s">
        <v>62</v>
      </c>
      <c r="B268" s="347"/>
      <c r="C268" s="322" t="str">
        <f>'Data INPUT'!J36</f>
        <v>Select</v>
      </c>
      <c r="D268" s="323"/>
      <c r="E268" s="323"/>
      <c r="F268" s="323"/>
      <c r="G268" s="324"/>
      <c r="H268" s="32"/>
      <c r="I268" s="320"/>
      <c r="J268" s="320"/>
      <c r="K268" s="320"/>
      <c r="L268" s="321"/>
      <c r="M268" s="424"/>
    </row>
    <row r="269" spans="1:13" ht="16.5" thickBot="1">
      <c r="A269" s="348" t="s">
        <v>101</v>
      </c>
      <c r="B269" s="349"/>
      <c r="C269" s="76" t="str">
        <f>'Data INPUT'!J35</f>
        <v>CSV x1</v>
      </c>
      <c r="D269" s="72" t="s">
        <v>33</v>
      </c>
      <c r="E269" s="306" t="s">
        <v>33</v>
      </c>
      <c r="F269" s="306"/>
      <c r="G269" s="350"/>
      <c r="H269" s="32" t="s">
        <v>100</v>
      </c>
      <c r="I269" s="58"/>
      <c r="J269" s="58"/>
      <c r="K269" s="58"/>
      <c r="L269" s="94"/>
      <c r="M269" s="424"/>
    </row>
    <row r="270" spans="1:13" ht="15.75">
      <c r="A270" s="342" t="s">
        <v>137</v>
      </c>
      <c r="B270" s="343"/>
      <c r="C270" s="343"/>
      <c r="D270" s="343"/>
      <c r="E270" s="343"/>
      <c r="F270" s="343"/>
      <c r="G270" s="343"/>
      <c r="H270" s="26" t="s">
        <v>102</v>
      </c>
      <c r="I270" s="59"/>
      <c r="J270" s="24"/>
      <c r="K270" s="24"/>
      <c r="L270" s="145">
        <f>'Data INPUT'!J42</f>
        <v>1</v>
      </c>
      <c r="M270" s="424"/>
    </row>
    <row r="271" spans="1:13" ht="15.75">
      <c r="A271" s="335" t="s">
        <v>65</v>
      </c>
      <c r="B271" s="336"/>
      <c r="C271" s="330" t="str">
        <f>'Data INPUT'!J37</f>
        <v>RAL 9010</v>
      </c>
      <c r="D271" s="331"/>
      <c r="E271" s="331"/>
      <c r="F271" s="331"/>
      <c r="G271" s="332"/>
      <c r="H271" s="333" t="s">
        <v>103</v>
      </c>
      <c r="I271" s="235"/>
      <c r="J271" s="235"/>
      <c r="K271" s="334"/>
      <c r="L271" s="146">
        <f>'Data INPUT'!J43</f>
        <v>0</v>
      </c>
      <c r="M271" s="424"/>
    </row>
    <row r="272" spans="1:13" ht="15.75">
      <c r="A272" s="327" t="s">
        <v>104</v>
      </c>
      <c r="B272" s="329"/>
      <c r="C272" s="330" t="str">
        <f>'Data INPUT'!J38</f>
        <v>RAL 9010</v>
      </c>
      <c r="D272" s="331"/>
      <c r="E272" s="331"/>
      <c r="F272" s="331"/>
      <c r="G272" s="332"/>
      <c r="H272" s="333" t="s">
        <v>105</v>
      </c>
      <c r="I272" s="235"/>
      <c r="J272" s="235"/>
      <c r="K272" s="334"/>
      <c r="L272" s="146">
        <f>'Data INPUT'!J44</f>
        <v>0</v>
      </c>
      <c r="M272" s="424"/>
    </row>
    <row r="273" spans="1:13" ht="15.75">
      <c r="A273" s="327" t="s">
        <v>106</v>
      </c>
      <c r="B273" s="329"/>
      <c r="C273" s="330" t="str">
        <f>'Data INPUT'!J39</f>
        <v>RAL 9010</v>
      </c>
      <c r="D273" s="331"/>
      <c r="E273" s="331"/>
      <c r="F273" s="331"/>
      <c r="G273" s="332"/>
      <c r="H273" s="333" t="s">
        <v>107</v>
      </c>
      <c r="I273" s="235"/>
      <c r="J273" s="235"/>
      <c r="K273" s="334"/>
      <c r="L273" s="146">
        <f>'Data INPUT'!J45</f>
        <v>0</v>
      </c>
      <c r="M273" s="424"/>
    </row>
    <row r="274" spans="1:13" ht="15.75">
      <c r="A274" s="335" t="s">
        <v>108</v>
      </c>
      <c r="B274" s="336"/>
      <c r="C274" s="330" t="str">
        <f>'Data INPUT'!J40</f>
        <v>RAL 9010</v>
      </c>
      <c r="D274" s="331"/>
      <c r="E274" s="331"/>
      <c r="F274" s="331"/>
      <c r="G274" s="332"/>
      <c r="H274" s="60" t="s">
        <v>109</v>
      </c>
      <c r="I274" s="62"/>
      <c r="J274" s="25"/>
      <c r="K274" s="25"/>
      <c r="L274" s="146">
        <f>'Data INPUT'!J46</f>
        <v>0</v>
      </c>
      <c r="M274" s="424"/>
    </row>
    <row r="275" spans="1:13" ht="15.75">
      <c r="A275" s="327" t="s">
        <v>110</v>
      </c>
      <c r="B275" s="329"/>
      <c r="C275" s="330" t="str">
        <f>'Data INPUT'!J41</f>
        <v>Select</v>
      </c>
      <c r="D275" s="331"/>
      <c r="E275" s="331"/>
      <c r="F275" s="331"/>
      <c r="G275" s="332"/>
      <c r="H275" s="60" t="s">
        <v>111</v>
      </c>
      <c r="I275" s="25"/>
      <c r="J275" s="25"/>
      <c r="K275" s="61"/>
      <c r="L275" s="146">
        <f>'Data INPUT'!J47</f>
        <v>0</v>
      </c>
      <c r="M275" s="424"/>
    </row>
    <row r="276" spans="1:13" ht="15.75" customHeight="1">
      <c r="A276" s="406" t="s">
        <v>112</v>
      </c>
      <c r="B276" s="407"/>
      <c r="C276" s="148"/>
      <c r="D276" s="148"/>
      <c r="E276" s="148"/>
      <c r="F276" s="408" t="s">
        <v>115</v>
      </c>
      <c r="G276" s="409"/>
      <c r="H276" s="60" t="s">
        <v>113</v>
      </c>
      <c r="I276" s="62"/>
      <c r="J276" s="25"/>
      <c r="K276" s="25"/>
      <c r="L276" s="146">
        <f>'Data INPUT'!J48</f>
        <v>0</v>
      </c>
      <c r="M276" s="424"/>
    </row>
    <row r="277" spans="1:13" ht="15.75" customHeight="1">
      <c r="A277" s="327" t="s">
        <v>114</v>
      </c>
      <c r="B277" s="328"/>
      <c r="C277" s="328"/>
      <c r="D277" s="87"/>
      <c r="E277" s="87" t="s">
        <v>33</v>
      </c>
      <c r="F277" s="88" t="s">
        <v>33</v>
      </c>
      <c r="G277" s="89" t="s">
        <v>33</v>
      </c>
      <c r="H277" s="325"/>
      <c r="I277" s="326"/>
      <c r="J277" s="326"/>
      <c r="K277" s="74"/>
      <c r="L277" s="146" t="s">
        <v>33</v>
      </c>
      <c r="M277" s="424"/>
    </row>
    <row r="278" spans="1:13" ht="15.75" customHeight="1">
      <c r="A278" s="327" t="s">
        <v>116</v>
      </c>
      <c r="B278" s="328"/>
      <c r="C278" s="328"/>
      <c r="D278" s="328"/>
      <c r="E278" s="329"/>
      <c r="F278" s="88" t="s">
        <v>33</v>
      </c>
      <c r="G278" s="89"/>
      <c r="H278" s="60"/>
      <c r="I278" s="62"/>
      <c r="J278" s="25"/>
      <c r="K278" s="25"/>
      <c r="L278" s="146" t="s">
        <v>33</v>
      </c>
      <c r="M278" s="424"/>
    </row>
    <row r="279" spans="1:13" ht="16.5" customHeight="1" thickBot="1">
      <c r="A279" s="337" t="s">
        <v>117</v>
      </c>
      <c r="B279" s="362"/>
      <c r="C279" s="362"/>
      <c r="D279" s="362"/>
      <c r="E279" s="338"/>
      <c r="F279" s="90" t="s">
        <v>33</v>
      </c>
      <c r="G279" s="91"/>
      <c r="H279" s="363"/>
      <c r="I279" s="364"/>
      <c r="J279" s="364"/>
      <c r="K279" s="364"/>
      <c r="L279" s="147" t="s">
        <v>33</v>
      </c>
      <c r="M279" s="424"/>
    </row>
    <row r="280" spans="1:13" ht="49.5" customHeight="1" thickBot="1">
      <c r="A280" s="92" t="s">
        <v>118</v>
      </c>
      <c r="B280" s="93"/>
      <c r="C280" s="77" t="s">
        <v>119</v>
      </c>
      <c r="D280" s="82"/>
      <c r="E280" s="83"/>
      <c r="F280" s="84"/>
      <c r="G280" s="85"/>
      <c r="H280" s="402"/>
      <c r="I280" s="403"/>
      <c r="J280" s="403"/>
      <c r="K280" s="403"/>
      <c r="L280" s="404"/>
      <c r="M280" s="425"/>
    </row>
    <row r="281" spans="1:13" ht="18.75" customHeight="1" thickBot="1">
      <c r="A281" s="251" t="s">
        <v>69</v>
      </c>
      <c r="B281" s="252"/>
      <c r="C281" s="253">
        <f ca="1">'Data INPUT'!$B$13</f>
        <v>46222</v>
      </c>
      <c r="D281" s="254"/>
      <c r="E281" s="254"/>
      <c r="F281" s="254"/>
      <c r="G281" s="255" t="s">
        <v>7</v>
      </c>
      <c r="H281" s="255"/>
      <c r="I281" s="255"/>
      <c r="J281" s="256" t="str">
        <f>'Data INPUT'!$B$14</f>
        <v xml:space="preserve"> </v>
      </c>
      <c r="K281" s="257"/>
      <c r="L281" s="258"/>
      <c r="M281" s="420" t="s">
        <v>149</v>
      </c>
    </row>
    <row r="282" spans="1:13" ht="15.75">
      <c r="A282" s="259" t="s">
        <v>70</v>
      </c>
      <c r="B282" s="260"/>
      <c r="C282" s="261" t="str">
        <f>'Data INPUT'!$B$4</f>
        <v xml:space="preserve"> </v>
      </c>
      <c r="D282" s="262"/>
      <c r="E282" s="262"/>
      <c r="F282" s="262"/>
      <c r="G282" s="262"/>
      <c r="H282" s="262"/>
      <c r="I282" s="263"/>
      <c r="J282" s="264" t="str">
        <f>'Data INPUT'!K19</f>
        <v xml:space="preserve"> </v>
      </c>
      <c r="K282" s="265"/>
      <c r="L282" s="266"/>
      <c r="M282" s="421"/>
    </row>
    <row r="283" spans="1:13" ht="15.75">
      <c r="A283" s="232" t="s">
        <v>71</v>
      </c>
      <c r="B283" s="233"/>
      <c r="C283" s="234" t="str">
        <f>'Data INPUT'!$B$2</f>
        <v xml:space="preserve"> </v>
      </c>
      <c r="D283" s="235"/>
      <c r="E283" s="235"/>
      <c r="F283" s="235"/>
      <c r="G283" s="235"/>
      <c r="H283" s="235"/>
      <c r="I283" s="236"/>
      <c r="J283" s="237" t="str">
        <f>'Data INPUT'!K24</f>
        <v xml:space="preserve"> </v>
      </c>
      <c r="K283" s="238"/>
      <c r="L283" s="239"/>
      <c r="M283" s="421"/>
    </row>
    <row r="284" spans="1:13" ht="16.5" thickBot="1">
      <c r="A284" s="240" t="s">
        <v>0</v>
      </c>
      <c r="B284" s="241"/>
      <c r="C284" s="242" t="str">
        <f>'Data INPUT'!$B$3</f>
        <v xml:space="preserve"> </v>
      </c>
      <c r="D284" s="243"/>
      <c r="E284" s="243"/>
      <c r="F284" s="243"/>
      <c r="G284" s="243"/>
      <c r="H284" s="243"/>
      <c r="I284" s="244"/>
      <c r="J284" s="317" t="str">
        <f>'Data INPUT'!K18</f>
        <v>Curtain 8</v>
      </c>
      <c r="K284" s="318"/>
      <c r="L284" s="319"/>
      <c r="M284" s="421"/>
    </row>
    <row r="285" spans="1:13" ht="15.75">
      <c r="A285" s="245" t="str">
        <f>'Data INPUT'!K21</f>
        <v>Select</v>
      </c>
      <c r="B285" s="247" t="str">
        <f>'Data INPUT'!K25</f>
        <v>Select</v>
      </c>
      <c r="C285" s="248"/>
      <c r="D285" s="313" t="str">
        <f>'Data INPUT'!K20</f>
        <v>Select</v>
      </c>
      <c r="E285" s="313"/>
      <c r="F285" s="314"/>
      <c r="G285" s="365" t="s">
        <v>72</v>
      </c>
      <c r="H285" s="366"/>
      <c r="I285" s="366"/>
      <c r="J285" s="366"/>
      <c r="K285" s="366"/>
      <c r="L285" s="367"/>
      <c r="M285" s="421"/>
    </row>
    <row r="286" spans="1:13" ht="16.5" thickBot="1">
      <c r="A286" s="246"/>
      <c r="B286" s="249"/>
      <c r="C286" s="250"/>
      <c r="D286" s="315"/>
      <c r="E286" s="315"/>
      <c r="F286" s="316"/>
      <c r="G286" s="305" t="str">
        <f>'Data INPUT'!$B$7</f>
        <v xml:space="preserve"> </v>
      </c>
      <c r="H286" s="306"/>
      <c r="I286" s="306"/>
      <c r="J286" s="306"/>
      <c r="K286" s="306"/>
      <c r="L286" s="307"/>
      <c r="M286" s="421"/>
    </row>
    <row r="287" spans="1:13" ht="15.75">
      <c r="A287" s="259" t="s">
        <v>74</v>
      </c>
      <c r="B287" s="260"/>
      <c r="C287" s="308" t="str">
        <f>'Data INPUT'!$B$12</f>
        <v>Select</v>
      </c>
      <c r="D287" s="308"/>
      <c r="E287" s="308"/>
      <c r="F287" s="309"/>
      <c r="G287" s="305" t="str">
        <f>'Data INPUT'!$B$8</f>
        <v xml:space="preserve"> </v>
      </c>
      <c r="H287" s="306"/>
      <c r="I287" s="306"/>
      <c r="J287" s="306"/>
      <c r="K287" s="306"/>
      <c r="L287" s="307"/>
      <c r="M287" s="421"/>
    </row>
    <row r="288" spans="1:13" ht="15.75">
      <c r="A288" s="232" t="s">
        <v>75</v>
      </c>
      <c r="B288" s="233"/>
      <c r="C288" s="310" t="str">
        <f>'Data INPUT'!K23</f>
        <v>Select</v>
      </c>
      <c r="D288" s="311"/>
      <c r="E288" s="311"/>
      <c r="F288" s="312"/>
      <c r="G288" s="305" t="str">
        <f>'Data INPUT'!$B$9</f>
        <v xml:space="preserve"> </v>
      </c>
      <c r="H288" s="306"/>
      <c r="I288" s="306"/>
      <c r="J288" s="306"/>
      <c r="K288" s="306"/>
      <c r="L288" s="307"/>
      <c r="M288" s="421"/>
    </row>
    <row r="289" spans="1:13" ht="15.75">
      <c r="A289" s="270" t="s">
        <v>76</v>
      </c>
      <c r="B289" s="271"/>
      <c r="C289" s="276">
        <v>1</v>
      </c>
      <c r="D289" s="277"/>
      <c r="E289" s="277"/>
      <c r="F289" s="278"/>
      <c r="G289" s="285" t="str">
        <f>'Data INPUT'!$B$10</f>
        <v xml:space="preserve"> </v>
      </c>
      <c r="H289" s="286"/>
      <c r="I289" s="286"/>
      <c r="J289" s="286"/>
      <c r="K289" s="286"/>
      <c r="L289" s="287"/>
      <c r="M289" s="421"/>
    </row>
    <row r="290" spans="1:13" ht="15.75">
      <c r="A290" s="272"/>
      <c r="B290" s="273"/>
      <c r="C290" s="279"/>
      <c r="D290" s="280"/>
      <c r="E290" s="280"/>
      <c r="F290" s="281"/>
      <c r="G290" s="28" t="s">
        <v>77</v>
      </c>
      <c r="H290" s="29"/>
      <c r="I290" s="29"/>
      <c r="J290" s="288" t="str">
        <f>'Data INPUT'!$B$5</f>
        <v xml:space="preserve"> </v>
      </c>
      <c r="K290" s="288"/>
      <c r="L290" s="289"/>
      <c r="M290" s="421"/>
    </row>
    <row r="291" spans="1:13" ht="16.5" thickBot="1">
      <c r="A291" s="274"/>
      <c r="B291" s="275"/>
      <c r="C291" s="282"/>
      <c r="D291" s="283"/>
      <c r="E291" s="283"/>
      <c r="F291" s="284"/>
      <c r="G291" s="31" t="s">
        <v>78</v>
      </c>
      <c r="H291" s="32"/>
      <c r="I291" s="32"/>
      <c r="J291" s="290" t="str">
        <f>'Data INPUT'!$B$6</f>
        <v xml:space="preserve"> </v>
      </c>
      <c r="K291" s="290"/>
      <c r="L291" s="291"/>
      <c r="M291" s="421"/>
    </row>
    <row r="292" spans="1:13" ht="15.75">
      <c r="A292" s="292" t="s">
        <v>79</v>
      </c>
      <c r="B292" s="293"/>
      <c r="C292" s="296" t="str">
        <f>'Data INPUT'!$B$16</f>
        <v xml:space="preserve"> </v>
      </c>
      <c r="D292" s="297"/>
      <c r="E292" s="297"/>
      <c r="F292" s="297"/>
      <c r="G292" s="297"/>
      <c r="H292" s="297"/>
      <c r="I292" s="297"/>
      <c r="J292" s="297"/>
      <c r="K292" s="297"/>
      <c r="L292" s="298"/>
      <c r="M292" s="421"/>
    </row>
    <row r="293" spans="1:13" ht="15.75">
      <c r="A293" s="292"/>
      <c r="B293" s="293"/>
      <c r="C293" s="299" t="str">
        <f>'Data INPUT'!$B$17</f>
        <v xml:space="preserve"> </v>
      </c>
      <c r="D293" s="300"/>
      <c r="E293" s="300"/>
      <c r="F293" s="300"/>
      <c r="G293" s="300"/>
      <c r="H293" s="300"/>
      <c r="I293" s="300"/>
      <c r="J293" s="300"/>
      <c r="K293" s="300"/>
      <c r="L293" s="301"/>
      <c r="M293" s="421"/>
    </row>
    <row r="294" spans="1:13" ht="16.5" thickBot="1">
      <c r="A294" s="294"/>
      <c r="B294" s="295"/>
      <c r="C294" s="302" t="str">
        <f>'Data INPUT'!$B$18</f>
        <v xml:space="preserve"> </v>
      </c>
      <c r="D294" s="303"/>
      <c r="E294" s="303"/>
      <c r="F294" s="303"/>
      <c r="G294" s="303"/>
      <c r="H294" s="303"/>
      <c r="I294" s="303"/>
      <c r="J294" s="303"/>
      <c r="K294" s="303"/>
      <c r="L294" s="304"/>
      <c r="M294" s="421"/>
    </row>
    <row r="295" spans="1:13" ht="16.5" thickBot="1">
      <c r="A295" s="391" t="s">
        <v>80</v>
      </c>
      <c r="B295" s="392"/>
      <c r="C295" s="66" t="s">
        <v>42</v>
      </c>
      <c r="D295" s="66"/>
      <c r="E295" s="69" t="s">
        <v>43</v>
      </c>
      <c r="F295" s="66"/>
      <c r="G295" s="67"/>
      <c r="H295" s="275" t="s">
        <v>230</v>
      </c>
      <c r="I295" s="275"/>
      <c r="J295" s="275"/>
      <c r="K295" s="275"/>
      <c r="L295" s="393"/>
      <c r="M295" s="421"/>
    </row>
    <row r="296" spans="1:13" ht="15.75">
      <c r="A296" s="394" t="s">
        <v>81</v>
      </c>
      <c r="B296" s="395"/>
      <c r="C296" s="71" t="str">
        <f>'Data INPUT'!K26</f>
        <v xml:space="preserve"> </v>
      </c>
      <c r="D296" s="72" t="s">
        <v>82</v>
      </c>
      <c r="E296" s="70" t="str">
        <f>'Data INPUT'!K27</f>
        <v xml:space="preserve"> </v>
      </c>
      <c r="F296" s="73"/>
      <c r="G296" s="33"/>
      <c r="H296" s="396"/>
      <c r="I296" s="397"/>
      <c r="J296" s="397"/>
      <c r="K296" s="397"/>
      <c r="L296" s="398"/>
      <c r="M296" s="421"/>
    </row>
    <row r="297" spans="1:13" ht="15.75">
      <c r="A297" s="34" t="s">
        <v>83</v>
      </c>
      <c r="B297" s="35" t="str">
        <f>D298</f>
        <v>Select</v>
      </c>
      <c r="C297" s="65" t="str">
        <f>C296</f>
        <v xml:space="preserve"> </v>
      </c>
      <c r="D297" s="37"/>
      <c r="E297" s="36"/>
      <c r="F297" s="38"/>
      <c r="G297" s="38"/>
      <c r="H297" s="399" t="s">
        <v>84</v>
      </c>
      <c r="I297" s="400"/>
      <c r="J297" s="400"/>
      <c r="K297" s="400"/>
      <c r="L297" s="401"/>
      <c r="M297" s="421"/>
    </row>
    <row r="298" spans="1:13" ht="15.75">
      <c r="A298" s="39" t="s">
        <v>85</v>
      </c>
      <c r="B298" s="35" t="str">
        <f>D298</f>
        <v>Select</v>
      </c>
      <c r="C298" s="68" t="s">
        <v>33</v>
      </c>
      <c r="D298" s="37" t="str">
        <f>'Data INPUT'!K28</f>
        <v>Select</v>
      </c>
      <c r="E298" s="37"/>
      <c r="F298" s="37"/>
      <c r="G298" s="53"/>
      <c r="H298" s="267" t="s">
        <v>33</v>
      </c>
      <c r="I298" s="268"/>
      <c r="J298" s="268"/>
      <c r="K298" s="268"/>
      <c r="L298" s="269"/>
      <c r="M298" s="421"/>
    </row>
    <row r="299" spans="1:13" ht="16.5" thickBot="1">
      <c r="A299" s="40" t="s">
        <v>86</v>
      </c>
      <c r="B299" s="41" t="str">
        <f>'Data INPUT'!K29</f>
        <v>Standard</v>
      </c>
      <c r="C299" s="72" t="e">
        <f>E296-D298+10</f>
        <v>#VALUE!</v>
      </c>
      <c r="D299" s="42" t="s">
        <v>82</v>
      </c>
      <c r="E299" s="30">
        <v>100</v>
      </c>
      <c r="F299" s="42" t="s">
        <v>82</v>
      </c>
      <c r="G299" s="42">
        <v>53</v>
      </c>
      <c r="H299" s="373"/>
      <c r="I299" s="374"/>
      <c r="J299" s="374"/>
      <c r="K299" s="374"/>
      <c r="L299" s="375"/>
      <c r="M299" s="421"/>
    </row>
    <row r="300" spans="1:13" ht="15.75">
      <c r="A300" s="43" t="s">
        <v>87</v>
      </c>
      <c r="B300" s="44" t="s">
        <v>88</v>
      </c>
      <c r="C300" s="45" t="e">
        <f>C301</f>
        <v>#VALUE!</v>
      </c>
      <c r="D300" s="45" t="s">
        <v>82</v>
      </c>
      <c r="E300" s="140">
        <v>1</v>
      </c>
      <c r="F300" s="46"/>
      <c r="G300" s="46"/>
      <c r="H300" s="376" t="s">
        <v>89</v>
      </c>
      <c r="I300" s="377"/>
      <c r="J300" s="377"/>
      <c r="K300" s="377"/>
      <c r="L300" s="378"/>
      <c r="M300" s="421"/>
    </row>
    <row r="301" spans="1:13" ht="16.5" thickBot="1">
      <c r="A301" s="47" t="s">
        <v>90</v>
      </c>
      <c r="B301" s="48"/>
      <c r="C301" s="49" t="e">
        <f>C296-180</f>
        <v>#VALUE!</v>
      </c>
      <c r="D301" s="49" t="s">
        <v>82</v>
      </c>
      <c r="E301" s="137">
        <v>1</v>
      </c>
      <c r="F301" s="50"/>
      <c r="G301" s="50"/>
      <c r="H301" s="379"/>
      <c r="I301" s="380"/>
      <c r="J301" s="380"/>
      <c r="K301" s="380"/>
      <c r="L301" s="381"/>
      <c r="M301" s="421"/>
    </row>
    <row r="302" spans="1:13" ht="15.75">
      <c r="A302" s="382" t="s">
        <v>91</v>
      </c>
      <c r="B302" s="383"/>
      <c r="C302" s="52" t="e">
        <f>C296-230</f>
        <v>#VALUE!</v>
      </c>
      <c r="D302" s="384" t="s">
        <v>33</v>
      </c>
      <c r="E302" s="384"/>
      <c r="F302" s="384"/>
      <c r="G302" s="385"/>
      <c r="H302" s="386" t="s">
        <v>92</v>
      </c>
      <c r="I302" s="366"/>
      <c r="J302" s="366"/>
      <c r="K302" s="366"/>
      <c r="L302" s="367"/>
      <c r="M302" s="421"/>
    </row>
    <row r="303" spans="1:13" ht="16.5" thickBot="1">
      <c r="A303" s="387" t="s">
        <v>135</v>
      </c>
      <c r="B303" s="388"/>
      <c r="C303" s="37" t="e">
        <f>C304</f>
        <v>#VALUE!</v>
      </c>
      <c r="D303" s="389"/>
      <c r="E303" s="389"/>
      <c r="F303" s="389"/>
      <c r="G303" s="390"/>
      <c r="H303" s="373"/>
      <c r="I303" s="374"/>
      <c r="J303" s="374"/>
      <c r="K303" s="374"/>
      <c r="L303" s="375"/>
      <c r="M303" s="421"/>
    </row>
    <row r="304" spans="1:13" ht="15.75">
      <c r="A304" s="370" t="s">
        <v>73</v>
      </c>
      <c r="B304" s="371"/>
      <c r="C304" s="52" t="e">
        <f>C296-100</f>
        <v>#VALUE!</v>
      </c>
      <c r="D304" s="52" t="s">
        <v>82</v>
      </c>
      <c r="E304" s="51" t="e">
        <f>E296+300</f>
        <v>#VALUE!</v>
      </c>
      <c r="F304" s="52"/>
      <c r="G304" s="54"/>
      <c r="H304" s="351" t="s">
        <v>93</v>
      </c>
      <c r="I304" s="352"/>
      <c r="J304" s="352"/>
      <c r="K304" s="352"/>
      <c r="L304" s="353"/>
      <c r="M304" s="421"/>
    </row>
    <row r="305" spans="1:13" ht="16.5" thickBot="1">
      <c r="A305" s="294"/>
      <c r="B305" s="372"/>
      <c r="C305" s="354" t="s">
        <v>136</v>
      </c>
      <c r="D305" s="355"/>
      <c r="E305" s="355"/>
      <c r="F305" s="355"/>
      <c r="G305" s="356"/>
      <c r="H305" s="357" t="s">
        <v>94</v>
      </c>
      <c r="I305" s="358"/>
      <c r="J305" s="358"/>
      <c r="K305" s="358"/>
      <c r="L305" s="359"/>
      <c r="M305" s="421"/>
    </row>
    <row r="306" spans="1:13" ht="16.5" thickBot="1">
      <c r="A306" s="360" t="s">
        <v>95</v>
      </c>
      <c r="B306" s="361"/>
      <c r="C306" s="55" t="s">
        <v>33</v>
      </c>
      <c r="D306" s="75" t="s">
        <v>96</v>
      </c>
      <c r="E306" s="75" t="s">
        <v>33</v>
      </c>
      <c r="F306" s="75" t="s">
        <v>97</v>
      </c>
      <c r="G306" s="56" t="s">
        <v>33</v>
      </c>
      <c r="H306" s="368" t="s">
        <v>141</v>
      </c>
      <c r="I306" s="369"/>
      <c r="J306" s="369"/>
      <c r="K306" s="57">
        <v>300</v>
      </c>
      <c r="L306" s="144" t="s">
        <v>98</v>
      </c>
      <c r="M306" s="421"/>
    </row>
    <row r="307" spans="1:13" ht="15.75">
      <c r="A307" s="345" t="s">
        <v>99</v>
      </c>
      <c r="B307" s="346"/>
      <c r="C307" s="405" t="str">
        <f>'Data INPUT'!K34</f>
        <v>Select</v>
      </c>
      <c r="D307" s="384"/>
      <c r="E307" s="384"/>
      <c r="F307" s="384"/>
      <c r="G307" s="385"/>
      <c r="H307" s="27" t="s">
        <v>100</v>
      </c>
      <c r="I307" s="265"/>
      <c r="J307" s="265"/>
      <c r="K307" s="265"/>
      <c r="L307" s="266"/>
      <c r="M307" s="421"/>
    </row>
    <row r="308" spans="1:13" ht="16.5" thickBot="1">
      <c r="A308" s="274" t="s">
        <v>62</v>
      </c>
      <c r="B308" s="347"/>
      <c r="C308" s="322" t="str">
        <f>'Data INPUT'!K36</f>
        <v>Select</v>
      </c>
      <c r="D308" s="323"/>
      <c r="E308" s="323"/>
      <c r="F308" s="323"/>
      <c r="G308" s="324"/>
      <c r="H308" s="32"/>
      <c r="I308" s="320"/>
      <c r="J308" s="320"/>
      <c r="K308" s="320"/>
      <c r="L308" s="321"/>
      <c r="M308" s="421"/>
    </row>
    <row r="309" spans="1:13" ht="16.5" thickBot="1">
      <c r="A309" s="348" t="s">
        <v>101</v>
      </c>
      <c r="B309" s="349"/>
      <c r="C309" s="76" t="str">
        <f>'Data INPUT'!K35</f>
        <v>CSV x1</v>
      </c>
      <c r="D309" s="72" t="s">
        <v>33</v>
      </c>
      <c r="E309" s="306" t="s">
        <v>33</v>
      </c>
      <c r="F309" s="306"/>
      <c r="G309" s="350"/>
      <c r="H309" s="32" t="s">
        <v>100</v>
      </c>
      <c r="I309" s="58"/>
      <c r="J309" s="58"/>
      <c r="K309" s="58"/>
      <c r="L309" s="94"/>
      <c r="M309" s="421"/>
    </row>
    <row r="310" spans="1:13" ht="15.75">
      <c r="A310" s="342" t="s">
        <v>137</v>
      </c>
      <c r="B310" s="343"/>
      <c r="C310" s="343"/>
      <c r="D310" s="343"/>
      <c r="E310" s="343"/>
      <c r="F310" s="343"/>
      <c r="G310" s="343"/>
      <c r="H310" s="26" t="s">
        <v>102</v>
      </c>
      <c r="I310" s="59"/>
      <c r="J310" s="24"/>
      <c r="K310" s="24"/>
      <c r="L310" s="145">
        <f>'Data INPUT'!K42</f>
        <v>1</v>
      </c>
      <c r="M310" s="421"/>
    </row>
    <row r="311" spans="1:13" ht="15.75">
      <c r="A311" s="335" t="s">
        <v>65</v>
      </c>
      <c r="B311" s="336"/>
      <c r="C311" s="330" t="str">
        <f>'Data INPUT'!K37</f>
        <v>RAL 9010</v>
      </c>
      <c r="D311" s="331"/>
      <c r="E311" s="331"/>
      <c r="F311" s="331"/>
      <c r="G311" s="332"/>
      <c r="H311" s="333" t="s">
        <v>103</v>
      </c>
      <c r="I311" s="235"/>
      <c r="J311" s="235"/>
      <c r="K311" s="334"/>
      <c r="L311" s="146">
        <f>'Data INPUT'!K43</f>
        <v>0</v>
      </c>
      <c r="M311" s="421"/>
    </row>
    <row r="312" spans="1:13" ht="15.75">
      <c r="A312" s="327" t="s">
        <v>104</v>
      </c>
      <c r="B312" s="329"/>
      <c r="C312" s="330" t="str">
        <f>'Data INPUT'!K38</f>
        <v>RAL 9010</v>
      </c>
      <c r="D312" s="331"/>
      <c r="E312" s="331"/>
      <c r="F312" s="331"/>
      <c r="G312" s="332"/>
      <c r="H312" s="333" t="s">
        <v>105</v>
      </c>
      <c r="I312" s="235"/>
      <c r="J312" s="235"/>
      <c r="K312" s="334"/>
      <c r="L312" s="146">
        <f>'Data INPUT'!K44</f>
        <v>0</v>
      </c>
      <c r="M312" s="421"/>
    </row>
    <row r="313" spans="1:13" ht="15.75">
      <c r="A313" s="327" t="s">
        <v>106</v>
      </c>
      <c r="B313" s="329"/>
      <c r="C313" s="330" t="str">
        <f>'Data INPUT'!K39</f>
        <v>RAL 9010</v>
      </c>
      <c r="D313" s="331"/>
      <c r="E313" s="331"/>
      <c r="F313" s="331"/>
      <c r="G313" s="332"/>
      <c r="H313" s="333" t="s">
        <v>107</v>
      </c>
      <c r="I313" s="235"/>
      <c r="J313" s="235"/>
      <c r="K313" s="334"/>
      <c r="L313" s="146">
        <f>'Data INPUT'!K45</f>
        <v>0</v>
      </c>
      <c r="M313" s="421"/>
    </row>
    <row r="314" spans="1:13" ht="15.75">
      <c r="A314" s="335" t="s">
        <v>108</v>
      </c>
      <c r="B314" s="336"/>
      <c r="C314" s="330" t="str">
        <f>'Data INPUT'!K40</f>
        <v>RAL 9010</v>
      </c>
      <c r="D314" s="331"/>
      <c r="E314" s="331"/>
      <c r="F314" s="331"/>
      <c r="G314" s="332"/>
      <c r="H314" s="60" t="s">
        <v>109</v>
      </c>
      <c r="I314" s="62"/>
      <c r="J314" s="25"/>
      <c r="K314" s="25"/>
      <c r="L314" s="146">
        <f>'Data INPUT'!K46</f>
        <v>0</v>
      </c>
      <c r="M314" s="421"/>
    </row>
    <row r="315" spans="1:13" ht="15.75">
      <c r="A315" s="327" t="s">
        <v>110</v>
      </c>
      <c r="B315" s="329"/>
      <c r="C315" s="330" t="str">
        <f>'Data INPUT'!K41</f>
        <v>Select</v>
      </c>
      <c r="D315" s="331"/>
      <c r="E315" s="331"/>
      <c r="F315" s="331"/>
      <c r="G315" s="332"/>
      <c r="H315" s="60" t="s">
        <v>111</v>
      </c>
      <c r="I315" s="25"/>
      <c r="J315" s="25"/>
      <c r="K315" s="61"/>
      <c r="L315" s="146">
        <f>'Data INPUT'!K47</f>
        <v>0</v>
      </c>
      <c r="M315" s="421"/>
    </row>
    <row r="316" spans="1:13" ht="15.75" customHeight="1">
      <c r="A316" s="406" t="s">
        <v>112</v>
      </c>
      <c r="B316" s="407"/>
      <c r="C316" s="148"/>
      <c r="D316" s="148"/>
      <c r="E316" s="148"/>
      <c r="F316" s="408" t="s">
        <v>115</v>
      </c>
      <c r="G316" s="409"/>
      <c r="H316" s="60" t="s">
        <v>113</v>
      </c>
      <c r="I316" s="62"/>
      <c r="J316" s="25"/>
      <c r="K316" s="25"/>
      <c r="L316" s="146">
        <f>'Data INPUT'!K48</f>
        <v>0</v>
      </c>
      <c r="M316" s="421"/>
    </row>
    <row r="317" spans="1:13" ht="15.75" customHeight="1">
      <c r="A317" s="327" t="s">
        <v>114</v>
      </c>
      <c r="B317" s="328"/>
      <c r="C317" s="328"/>
      <c r="D317" s="87"/>
      <c r="E317" s="87" t="s">
        <v>33</v>
      </c>
      <c r="F317" s="88" t="s">
        <v>33</v>
      </c>
      <c r="G317" s="89" t="s">
        <v>33</v>
      </c>
      <c r="H317" s="325"/>
      <c r="I317" s="326"/>
      <c r="J317" s="326"/>
      <c r="K317" s="74"/>
      <c r="L317" s="146" t="s">
        <v>33</v>
      </c>
      <c r="M317" s="421"/>
    </row>
    <row r="318" spans="1:13" ht="15.75" customHeight="1">
      <c r="A318" s="327" t="s">
        <v>116</v>
      </c>
      <c r="B318" s="328"/>
      <c r="C318" s="328"/>
      <c r="D318" s="328"/>
      <c r="E318" s="329"/>
      <c r="F318" s="88" t="s">
        <v>33</v>
      </c>
      <c r="G318" s="89"/>
      <c r="H318" s="60"/>
      <c r="I318" s="62"/>
      <c r="J318" s="25"/>
      <c r="K318" s="25"/>
      <c r="L318" s="146" t="s">
        <v>33</v>
      </c>
      <c r="M318" s="421"/>
    </row>
    <row r="319" spans="1:13" ht="16.5" customHeight="1" thickBot="1">
      <c r="A319" s="337" t="s">
        <v>117</v>
      </c>
      <c r="B319" s="362"/>
      <c r="C319" s="362"/>
      <c r="D319" s="362"/>
      <c r="E319" s="338"/>
      <c r="F319" s="90" t="s">
        <v>33</v>
      </c>
      <c r="G319" s="91"/>
      <c r="H319" s="363"/>
      <c r="I319" s="364"/>
      <c r="J319" s="364"/>
      <c r="K319" s="364"/>
      <c r="L319" s="147" t="s">
        <v>33</v>
      </c>
      <c r="M319" s="421"/>
    </row>
    <row r="320" spans="1:13" ht="47.25" customHeight="1" thickBot="1">
      <c r="A320" s="92" t="s">
        <v>118</v>
      </c>
      <c r="B320" s="93"/>
      <c r="C320" s="77" t="s">
        <v>119</v>
      </c>
      <c r="D320" s="82"/>
      <c r="E320" s="83"/>
      <c r="F320" s="84"/>
      <c r="G320" s="85"/>
      <c r="H320" s="402"/>
      <c r="I320" s="403"/>
      <c r="J320" s="403"/>
      <c r="K320" s="403"/>
      <c r="L320" s="404"/>
      <c r="M320" s="422"/>
    </row>
    <row r="321" spans="1:13" ht="18.75" customHeight="1" thickBot="1">
      <c r="A321" s="251" t="s">
        <v>69</v>
      </c>
      <c r="B321" s="252"/>
      <c r="C321" s="253">
        <f ca="1">'Data INPUT'!$B$13</f>
        <v>46222</v>
      </c>
      <c r="D321" s="254"/>
      <c r="E321" s="254"/>
      <c r="F321" s="254"/>
      <c r="G321" s="255" t="s">
        <v>7</v>
      </c>
      <c r="H321" s="255"/>
      <c r="I321" s="255"/>
      <c r="J321" s="256" t="str">
        <f>'Data INPUT'!$B$14</f>
        <v xml:space="preserve"> </v>
      </c>
      <c r="K321" s="257"/>
      <c r="L321" s="258"/>
      <c r="M321" s="423" t="s">
        <v>150</v>
      </c>
    </row>
    <row r="322" spans="1:13" ht="15.75">
      <c r="A322" s="259" t="s">
        <v>70</v>
      </c>
      <c r="B322" s="260"/>
      <c r="C322" s="261" t="str">
        <f>'Data INPUT'!$B$4</f>
        <v xml:space="preserve"> </v>
      </c>
      <c r="D322" s="262"/>
      <c r="E322" s="262"/>
      <c r="F322" s="262"/>
      <c r="G322" s="262"/>
      <c r="H322" s="262"/>
      <c r="I322" s="263"/>
      <c r="J322" s="264" t="str">
        <f>'Data INPUT'!L19</f>
        <v xml:space="preserve"> </v>
      </c>
      <c r="K322" s="265"/>
      <c r="L322" s="266"/>
      <c r="M322" s="424"/>
    </row>
    <row r="323" spans="1:13" ht="15.75">
      <c r="A323" s="232" t="s">
        <v>71</v>
      </c>
      <c r="B323" s="233"/>
      <c r="C323" s="234" t="str">
        <f>'Data INPUT'!$B$2</f>
        <v xml:space="preserve"> </v>
      </c>
      <c r="D323" s="235"/>
      <c r="E323" s="235"/>
      <c r="F323" s="235"/>
      <c r="G323" s="235"/>
      <c r="H323" s="235"/>
      <c r="I323" s="236"/>
      <c r="J323" s="237" t="str">
        <f>'Data INPUT'!L24</f>
        <v xml:space="preserve"> </v>
      </c>
      <c r="K323" s="238"/>
      <c r="L323" s="239"/>
      <c r="M323" s="424"/>
    </row>
    <row r="324" spans="1:13" ht="16.5" thickBot="1">
      <c r="A324" s="240" t="s">
        <v>0</v>
      </c>
      <c r="B324" s="241"/>
      <c r="C324" s="242" t="str">
        <f>'Data INPUT'!$B$3</f>
        <v xml:space="preserve"> </v>
      </c>
      <c r="D324" s="243"/>
      <c r="E324" s="243"/>
      <c r="F324" s="243"/>
      <c r="G324" s="243"/>
      <c r="H324" s="243"/>
      <c r="I324" s="244"/>
      <c r="J324" s="317" t="str">
        <f>'Data INPUT'!L18</f>
        <v>Curtain 9</v>
      </c>
      <c r="K324" s="318"/>
      <c r="L324" s="319"/>
      <c r="M324" s="424"/>
    </row>
    <row r="325" spans="1:13" ht="15.75">
      <c r="A325" s="245" t="str">
        <f>'Data INPUT'!L21</f>
        <v>Select</v>
      </c>
      <c r="B325" s="247" t="str">
        <f>'Data INPUT'!L25</f>
        <v>Select</v>
      </c>
      <c r="C325" s="248"/>
      <c r="D325" s="313" t="str">
        <f>'Data INPUT'!L20</f>
        <v>Select</v>
      </c>
      <c r="E325" s="313"/>
      <c r="F325" s="314"/>
      <c r="G325" s="365" t="s">
        <v>72</v>
      </c>
      <c r="H325" s="366"/>
      <c r="I325" s="366"/>
      <c r="J325" s="366"/>
      <c r="K325" s="366"/>
      <c r="L325" s="367"/>
      <c r="M325" s="424"/>
    </row>
    <row r="326" spans="1:13" ht="16.5" thickBot="1">
      <c r="A326" s="246"/>
      <c r="B326" s="249"/>
      <c r="C326" s="250"/>
      <c r="D326" s="315"/>
      <c r="E326" s="315"/>
      <c r="F326" s="316"/>
      <c r="G326" s="305" t="str">
        <f>'Data INPUT'!$B$7</f>
        <v xml:space="preserve"> </v>
      </c>
      <c r="H326" s="306"/>
      <c r="I326" s="306"/>
      <c r="J326" s="306"/>
      <c r="K326" s="306"/>
      <c r="L326" s="307"/>
      <c r="M326" s="424"/>
    </row>
    <row r="327" spans="1:13" ht="15.75">
      <c r="A327" s="259" t="s">
        <v>74</v>
      </c>
      <c r="B327" s="260"/>
      <c r="C327" s="308" t="str">
        <f>'Data INPUT'!$B$12</f>
        <v>Select</v>
      </c>
      <c r="D327" s="308"/>
      <c r="E327" s="308"/>
      <c r="F327" s="309"/>
      <c r="G327" s="305" t="str">
        <f>'Data INPUT'!$B$8</f>
        <v xml:space="preserve"> </v>
      </c>
      <c r="H327" s="306"/>
      <c r="I327" s="306"/>
      <c r="J327" s="306"/>
      <c r="K327" s="306"/>
      <c r="L327" s="307"/>
      <c r="M327" s="424"/>
    </row>
    <row r="328" spans="1:13" ht="15.75">
      <c r="A328" s="232" t="s">
        <v>75</v>
      </c>
      <c r="B328" s="233"/>
      <c r="C328" s="310" t="str">
        <f>'Data INPUT'!L23</f>
        <v>Select</v>
      </c>
      <c r="D328" s="311"/>
      <c r="E328" s="311"/>
      <c r="F328" s="312"/>
      <c r="G328" s="305" t="str">
        <f>'Data INPUT'!$B$9</f>
        <v xml:space="preserve"> </v>
      </c>
      <c r="H328" s="306"/>
      <c r="I328" s="306"/>
      <c r="J328" s="306"/>
      <c r="K328" s="306"/>
      <c r="L328" s="307"/>
      <c r="M328" s="424"/>
    </row>
    <row r="329" spans="1:13" ht="15.75">
      <c r="A329" s="270" t="s">
        <v>76</v>
      </c>
      <c r="B329" s="271"/>
      <c r="C329" s="276">
        <v>1</v>
      </c>
      <c r="D329" s="277"/>
      <c r="E329" s="277"/>
      <c r="F329" s="278"/>
      <c r="G329" s="285" t="str">
        <f>'Data INPUT'!$B$10</f>
        <v xml:space="preserve"> </v>
      </c>
      <c r="H329" s="286"/>
      <c r="I329" s="286"/>
      <c r="J329" s="286"/>
      <c r="K329" s="286"/>
      <c r="L329" s="287"/>
      <c r="M329" s="424"/>
    </row>
    <row r="330" spans="1:13" ht="15.75">
      <c r="A330" s="272"/>
      <c r="B330" s="273"/>
      <c r="C330" s="279"/>
      <c r="D330" s="280"/>
      <c r="E330" s="280"/>
      <c r="F330" s="281"/>
      <c r="G330" s="28" t="s">
        <v>77</v>
      </c>
      <c r="H330" s="29"/>
      <c r="I330" s="29"/>
      <c r="J330" s="288" t="str">
        <f>'Data INPUT'!$B$5</f>
        <v xml:space="preserve"> </v>
      </c>
      <c r="K330" s="288"/>
      <c r="L330" s="289"/>
      <c r="M330" s="424"/>
    </row>
    <row r="331" spans="1:13" ht="16.5" thickBot="1">
      <c r="A331" s="274"/>
      <c r="B331" s="275"/>
      <c r="C331" s="282"/>
      <c r="D331" s="283"/>
      <c r="E331" s="283"/>
      <c r="F331" s="284"/>
      <c r="G331" s="31" t="s">
        <v>78</v>
      </c>
      <c r="H331" s="32"/>
      <c r="I331" s="32"/>
      <c r="J331" s="290" t="str">
        <f>'Data INPUT'!$B$6</f>
        <v xml:space="preserve"> </v>
      </c>
      <c r="K331" s="290"/>
      <c r="L331" s="291"/>
      <c r="M331" s="424"/>
    </row>
    <row r="332" spans="1:13" ht="15.75">
      <c r="A332" s="292" t="s">
        <v>79</v>
      </c>
      <c r="B332" s="293"/>
      <c r="C332" s="296" t="str">
        <f>'Data INPUT'!$B$16</f>
        <v xml:space="preserve"> </v>
      </c>
      <c r="D332" s="297"/>
      <c r="E332" s="297"/>
      <c r="F332" s="297"/>
      <c r="G332" s="297"/>
      <c r="H332" s="297"/>
      <c r="I332" s="297"/>
      <c r="J332" s="297"/>
      <c r="K332" s="297"/>
      <c r="L332" s="298"/>
      <c r="M332" s="424"/>
    </row>
    <row r="333" spans="1:13" ht="15.75">
      <c r="A333" s="292"/>
      <c r="B333" s="293"/>
      <c r="C333" s="299" t="str">
        <f>'Data INPUT'!$B$17</f>
        <v xml:space="preserve"> </v>
      </c>
      <c r="D333" s="300"/>
      <c r="E333" s="300"/>
      <c r="F333" s="300"/>
      <c r="G333" s="300"/>
      <c r="H333" s="300"/>
      <c r="I333" s="300"/>
      <c r="J333" s="300"/>
      <c r="K333" s="300"/>
      <c r="L333" s="301"/>
      <c r="M333" s="424"/>
    </row>
    <row r="334" spans="1:13" ht="16.5" thickBot="1">
      <c r="A334" s="294"/>
      <c r="B334" s="295"/>
      <c r="C334" s="302" t="str">
        <f>'Data INPUT'!$B$18</f>
        <v xml:space="preserve"> </v>
      </c>
      <c r="D334" s="303"/>
      <c r="E334" s="303"/>
      <c r="F334" s="303"/>
      <c r="G334" s="303"/>
      <c r="H334" s="303"/>
      <c r="I334" s="303"/>
      <c r="J334" s="303"/>
      <c r="K334" s="303"/>
      <c r="L334" s="304"/>
      <c r="M334" s="424"/>
    </row>
    <row r="335" spans="1:13" ht="16.5" thickBot="1">
      <c r="A335" s="391" t="s">
        <v>80</v>
      </c>
      <c r="B335" s="392"/>
      <c r="C335" s="66" t="s">
        <v>42</v>
      </c>
      <c r="D335" s="66"/>
      <c r="E335" s="69" t="s">
        <v>43</v>
      </c>
      <c r="F335" s="66"/>
      <c r="G335" s="67"/>
      <c r="H335" s="275" t="s">
        <v>230</v>
      </c>
      <c r="I335" s="275"/>
      <c r="J335" s="275"/>
      <c r="K335" s="275"/>
      <c r="L335" s="393"/>
      <c r="M335" s="424"/>
    </row>
    <row r="336" spans="1:13" ht="15.75">
      <c r="A336" s="394" t="s">
        <v>81</v>
      </c>
      <c r="B336" s="395"/>
      <c r="C336" s="71" t="str">
        <f>'Data INPUT'!L26</f>
        <v xml:space="preserve"> </v>
      </c>
      <c r="D336" s="72" t="s">
        <v>82</v>
      </c>
      <c r="E336" s="70" t="str">
        <f>'Data INPUT'!L27</f>
        <v xml:space="preserve"> </v>
      </c>
      <c r="F336" s="73"/>
      <c r="G336" s="33"/>
      <c r="H336" s="396"/>
      <c r="I336" s="397"/>
      <c r="J336" s="397"/>
      <c r="K336" s="397"/>
      <c r="L336" s="398"/>
      <c r="M336" s="424"/>
    </row>
    <row r="337" spans="1:13" ht="15.75">
      <c r="A337" s="34" t="s">
        <v>83</v>
      </c>
      <c r="B337" s="35" t="str">
        <f>D338</f>
        <v>Select</v>
      </c>
      <c r="C337" s="65" t="str">
        <f>C336</f>
        <v xml:space="preserve"> </v>
      </c>
      <c r="D337" s="37"/>
      <c r="E337" s="36"/>
      <c r="F337" s="38"/>
      <c r="G337" s="38"/>
      <c r="H337" s="399" t="s">
        <v>84</v>
      </c>
      <c r="I337" s="400"/>
      <c r="J337" s="400"/>
      <c r="K337" s="400"/>
      <c r="L337" s="401"/>
      <c r="M337" s="424"/>
    </row>
    <row r="338" spans="1:13" ht="15.75">
      <c r="A338" s="39" t="s">
        <v>85</v>
      </c>
      <c r="B338" s="35" t="str">
        <f>D338</f>
        <v>Select</v>
      </c>
      <c r="C338" s="68" t="s">
        <v>33</v>
      </c>
      <c r="D338" s="37" t="str">
        <f>'Data INPUT'!L28</f>
        <v>Select</v>
      </c>
      <c r="E338" s="37"/>
      <c r="F338" s="37"/>
      <c r="G338" s="53"/>
      <c r="H338" s="267" t="s">
        <v>33</v>
      </c>
      <c r="I338" s="268"/>
      <c r="J338" s="268"/>
      <c r="K338" s="268"/>
      <c r="L338" s="269"/>
      <c r="M338" s="424"/>
    </row>
    <row r="339" spans="1:13" ht="16.5" thickBot="1">
      <c r="A339" s="40" t="s">
        <v>86</v>
      </c>
      <c r="B339" s="41" t="str">
        <f>'Data INPUT'!L29</f>
        <v>Standard</v>
      </c>
      <c r="C339" s="72" t="e">
        <f>E336-D338+10</f>
        <v>#VALUE!</v>
      </c>
      <c r="D339" s="42" t="s">
        <v>82</v>
      </c>
      <c r="E339" s="30">
        <v>100</v>
      </c>
      <c r="F339" s="42" t="s">
        <v>82</v>
      </c>
      <c r="G339" s="42">
        <v>53</v>
      </c>
      <c r="H339" s="373"/>
      <c r="I339" s="374"/>
      <c r="J339" s="374"/>
      <c r="K339" s="374"/>
      <c r="L339" s="375"/>
      <c r="M339" s="424"/>
    </row>
    <row r="340" spans="1:13" ht="15.75">
      <c r="A340" s="43" t="s">
        <v>87</v>
      </c>
      <c r="B340" s="44" t="s">
        <v>88</v>
      </c>
      <c r="C340" s="45" t="e">
        <f>C341</f>
        <v>#VALUE!</v>
      </c>
      <c r="D340" s="45" t="s">
        <v>82</v>
      </c>
      <c r="E340" s="140">
        <v>1</v>
      </c>
      <c r="F340" s="46"/>
      <c r="G340" s="46"/>
      <c r="H340" s="376" t="s">
        <v>89</v>
      </c>
      <c r="I340" s="377"/>
      <c r="J340" s="377"/>
      <c r="K340" s="377"/>
      <c r="L340" s="378"/>
      <c r="M340" s="424"/>
    </row>
    <row r="341" spans="1:13" ht="16.5" thickBot="1">
      <c r="A341" s="47" t="s">
        <v>90</v>
      </c>
      <c r="B341" s="48"/>
      <c r="C341" s="49" t="e">
        <f>C336-180</f>
        <v>#VALUE!</v>
      </c>
      <c r="D341" s="49" t="s">
        <v>82</v>
      </c>
      <c r="E341" s="137">
        <v>1</v>
      </c>
      <c r="F341" s="50"/>
      <c r="G341" s="50"/>
      <c r="H341" s="379"/>
      <c r="I341" s="380"/>
      <c r="J341" s="380"/>
      <c r="K341" s="380"/>
      <c r="L341" s="381"/>
      <c r="M341" s="424"/>
    </row>
    <row r="342" spans="1:13" ht="15.75">
      <c r="A342" s="382" t="s">
        <v>91</v>
      </c>
      <c r="B342" s="383"/>
      <c r="C342" s="52" t="e">
        <f>C336-230</f>
        <v>#VALUE!</v>
      </c>
      <c r="D342" s="384" t="s">
        <v>33</v>
      </c>
      <c r="E342" s="384"/>
      <c r="F342" s="384"/>
      <c r="G342" s="385"/>
      <c r="H342" s="386" t="s">
        <v>92</v>
      </c>
      <c r="I342" s="366"/>
      <c r="J342" s="366"/>
      <c r="K342" s="366"/>
      <c r="L342" s="367"/>
      <c r="M342" s="424"/>
    </row>
    <row r="343" spans="1:13" ht="16.5" thickBot="1">
      <c r="A343" s="387" t="s">
        <v>135</v>
      </c>
      <c r="B343" s="388"/>
      <c r="C343" s="37" t="e">
        <f>C344</f>
        <v>#VALUE!</v>
      </c>
      <c r="D343" s="389"/>
      <c r="E343" s="389"/>
      <c r="F343" s="389"/>
      <c r="G343" s="390"/>
      <c r="H343" s="373"/>
      <c r="I343" s="374"/>
      <c r="J343" s="374"/>
      <c r="K343" s="374"/>
      <c r="L343" s="375"/>
      <c r="M343" s="424"/>
    </row>
    <row r="344" spans="1:13" ht="15.75">
      <c r="A344" s="370" t="s">
        <v>73</v>
      </c>
      <c r="B344" s="371"/>
      <c r="C344" s="52" t="e">
        <f>C336-100</f>
        <v>#VALUE!</v>
      </c>
      <c r="D344" s="52" t="s">
        <v>82</v>
      </c>
      <c r="E344" s="51" t="e">
        <f>E336+300</f>
        <v>#VALUE!</v>
      </c>
      <c r="F344" s="52"/>
      <c r="G344" s="54"/>
      <c r="H344" s="351" t="s">
        <v>93</v>
      </c>
      <c r="I344" s="352"/>
      <c r="J344" s="352"/>
      <c r="K344" s="352"/>
      <c r="L344" s="353"/>
      <c r="M344" s="424"/>
    </row>
    <row r="345" spans="1:13" ht="16.5" thickBot="1">
      <c r="A345" s="294"/>
      <c r="B345" s="372"/>
      <c r="C345" s="354" t="s">
        <v>136</v>
      </c>
      <c r="D345" s="355"/>
      <c r="E345" s="355"/>
      <c r="F345" s="355"/>
      <c r="G345" s="356"/>
      <c r="H345" s="357" t="s">
        <v>94</v>
      </c>
      <c r="I345" s="358"/>
      <c r="J345" s="358"/>
      <c r="K345" s="358"/>
      <c r="L345" s="359"/>
      <c r="M345" s="424"/>
    </row>
    <row r="346" spans="1:13" ht="16.5" thickBot="1">
      <c r="A346" s="360" t="s">
        <v>95</v>
      </c>
      <c r="B346" s="361"/>
      <c r="C346" s="55" t="s">
        <v>33</v>
      </c>
      <c r="D346" s="75" t="s">
        <v>96</v>
      </c>
      <c r="E346" s="75" t="s">
        <v>33</v>
      </c>
      <c r="F346" s="75" t="s">
        <v>97</v>
      </c>
      <c r="G346" s="56" t="s">
        <v>33</v>
      </c>
      <c r="H346" s="368" t="s">
        <v>141</v>
      </c>
      <c r="I346" s="369"/>
      <c r="J346" s="369"/>
      <c r="K346" s="57">
        <v>300</v>
      </c>
      <c r="L346" s="144" t="s">
        <v>98</v>
      </c>
      <c r="M346" s="424"/>
    </row>
    <row r="347" spans="1:13" ht="15.75">
      <c r="A347" s="345" t="s">
        <v>99</v>
      </c>
      <c r="B347" s="346"/>
      <c r="C347" s="405" t="str">
        <f>'Data INPUT'!L34</f>
        <v>Select</v>
      </c>
      <c r="D347" s="384"/>
      <c r="E347" s="384"/>
      <c r="F347" s="384"/>
      <c r="G347" s="385"/>
      <c r="H347" s="27" t="s">
        <v>100</v>
      </c>
      <c r="I347" s="265"/>
      <c r="J347" s="265"/>
      <c r="K347" s="265"/>
      <c r="L347" s="266"/>
      <c r="M347" s="424"/>
    </row>
    <row r="348" spans="1:13" ht="16.5" thickBot="1">
      <c r="A348" s="274" t="s">
        <v>62</v>
      </c>
      <c r="B348" s="347"/>
      <c r="C348" s="322" t="str">
        <f>'Data INPUT'!L36</f>
        <v>Select</v>
      </c>
      <c r="D348" s="323"/>
      <c r="E348" s="323"/>
      <c r="F348" s="323"/>
      <c r="G348" s="324"/>
      <c r="H348" s="32"/>
      <c r="I348" s="320"/>
      <c r="J348" s="320"/>
      <c r="K348" s="320"/>
      <c r="L348" s="321"/>
      <c r="M348" s="424"/>
    </row>
    <row r="349" spans="1:13" ht="16.5" thickBot="1">
      <c r="A349" s="348" t="s">
        <v>101</v>
      </c>
      <c r="B349" s="349"/>
      <c r="C349" s="76" t="str">
        <f>'Data INPUT'!L35</f>
        <v>CSV x1</v>
      </c>
      <c r="D349" s="72" t="s">
        <v>33</v>
      </c>
      <c r="E349" s="306" t="s">
        <v>33</v>
      </c>
      <c r="F349" s="306"/>
      <c r="G349" s="350"/>
      <c r="H349" s="32" t="s">
        <v>100</v>
      </c>
      <c r="I349" s="58"/>
      <c r="J349" s="58"/>
      <c r="K349" s="58"/>
      <c r="L349" s="94"/>
      <c r="M349" s="424"/>
    </row>
    <row r="350" spans="1:13" ht="15.75">
      <c r="A350" s="342" t="s">
        <v>137</v>
      </c>
      <c r="B350" s="343"/>
      <c r="C350" s="343"/>
      <c r="D350" s="343"/>
      <c r="E350" s="343"/>
      <c r="F350" s="343"/>
      <c r="G350" s="343"/>
      <c r="H350" s="26" t="s">
        <v>102</v>
      </c>
      <c r="I350" s="59"/>
      <c r="J350" s="24"/>
      <c r="K350" s="24"/>
      <c r="L350" s="145">
        <f>'Data INPUT'!L42</f>
        <v>1</v>
      </c>
      <c r="M350" s="424"/>
    </row>
    <row r="351" spans="1:13" ht="15.75">
      <c r="A351" s="335" t="s">
        <v>65</v>
      </c>
      <c r="B351" s="336"/>
      <c r="C351" s="330" t="str">
        <f>'Data INPUT'!L37</f>
        <v>RAL 9010</v>
      </c>
      <c r="D351" s="331"/>
      <c r="E351" s="331"/>
      <c r="F351" s="331"/>
      <c r="G351" s="332"/>
      <c r="H351" s="333" t="s">
        <v>103</v>
      </c>
      <c r="I351" s="235"/>
      <c r="J351" s="235"/>
      <c r="K351" s="334"/>
      <c r="L351" s="146">
        <f>'Data INPUT'!L43</f>
        <v>0</v>
      </c>
      <c r="M351" s="424"/>
    </row>
    <row r="352" spans="1:13" ht="15.75">
      <c r="A352" s="327" t="s">
        <v>104</v>
      </c>
      <c r="B352" s="329"/>
      <c r="C352" s="330" t="str">
        <f>'Data INPUT'!L38</f>
        <v>RAL 9010</v>
      </c>
      <c r="D352" s="331"/>
      <c r="E352" s="331"/>
      <c r="F352" s="331"/>
      <c r="G352" s="332"/>
      <c r="H352" s="333" t="s">
        <v>105</v>
      </c>
      <c r="I352" s="235"/>
      <c r="J352" s="235"/>
      <c r="K352" s="334"/>
      <c r="L352" s="146">
        <f>'Data INPUT'!L44</f>
        <v>0</v>
      </c>
      <c r="M352" s="424"/>
    </row>
    <row r="353" spans="1:13" ht="15.75">
      <c r="A353" s="327" t="s">
        <v>106</v>
      </c>
      <c r="B353" s="329"/>
      <c r="C353" s="330" t="str">
        <f>'Data INPUT'!L39</f>
        <v>RAL 9010</v>
      </c>
      <c r="D353" s="331"/>
      <c r="E353" s="331"/>
      <c r="F353" s="331"/>
      <c r="G353" s="332"/>
      <c r="H353" s="333" t="s">
        <v>107</v>
      </c>
      <c r="I353" s="235"/>
      <c r="J353" s="235"/>
      <c r="K353" s="334"/>
      <c r="L353" s="146">
        <f>'Data INPUT'!L45</f>
        <v>0</v>
      </c>
      <c r="M353" s="424"/>
    </row>
    <row r="354" spans="1:13" ht="15.75">
      <c r="A354" s="335" t="s">
        <v>108</v>
      </c>
      <c r="B354" s="336"/>
      <c r="C354" s="330" t="str">
        <f>'Data INPUT'!L40</f>
        <v>RAL 9010</v>
      </c>
      <c r="D354" s="331"/>
      <c r="E354" s="331"/>
      <c r="F354" s="331"/>
      <c r="G354" s="332"/>
      <c r="H354" s="60" t="s">
        <v>109</v>
      </c>
      <c r="I354" s="62"/>
      <c r="J354" s="25"/>
      <c r="K354" s="25"/>
      <c r="L354" s="146">
        <f>'Data INPUT'!L46</f>
        <v>0</v>
      </c>
      <c r="M354" s="424"/>
    </row>
    <row r="355" spans="1:13" ht="15.75">
      <c r="A355" s="327" t="s">
        <v>110</v>
      </c>
      <c r="B355" s="329"/>
      <c r="C355" s="330" t="str">
        <f>'Data INPUT'!L41</f>
        <v>Select</v>
      </c>
      <c r="D355" s="331"/>
      <c r="E355" s="331"/>
      <c r="F355" s="331"/>
      <c r="G355" s="332"/>
      <c r="H355" s="60" t="s">
        <v>111</v>
      </c>
      <c r="I355" s="25"/>
      <c r="J355" s="25"/>
      <c r="K355" s="61"/>
      <c r="L355" s="146">
        <f>'Data INPUT'!L47</f>
        <v>0</v>
      </c>
      <c r="M355" s="424"/>
    </row>
    <row r="356" spans="1:13" ht="15.75" customHeight="1">
      <c r="A356" s="406" t="s">
        <v>112</v>
      </c>
      <c r="B356" s="407"/>
      <c r="C356" s="148"/>
      <c r="D356" s="148"/>
      <c r="E356" s="148"/>
      <c r="F356" s="408" t="s">
        <v>115</v>
      </c>
      <c r="G356" s="409"/>
      <c r="H356" s="60" t="s">
        <v>113</v>
      </c>
      <c r="I356" s="62"/>
      <c r="J356" s="25"/>
      <c r="K356" s="25"/>
      <c r="L356" s="146">
        <f>'Data INPUT'!L48</f>
        <v>0</v>
      </c>
      <c r="M356" s="424"/>
    </row>
    <row r="357" spans="1:13" ht="15.75" customHeight="1">
      <c r="A357" s="327" t="s">
        <v>114</v>
      </c>
      <c r="B357" s="328"/>
      <c r="C357" s="328"/>
      <c r="D357" s="87"/>
      <c r="E357" s="87" t="s">
        <v>33</v>
      </c>
      <c r="F357" s="88" t="s">
        <v>33</v>
      </c>
      <c r="G357" s="89" t="s">
        <v>33</v>
      </c>
      <c r="H357" s="325"/>
      <c r="I357" s="326"/>
      <c r="J357" s="326"/>
      <c r="K357" s="74"/>
      <c r="L357" s="146" t="s">
        <v>33</v>
      </c>
      <c r="M357" s="424"/>
    </row>
    <row r="358" spans="1:13" ht="15.75" customHeight="1">
      <c r="A358" s="327" t="s">
        <v>116</v>
      </c>
      <c r="B358" s="328"/>
      <c r="C358" s="328"/>
      <c r="D358" s="328"/>
      <c r="E358" s="329"/>
      <c r="F358" s="88" t="s">
        <v>33</v>
      </c>
      <c r="G358" s="89"/>
      <c r="H358" s="60"/>
      <c r="I358" s="62"/>
      <c r="J358" s="25"/>
      <c r="K358" s="25"/>
      <c r="L358" s="146" t="s">
        <v>33</v>
      </c>
      <c r="M358" s="424"/>
    </row>
    <row r="359" spans="1:13" ht="16.5" customHeight="1" thickBot="1">
      <c r="A359" s="337" t="s">
        <v>117</v>
      </c>
      <c r="B359" s="362"/>
      <c r="C359" s="362"/>
      <c r="D359" s="362"/>
      <c r="E359" s="338"/>
      <c r="F359" s="90" t="s">
        <v>33</v>
      </c>
      <c r="G359" s="91"/>
      <c r="H359" s="363"/>
      <c r="I359" s="364"/>
      <c r="J359" s="364"/>
      <c r="K359" s="364"/>
      <c r="L359" s="147" t="s">
        <v>33</v>
      </c>
      <c r="M359" s="424"/>
    </row>
    <row r="360" spans="1:13" ht="53.25" customHeight="1" thickBot="1">
      <c r="A360" s="92" t="s">
        <v>118</v>
      </c>
      <c r="B360" s="93"/>
      <c r="C360" s="77" t="s">
        <v>119</v>
      </c>
      <c r="D360" s="82"/>
      <c r="E360" s="83"/>
      <c r="F360" s="84"/>
      <c r="G360" s="85"/>
      <c r="H360" s="402"/>
      <c r="I360" s="403"/>
      <c r="J360" s="403"/>
      <c r="K360" s="403"/>
      <c r="L360" s="404"/>
      <c r="M360" s="425"/>
    </row>
    <row r="361" spans="1:13" ht="18" customHeight="1" thickBot="1">
      <c r="A361" s="251" t="s">
        <v>69</v>
      </c>
      <c r="B361" s="252"/>
      <c r="C361" s="253">
        <f ca="1">'Data INPUT'!$B$13</f>
        <v>46222</v>
      </c>
      <c r="D361" s="254"/>
      <c r="E361" s="254"/>
      <c r="F361" s="254"/>
      <c r="G361" s="255" t="s">
        <v>7</v>
      </c>
      <c r="H361" s="255"/>
      <c r="I361" s="255"/>
      <c r="J361" s="256" t="str">
        <f>'Data INPUT'!$B$14</f>
        <v xml:space="preserve"> </v>
      </c>
      <c r="K361" s="257"/>
      <c r="L361" s="258"/>
      <c r="M361" s="420" t="s">
        <v>151</v>
      </c>
    </row>
    <row r="362" spans="1:13" ht="15.75">
      <c r="A362" s="259" t="s">
        <v>70</v>
      </c>
      <c r="B362" s="260"/>
      <c r="C362" s="261" t="str">
        <f>'Data INPUT'!$B$4</f>
        <v xml:space="preserve"> </v>
      </c>
      <c r="D362" s="262"/>
      <c r="E362" s="262"/>
      <c r="F362" s="262"/>
      <c r="G362" s="262"/>
      <c r="H362" s="262"/>
      <c r="I362" s="263"/>
      <c r="J362" s="264" t="str">
        <f>'Data INPUT'!M19</f>
        <v xml:space="preserve"> </v>
      </c>
      <c r="K362" s="265"/>
      <c r="L362" s="266"/>
      <c r="M362" s="421"/>
    </row>
    <row r="363" spans="1:13" ht="15.75">
      <c r="A363" s="232" t="s">
        <v>71</v>
      </c>
      <c r="B363" s="233"/>
      <c r="C363" s="234" t="str">
        <f>'Data INPUT'!$B$2</f>
        <v xml:space="preserve"> </v>
      </c>
      <c r="D363" s="235"/>
      <c r="E363" s="235"/>
      <c r="F363" s="235"/>
      <c r="G363" s="235"/>
      <c r="H363" s="235"/>
      <c r="I363" s="236"/>
      <c r="J363" s="237" t="str">
        <f>'Data INPUT'!M24</f>
        <v xml:space="preserve"> </v>
      </c>
      <c r="K363" s="238"/>
      <c r="L363" s="239"/>
      <c r="M363" s="421"/>
    </row>
    <row r="364" spans="1:13" ht="16.5" thickBot="1">
      <c r="A364" s="240" t="s">
        <v>0</v>
      </c>
      <c r="B364" s="241"/>
      <c r="C364" s="242" t="str">
        <f>'Data INPUT'!$B$3</f>
        <v xml:space="preserve"> </v>
      </c>
      <c r="D364" s="243"/>
      <c r="E364" s="243"/>
      <c r="F364" s="243"/>
      <c r="G364" s="243"/>
      <c r="H364" s="243"/>
      <c r="I364" s="244"/>
      <c r="J364" s="317" t="str">
        <f>'Data INPUT'!M18</f>
        <v>Curtain 10</v>
      </c>
      <c r="K364" s="318"/>
      <c r="L364" s="319"/>
      <c r="M364" s="421"/>
    </row>
    <row r="365" spans="1:13" ht="15.75">
      <c r="A365" s="245" t="str">
        <f>'Data INPUT'!M21</f>
        <v>Select</v>
      </c>
      <c r="B365" s="247" t="str">
        <f>'Data INPUT'!M25</f>
        <v>Select</v>
      </c>
      <c r="C365" s="248"/>
      <c r="D365" s="313" t="str">
        <f>'Data INPUT'!M20</f>
        <v>Select</v>
      </c>
      <c r="E365" s="313"/>
      <c r="F365" s="314"/>
      <c r="G365" s="365" t="s">
        <v>72</v>
      </c>
      <c r="H365" s="366"/>
      <c r="I365" s="366"/>
      <c r="J365" s="366"/>
      <c r="K365" s="366"/>
      <c r="L365" s="367"/>
      <c r="M365" s="421"/>
    </row>
    <row r="366" spans="1:13" ht="16.5" thickBot="1">
      <c r="A366" s="246"/>
      <c r="B366" s="249"/>
      <c r="C366" s="250"/>
      <c r="D366" s="315"/>
      <c r="E366" s="315"/>
      <c r="F366" s="316"/>
      <c r="G366" s="305" t="str">
        <f>'Data INPUT'!$B$7</f>
        <v xml:space="preserve"> </v>
      </c>
      <c r="H366" s="306"/>
      <c r="I366" s="306"/>
      <c r="J366" s="306"/>
      <c r="K366" s="306"/>
      <c r="L366" s="307"/>
      <c r="M366" s="421"/>
    </row>
    <row r="367" spans="1:13" ht="15.75">
      <c r="A367" s="259" t="s">
        <v>74</v>
      </c>
      <c r="B367" s="260"/>
      <c r="C367" s="308" t="str">
        <f>'Data INPUT'!$B$12</f>
        <v>Select</v>
      </c>
      <c r="D367" s="308"/>
      <c r="E367" s="308"/>
      <c r="F367" s="309"/>
      <c r="G367" s="305" t="str">
        <f>'Data INPUT'!$B$8</f>
        <v xml:space="preserve"> </v>
      </c>
      <c r="H367" s="306"/>
      <c r="I367" s="306"/>
      <c r="J367" s="306"/>
      <c r="K367" s="306"/>
      <c r="L367" s="307"/>
      <c r="M367" s="421"/>
    </row>
    <row r="368" spans="1:13" ht="15.75">
      <c r="A368" s="232" t="s">
        <v>75</v>
      </c>
      <c r="B368" s="233"/>
      <c r="C368" s="310" t="str">
        <f>'Data INPUT'!M23</f>
        <v>Select</v>
      </c>
      <c r="D368" s="311"/>
      <c r="E368" s="311"/>
      <c r="F368" s="312"/>
      <c r="G368" s="305" t="str">
        <f>'Data INPUT'!$B$9</f>
        <v xml:space="preserve"> </v>
      </c>
      <c r="H368" s="306"/>
      <c r="I368" s="306"/>
      <c r="J368" s="306"/>
      <c r="K368" s="306"/>
      <c r="L368" s="307"/>
      <c r="M368" s="421"/>
    </row>
    <row r="369" spans="1:13" ht="15.75">
      <c r="A369" s="270" t="s">
        <v>76</v>
      </c>
      <c r="B369" s="271"/>
      <c r="C369" s="276">
        <v>1</v>
      </c>
      <c r="D369" s="277"/>
      <c r="E369" s="277"/>
      <c r="F369" s="278"/>
      <c r="G369" s="285" t="str">
        <f>'Data INPUT'!$B$10</f>
        <v xml:space="preserve"> </v>
      </c>
      <c r="H369" s="286"/>
      <c r="I369" s="286"/>
      <c r="J369" s="286"/>
      <c r="K369" s="286"/>
      <c r="L369" s="287"/>
      <c r="M369" s="421"/>
    </row>
    <row r="370" spans="1:13" ht="15.75">
      <c r="A370" s="272"/>
      <c r="B370" s="273"/>
      <c r="C370" s="279"/>
      <c r="D370" s="280"/>
      <c r="E370" s="280"/>
      <c r="F370" s="281"/>
      <c r="G370" s="28" t="s">
        <v>77</v>
      </c>
      <c r="H370" s="29"/>
      <c r="I370" s="29"/>
      <c r="J370" s="288" t="str">
        <f>'Data INPUT'!$B$5</f>
        <v xml:space="preserve"> </v>
      </c>
      <c r="K370" s="288"/>
      <c r="L370" s="289"/>
      <c r="M370" s="421"/>
    </row>
    <row r="371" spans="1:13" ht="16.5" thickBot="1">
      <c r="A371" s="274"/>
      <c r="B371" s="275"/>
      <c r="C371" s="282"/>
      <c r="D371" s="283"/>
      <c r="E371" s="283"/>
      <c r="F371" s="284"/>
      <c r="G371" s="31" t="s">
        <v>78</v>
      </c>
      <c r="H371" s="32"/>
      <c r="I371" s="32"/>
      <c r="J371" s="290" t="str">
        <f>'Data INPUT'!$B$6</f>
        <v xml:space="preserve"> </v>
      </c>
      <c r="K371" s="290"/>
      <c r="L371" s="291"/>
      <c r="M371" s="421"/>
    </row>
    <row r="372" spans="1:13" ht="15.75">
      <c r="A372" s="292" t="s">
        <v>79</v>
      </c>
      <c r="B372" s="293"/>
      <c r="C372" s="296" t="str">
        <f>'Data INPUT'!$B$16</f>
        <v xml:space="preserve"> </v>
      </c>
      <c r="D372" s="297"/>
      <c r="E372" s="297"/>
      <c r="F372" s="297"/>
      <c r="G372" s="297"/>
      <c r="H372" s="297"/>
      <c r="I372" s="297"/>
      <c r="J372" s="297"/>
      <c r="K372" s="297"/>
      <c r="L372" s="298"/>
      <c r="M372" s="421"/>
    </row>
    <row r="373" spans="1:13" ht="15.75">
      <c r="A373" s="292"/>
      <c r="B373" s="293"/>
      <c r="C373" s="299" t="str">
        <f>'Data INPUT'!$B$17</f>
        <v xml:space="preserve"> </v>
      </c>
      <c r="D373" s="300"/>
      <c r="E373" s="300"/>
      <c r="F373" s="300"/>
      <c r="G373" s="300"/>
      <c r="H373" s="300"/>
      <c r="I373" s="300"/>
      <c r="J373" s="300"/>
      <c r="K373" s="300"/>
      <c r="L373" s="301"/>
      <c r="M373" s="421"/>
    </row>
    <row r="374" spans="1:13" ht="16.5" thickBot="1">
      <c r="A374" s="294"/>
      <c r="B374" s="295"/>
      <c r="C374" s="302" t="str">
        <f>'Data INPUT'!$B$18</f>
        <v xml:space="preserve"> </v>
      </c>
      <c r="D374" s="303"/>
      <c r="E374" s="303"/>
      <c r="F374" s="303"/>
      <c r="G374" s="303"/>
      <c r="H374" s="303"/>
      <c r="I374" s="303"/>
      <c r="J374" s="303"/>
      <c r="K374" s="303"/>
      <c r="L374" s="304"/>
      <c r="M374" s="421"/>
    </row>
    <row r="375" spans="1:13" ht="16.5" thickBot="1">
      <c r="A375" s="391" t="s">
        <v>80</v>
      </c>
      <c r="B375" s="392"/>
      <c r="C375" s="66" t="s">
        <v>42</v>
      </c>
      <c r="D375" s="66"/>
      <c r="E375" s="69" t="s">
        <v>43</v>
      </c>
      <c r="F375" s="66"/>
      <c r="G375" s="67"/>
      <c r="H375" s="275" t="s">
        <v>230</v>
      </c>
      <c r="I375" s="275"/>
      <c r="J375" s="275"/>
      <c r="K375" s="275"/>
      <c r="L375" s="393"/>
      <c r="M375" s="421"/>
    </row>
    <row r="376" spans="1:13" ht="15.75">
      <c r="A376" s="394" t="s">
        <v>81</v>
      </c>
      <c r="B376" s="395"/>
      <c r="C376" s="71" t="str">
        <f>'Data INPUT'!M26</f>
        <v xml:space="preserve"> </v>
      </c>
      <c r="D376" s="72" t="s">
        <v>82</v>
      </c>
      <c r="E376" s="70" t="str">
        <f>'Data INPUT'!M27</f>
        <v xml:space="preserve"> </v>
      </c>
      <c r="F376" s="73"/>
      <c r="G376" s="33"/>
      <c r="H376" s="396"/>
      <c r="I376" s="397"/>
      <c r="J376" s="397"/>
      <c r="K376" s="397"/>
      <c r="L376" s="398"/>
      <c r="M376" s="421"/>
    </row>
    <row r="377" spans="1:13" ht="15.75">
      <c r="A377" s="34" t="s">
        <v>83</v>
      </c>
      <c r="B377" s="35" t="str">
        <f>D378</f>
        <v>Select</v>
      </c>
      <c r="C377" s="65" t="str">
        <f>C376</f>
        <v xml:space="preserve"> </v>
      </c>
      <c r="D377" s="37"/>
      <c r="E377" s="36"/>
      <c r="F377" s="38"/>
      <c r="G377" s="38"/>
      <c r="H377" s="399" t="s">
        <v>84</v>
      </c>
      <c r="I377" s="400"/>
      <c r="J377" s="400"/>
      <c r="K377" s="400"/>
      <c r="L377" s="401"/>
      <c r="M377" s="421"/>
    </row>
    <row r="378" spans="1:13" ht="15.75">
      <c r="A378" s="39" t="s">
        <v>85</v>
      </c>
      <c r="B378" s="35" t="str">
        <f>D378</f>
        <v>Select</v>
      </c>
      <c r="C378" s="68" t="s">
        <v>33</v>
      </c>
      <c r="D378" s="37" t="str">
        <f>'Data INPUT'!M28</f>
        <v>Select</v>
      </c>
      <c r="E378" s="37"/>
      <c r="F378" s="37"/>
      <c r="G378" s="53"/>
      <c r="H378" s="267" t="s">
        <v>33</v>
      </c>
      <c r="I378" s="268"/>
      <c r="J378" s="268"/>
      <c r="K378" s="268"/>
      <c r="L378" s="269"/>
      <c r="M378" s="421"/>
    </row>
    <row r="379" spans="1:13" ht="16.5" thickBot="1">
      <c r="A379" s="40" t="s">
        <v>86</v>
      </c>
      <c r="B379" s="41" t="str">
        <f>'Data INPUT'!M29</f>
        <v>Standard</v>
      </c>
      <c r="C379" s="72" t="e">
        <f>E376-D378+10</f>
        <v>#VALUE!</v>
      </c>
      <c r="D379" s="42" t="s">
        <v>82</v>
      </c>
      <c r="E379" s="30">
        <v>100</v>
      </c>
      <c r="F379" s="42" t="s">
        <v>82</v>
      </c>
      <c r="G379" s="42">
        <v>53</v>
      </c>
      <c r="H379" s="373"/>
      <c r="I379" s="374"/>
      <c r="J379" s="374"/>
      <c r="K379" s="374"/>
      <c r="L379" s="375"/>
      <c r="M379" s="421"/>
    </row>
    <row r="380" spans="1:13" ht="15.75">
      <c r="A380" s="43" t="s">
        <v>87</v>
      </c>
      <c r="B380" s="44" t="s">
        <v>88</v>
      </c>
      <c r="C380" s="45" t="e">
        <f>C381</f>
        <v>#VALUE!</v>
      </c>
      <c r="D380" s="45" t="s">
        <v>82</v>
      </c>
      <c r="E380" s="140">
        <v>1</v>
      </c>
      <c r="F380" s="46"/>
      <c r="G380" s="46"/>
      <c r="H380" s="376" t="s">
        <v>89</v>
      </c>
      <c r="I380" s="377"/>
      <c r="J380" s="377"/>
      <c r="K380" s="377"/>
      <c r="L380" s="378"/>
      <c r="M380" s="421"/>
    </row>
    <row r="381" spans="1:13" ht="16.5" thickBot="1">
      <c r="A381" s="47" t="s">
        <v>90</v>
      </c>
      <c r="B381" s="48"/>
      <c r="C381" s="49" t="e">
        <f>C376-180</f>
        <v>#VALUE!</v>
      </c>
      <c r="D381" s="49" t="s">
        <v>82</v>
      </c>
      <c r="E381" s="137">
        <v>1</v>
      </c>
      <c r="F381" s="50"/>
      <c r="G381" s="50"/>
      <c r="H381" s="379"/>
      <c r="I381" s="380"/>
      <c r="J381" s="380"/>
      <c r="K381" s="380"/>
      <c r="L381" s="381"/>
      <c r="M381" s="421"/>
    </row>
    <row r="382" spans="1:13" ht="15.75">
      <c r="A382" s="382" t="s">
        <v>91</v>
      </c>
      <c r="B382" s="383"/>
      <c r="C382" s="52" t="e">
        <f>C376-230</f>
        <v>#VALUE!</v>
      </c>
      <c r="D382" s="384" t="s">
        <v>33</v>
      </c>
      <c r="E382" s="384"/>
      <c r="F382" s="384"/>
      <c r="G382" s="385"/>
      <c r="H382" s="386" t="s">
        <v>92</v>
      </c>
      <c r="I382" s="366"/>
      <c r="J382" s="366"/>
      <c r="K382" s="366"/>
      <c r="L382" s="367"/>
      <c r="M382" s="421"/>
    </row>
    <row r="383" spans="1:13" ht="16.5" thickBot="1">
      <c r="A383" s="387" t="s">
        <v>135</v>
      </c>
      <c r="B383" s="388"/>
      <c r="C383" s="37" t="e">
        <f>C384</f>
        <v>#VALUE!</v>
      </c>
      <c r="D383" s="389"/>
      <c r="E383" s="389"/>
      <c r="F383" s="389"/>
      <c r="G383" s="390"/>
      <c r="H383" s="373"/>
      <c r="I383" s="374"/>
      <c r="J383" s="374"/>
      <c r="K383" s="374"/>
      <c r="L383" s="375"/>
      <c r="M383" s="421"/>
    </row>
    <row r="384" spans="1:13" ht="15.75">
      <c r="A384" s="370" t="s">
        <v>73</v>
      </c>
      <c r="B384" s="371"/>
      <c r="C384" s="52" t="e">
        <f>C376-100</f>
        <v>#VALUE!</v>
      </c>
      <c r="D384" s="52" t="s">
        <v>82</v>
      </c>
      <c r="E384" s="51" t="e">
        <f>E376+300</f>
        <v>#VALUE!</v>
      </c>
      <c r="F384" s="52"/>
      <c r="G384" s="54"/>
      <c r="H384" s="351" t="s">
        <v>93</v>
      </c>
      <c r="I384" s="352"/>
      <c r="J384" s="352"/>
      <c r="K384" s="352"/>
      <c r="L384" s="353"/>
      <c r="M384" s="421"/>
    </row>
    <row r="385" spans="1:13" ht="16.5" thickBot="1">
      <c r="A385" s="294"/>
      <c r="B385" s="372"/>
      <c r="C385" s="354" t="s">
        <v>136</v>
      </c>
      <c r="D385" s="355"/>
      <c r="E385" s="355"/>
      <c r="F385" s="355"/>
      <c r="G385" s="356"/>
      <c r="H385" s="357" t="s">
        <v>94</v>
      </c>
      <c r="I385" s="358"/>
      <c r="J385" s="358"/>
      <c r="K385" s="358"/>
      <c r="L385" s="359"/>
      <c r="M385" s="421"/>
    </row>
    <row r="386" spans="1:13" ht="16.5" thickBot="1">
      <c r="A386" s="360" t="s">
        <v>95</v>
      </c>
      <c r="B386" s="361"/>
      <c r="C386" s="55" t="s">
        <v>33</v>
      </c>
      <c r="D386" s="75" t="s">
        <v>96</v>
      </c>
      <c r="E386" s="75" t="s">
        <v>33</v>
      </c>
      <c r="F386" s="75" t="s">
        <v>97</v>
      </c>
      <c r="G386" s="56" t="s">
        <v>33</v>
      </c>
      <c r="H386" s="368" t="s">
        <v>141</v>
      </c>
      <c r="I386" s="369"/>
      <c r="J386" s="369"/>
      <c r="K386" s="57">
        <v>300</v>
      </c>
      <c r="L386" s="144" t="s">
        <v>98</v>
      </c>
      <c r="M386" s="421"/>
    </row>
    <row r="387" spans="1:13" ht="15.75">
      <c r="A387" s="345" t="s">
        <v>99</v>
      </c>
      <c r="B387" s="346"/>
      <c r="C387" s="405" t="str">
        <f>'Data INPUT'!M34</f>
        <v>Select</v>
      </c>
      <c r="D387" s="384"/>
      <c r="E387" s="384"/>
      <c r="F387" s="384"/>
      <c r="G387" s="385"/>
      <c r="H387" s="27" t="s">
        <v>100</v>
      </c>
      <c r="I387" s="265"/>
      <c r="J387" s="265"/>
      <c r="K387" s="265"/>
      <c r="L387" s="266"/>
      <c r="M387" s="421"/>
    </row>
    <row r="388" spans="1:13" ht="16.5" thickBot="1">
      <c r="A388" s="274" t="s">
        <v>62</v>
      </c>
      <c r="B388" s="347"/>
      <c r="C388" s="322" t="str">
        <f>'Data INPUT'!M36</f>
        <v>Select</v>
      </c>
      <c r="D388" s="323"/>
      <c r="E388" s="323"/>
      <c r="F388" s="323"/>
      <c r="G388" s="324"/>
      <c r="H388" s="32"/>
      <c r="I388" s="320"/>
      <c r="J388" s="320"/>
      <c r="K388" s="320"/>
      <c r="L388" s="321"/>
      <c r="M388" s="421"/>
    </row>
    <row r="389" spans="1:13" ht="16.5" thickBot="1">
      <c r="A389" s="348" t="s">
        <v>101</v>
      </c>
      <c r="B389" s="349"/>
      <c r="C389" s="76" t="str">
        <f>'Data INPUT'!M35</f>
        <v>CSV x1</v>
      </c>
      <c r="D389" s="72" t="s">
        <v>33</v>
      </c>
      <c r="E389" s="306" t="s">
        <v>33</v>
      </c>
      <c r="F389" s="306"/>
      <c r="G389" s="350"/>
      <c r="H389" s="32" t="s">
        <v>100</v>
      </c>
      <c r="I389" s="58"/>
      <c r="J389" s="58"/>
      <c r="K389" s="58"/>
      <c r="L389" s="94"/>
      <c r="M389" s="421"/>
    </row>
    <row r="390" spans="1:13" ht="15.75">
      <c r="A390" s="342" t="s">
        <v>137</v>
      </c>
      <c r="B390" s="343"/>
      <c r="C390" s="343"/>
      <c r="D390" s="343"/>
      <c r="E390" s="343"/>
      <c r="F390" s="343"/>
      <c r="G390" s="343"/>
      <c r="H390" s="26" t="s">
        <v>102</v>
      </c>
      <c r="I390" s="59"/>
      <c r="J390" s="24"/>
      <c r="K390" s="24"/>
      <c r="L390" s="145">
        <f>'Data INPUT'!M42</f>
        <v>1</v>
      </c>
      <c r="M390" s="421"/>
    </row>
    <row r="391" spans="1:13" ht="15.75">
      <c r="A391" s="335" t="s">
        <v>65</v>
      </c>
      <c r="B391" s="336"/>
      <c r="C391" s="330" t="str">
        <f>'Data INPUT'!M37</f>
        <v>RAL 9010</v>
      </c>
      <c r="D391" s="331"/>
      <c r="E391" s="331"/>
      <c r="F391" s="331"/>
      <c r="G391" s="332"/>
      <c r="H391" s="333" t="s">
        <v>103</v>
      </c>
      <c r="I391" s="235"/>
      <c r="J391" s="235"/>
      <c r="K391" s="334"/>
      <c r="L391" s="146">
        <f>'Data INPUT'!M43</f>
        <v>0</v>
      </c>
      <c r="M391" s="421"/>
    </row>
    <row r="392" spans="1:13" ht="15.75">
      <c r="A392" s="327" t="s">
        <v>104</v>
      </c>
      <c r="B392" s="329"/>
      <c r="C392" s="330" t="str">
        <f>'Data INPUT'!M38</f>
        <v>RAL 9010</v>
      </c>
      <c r="D392" s="331"/>
      <c r="E392" s="331"/>
      <c r="F392" s="331"/>
      <c r="G392" s="332"/>
      <c r="H392" s="333" t="s">
        <v>105</v>
      </c>
      <c r="I392" s="235"/>
      <c r="J392" s="235"/>
      <c r="K392" s="334"/>
      <c r="L392" s="146">
        <f>'Data INPUT'!M44</f>
        <v>0</v>
      </c>
      <c r="M392" s="421"/>
    </row>
    <row r="393" spans="1:13" ht="15.75">
      <c r="A393" s="327" t="s">
        <v>106</v>
      </c>
      <c r="B393" s="329"/>
      <c r="C393" s="330" t="str">
        <f>'Data INPUT'!M39</f>
        <v>RAL 9010</v>
      </c>
      <c r="D393" s="331"/>
      <c r="E393" s="331"/>
      <c r="F393" s="331"/>
      <c r="G393" s="332"/>
      <c r="H393" s="333" t="s">
        <v>107</v>
      </c>
      <c r="I393" s="235"/>
      <c r="J393" s="235"/>
      <c r="K393" s="334"/>
      <c r="L393" s="146">
        <f>'Data INPUT'!M45</f>
        <v>0</v>
      </c>
      <c r="M393" s="421"/>
    </row>
    <row r="394" spans="1:13" ht="15.75">
      <c r="A394" s="335" t="s">
        <v>108</v>
      </c>
      <c r="B394" s="336"/>
      <c r="C394" s="330" t="str">
        <f>'Data INPUT'!M40</f>
        <v>RAL 9010</v>
      </c>
      <c r="D394" s="331"/>
      <c r="E394" s="331"/>
      <c r="F394" s="331"/>
      <c r="G394" s="332"/>
      <c r="H394" s="60" t="s">
        <v>109</v>
      </c>
      <c r="I394" s="62"/>
      <c r="J394" s="25"/>
      <c r="K394" s="25"/>
      <c r="L394" s="146">
        <f>'Data INPUT'!M46</f>
        <v>0</v>
      </c>
      <c r="M394" s="421"/>
    </row>
    <row r="395" spans="1:13" ht="15.75">
      <c r="A395" s="327" t="s">
        <v>110</v>
      </c>
      <c r="B395" s="329"/>
      <c r="C395" s="330" t="str">
        <f>'Data INPUT'!M41</f>
        <v>Select</v>
      </c>
      <c r="D395" s="331"/>
      <c r="E395" s="331"/>
      <c r="F395" s="331"/>
      <c r="G395" s="332"/>
      <c r="H395" s="60" t="s">
        <v>111</v>
      </c>
      <c r="I395" s="25"/>
      <c r="J395" s="25"/>
      <c r="K395" s="61"/>
      <c r="L395" s="146">
        <f>'Data INPUT'!M47</f>
        <v>0</v>
      </c>
      <c r="M395" s="421"/>
    </row>
    <row r="396" spans="1:13" ht="15.75" customHeight="1">
      <c r="A396" s="406" t="s">
        <v>112</v>
      </c>
      <c r="B396" s="407"/>
      <c r="C396" s="148"/>
      <c r="D396" s="148"/>
      <c r="E396" s="148"/>
      <c r="F396" s="408" t="s">
        <v>115</v>
      </c>
      <c r="G396" s="409"/>
      <c r="H396" s="60" t="s">
        <v>113</v>
      </c>
      <c r="I396" s="62"/>
      <c r="J396" s="25"/>
      <c r="K396" s="25"/>
      <c r="L396" s="146">
        <f>'Data INPUT'!M48</f>
        <v>0</v>
      </c>
      <c r="M396" s="421"/>
    </row>
    <row r="397" spans="1:13" ht="15.75" customHeight="1">
      <c r="A397" s="327" t="s">
        <v>114</v>
      </c>
      <c r="B397" s="328"/>
      <c r="C397" s="328"/>
      <c r="D397" s="87"/>
      <c r="E397" s="87" t="s">
        <v>33</v>
      </c>
      <c r="F397" s="88" t="s">
        <v>33</v>
      </c>
      <c r="G397" s="89" t="s">
        <v>33</v>
      </c>
      <c r="H397" s="325"/>
      <c r="I397" s="326"/>
      <c r="J397" s="326"/>
      <c r="K397" s="74"/>
      <c r="L397" s="146" t="s">
        <v>33</v>
      </c>
      <c r="M397" s="421"/>
    </row>
    <row r="398" spans="1:13" ht="15.75" customHeight="1">
      <c r="A398" s="327" t="s">
        <v>116</v>
      </c>
      <c r="B398" s="328"/>
      <c r="C398" s="328"/>
      <c r="D398" s="328"/>
      <c r="E398" s="329"/>
      <c r="F398" s="88" t="s">
        <v>33</v>
      </c>
      <c r="G398" s="89"/>
      <c r="H398" s="60"/>
      <c r="I398" s="62"/>
      <c r="J398" s="25"/>
      <c r="K398" s="25"/>
      <c r="L398" s="146" t="s">
        <v>33</v>
      </c>
      <c r="M398" s="421"/>
    </row>
    <row r="399" spans="1:13" ht="16.5" customHeight="1" thickBot="1">
      <c r="A399" s="337" t="s">
        <v>117</v>
      </c>
      <c r="B399" s="362"/>
      <c r="C399" s="362"/>
      <c r="D399" s="362"/>
      <c r="E399" s="338"/>
      <c r="F399" s="90" t="s">
        <v>33</v>
      </c>
      <c r="G399" s="91"/>
      <c r="H399" s="363"/>
      <c r="I399" s="364"/>
      <c r="J399" s="364"/>
      <c r="K399" s="364"/>
      <c r="L399" s="147" t="s">
        <v>33</v>
      </c>
      <c r="M399" s="421"/>
    </row>
    <row r="400" spans="1:13" ht="45.75" customHeight="1" thickBot="1">
      <c r="A400" s="92" t="s">
        <v>118</v>
      </c>
      <c r="B400" s="93"/>
      <c r="C400" s="77" t="s">
        <v>119</v>
      </c>
      <c r="D400" s="82"/>
      <c r="E400" s="83"/>
      <c r="F400" s="84"/>
      <c r="G400" s="85"/>
      <c r="H400" s="402"/>
      <c r="I400" s="403"/>
      <c r="J400" s="403"/>
      <c r="K400" s="403"/>
      <c r="L400" s="404"/>
      <c r="M400" s="422"/>
    </row>
    <row r="401" spans="1:13" ht="18" customHeight="1" thickBot="1">
      <c r="A401" s="251" t="s">
        <v>69</v>
      </c>
      <c r="B401" s="252"/>
      <c r="C401" s="253">
        <f ca="1">'Data INPUT'!$B$13</f>
        <v>46222</v>
      </c>
      <c r="D401" s="254"/>
      <c r="E401" s="254"/>
      <c r="F401" s="254"/>
      <c r="G401" s="255" t="s">
        <v>7</v>
      </c>
      <c r="H401" s="255"/>
      <c r="I401" s="255"/>
      <c r="J401" s="256" t="str">
        <f>'Data INPUT'!$B$14</f>
        <v xml:space="preserve"> </v>
      </c>
      <c r="K401" s="257"/>
      <c r="L401" s="258"/>
      <c r="M401" s="423" t="s">
        <v>152</v>
      </c>
    </row>
    <row r="402" spans="1:13" ht="15.75">
      <c r="A402" s="259" t="s">
        <v>70</v>
      </c>
      <c r="B402" s="260"/>
      <c r="C402" s="261" t="str">
        <f>'Data INPUT'!$B$4</f>
        <v xml:space="preserve"> </v>
      </c>
      <c r="D402" s="262"/>
      <c r="E402" s="262"/>
      <c r="F402" s="262"/>
      <c r="G402" s="262"/>
      <c r="H402" s="262"/>
      <c r="I402" s="263"/>
      <c r="J402" s="264" t="str">
        <f>'Data INPUT'!N19</f>
        <v xml:space="preserve"> </v>
      </c>
      <c r="K402" s="265"/>
      <c r="L402" s="266"/>
      <c r="M402" s="424"/>
    </row>
    <row r="403" spans="1:13" ht="15.75">
      <c r="A403" s="232" t="s">
        <v>71</v>
      </c>
      <c r="B403" s="233"/>
      <c r="C403" s="234" t="str">
        <f>'Data INPUT'!$B$2</f>
        <v xml:space="preserve"> </v>
      </c>
      <c r="D403" s="235"/>
      <c r="E403" s="235"/>
      <c r="F403" s="235"/>
      <c r="G403" s="235"/>
      <c r="H403" s="235"/>
      <c r="I403" s="236"/>
      <c r="J403" s="237" t="str">
        <f>'Data INPUT'!N24</f>
        <v xml:space="preserve"> </v>
      </c>
      <c r="K403" s="238"/>
      <c r="L403" s="239"/>
      <c r="M403" s="424"/>
    </row>
    <row r="404" spans="1:13" ht="16.5" thickBot="1">
      <c r="A404" s="240" t="s">
        <v>0</v>
      </c>
      <c r="B404" s="241"/>
      <c r="C404" s="242" t="str">
        <f>'Data INPUT'!$B$3</f>
        <v xml:space="preserve"> </v>
      </c>
      <c r="D404" s="243"/>
      <c r="E404" s="243"/>
      <c r="F404" s="243"/>
      <c r="G404" s="243"/>
      <c r="H404" s="243"/>
      <c r="I404" s="244"/>
      <c r="J404" s="317" t="str">
        <f>'Data INPUT'!N18</f>
        <v>Curtain 11</v>
      </c>
      <c r="K404" s="318"/>
      <c r="L404" s="319"/>
      <c r="M404" s="424"/>
    </row>
    <row r="405" spans="1:13" ht="15.75">
      <c r="A405" s="245" t="str">
        <f>'Data INPUT'!N21</f>
        <v>Select</v>
      </c>
      <c r="B405" s="247" t="str">
        <f>'Data INPUT'!N25</f>
        <v>Select</v>
      </c>
      <c r="C405" s="248"/>
      <c r="D405" s="313" t="str">
        <f>'Data INPUT'!N20</f>
        <v>Select</v>
      </c>
      <c r="E405" s="313"/>
      <c r="F405" s="314"/>
      <c r="G405" s="365" t="s">
        <v>72</v>
      </c>
      <c r="H405" s="366"/>
      <c r="I405" s="366"/>
      <c r="J405" s="366"/>
      <c r="K405" s="366"/>
      <c r="L405" s="367"/>
      <c r="M405" s="424"/>
    </row>
    <row r="406" spans="1:13" ht="16.5" thickBot="1">
      <c r="A406" s="246"/>
      <c r="B406" s="249"/>
      <c r="C406" s="250"/>
      <c r="D406" s="315"/>
      <c r="E406" s="315"/>
      <c r="F406" s="316"/>
      <c r="G406" s="305" t="str">
        <f>'Data INPUT'!$B$7</f>
        <v xml:space="preserve"> </v>
      </c>
      <c r="H406" s="306"/>
      <c r="I406" s="306"/>
      <c r="J406" s="306"/>
      <c r="K406" s="306"/>
      <c r="L406" s="307"/>
      <c r="M406" s="424"/>
    </row>
    <row r="407" spans="1:13" ht="15.75">
      <c r="A407" s="259" t="s">
        <v>74</v>
      </c>
      <c r="B407" s="260"/>
      <c r="C407" s="308" t="str">
        <f>'Data INPUT'!$B$12</f>
        <v>Select</v>
      </c>
      <c r="D407" s="308"/>
      <c r="E407" s="308"/>
      <c r="F407" s="309"/>
      <c r="G407" s="305" t="str">
        <f>'Data INPUT'!$B$8</f>
        <v xml:space="preserve"> </v>
      </c>
      <c r="H407" s="306"/>
      <c r="I407" s="306"/>
      <c r="J407" s="306"/>
      <c r="K407" s="306"/>
      <c r="L407" s="307"/>
      <c r="M407" s="424"/>
    </row>
    <row r="408" spans="1:13" ht="15.75">
      <c r="A408" s="232" t="s">
        <v>75</v>
      </c>
      <c r="B408" s="233"/>
      <c r="C408" s="310" t="str">
        <f>'Data INPUT'!N23</f>
        <v>Select</v>
      </c>
      <c r="D408" s="311"/>
      <c r="E408" s="311"/>
      <c r="F408" s="312"/>
      <c r="G408" s="305" t="str">
        <f>'Data INPUT'!$B$9</f>
        <v xml:space="preserve"> </v>
      </c>
      <c r="H408" s="306"/>
      <c r="I408" s="306"/>
      <c r="J408" s="306"/>
      <c r="K408" s="306"/>
      <c r="L408" s="307"/>
      <c r="M408" s="424"/>
    </row>
    <row r="409" spans="1:13" ht="15.75">
      <c r="A409" s="270" t="s">
        <v>76</v>
      </c>
      <c r="B409" s="271"/>
      <c r="C409" s="276">
        <v>1</v>
      </c>
      <c r="D409" s="277"/>
      <c r="E409" s="277"/>
      <c r="F409" s="278"/>
      <c r="G409" s="285" t="str">
        <f>'Data INPUT'!$B$10</f>
        <v xml:space="preserve"> </v>
      </c>
      <c r="H409" s="286"/>
      <c r="I409" s="286"/>
      <c r="J409" s="286"/>
      <c r="K409" s="286"/>
      <c r="L409" s="287"/>
      <c r="M409" s="424"/>
    </row>
    <row r="410" spans="1:13" ht="15.75">
      <c r="A410" s="272"/>
      <c r="B410" s="273"/>
      <c r="C410" s="279"/>
      <c r="D410" s="280"/>
      <c r="E410" s="280"/>
      <c r="F410" s="281"/>
      <c r="G410" s="28" t="s">
        <v>77</v>
      </c>
      <c r="H410" s="29"/>
      <c r="I410" s="29"/>
      <c r="J410" s="288" t="str">
        <f>'Data INPUT'!$B$5</f>
        <v xml:space="preserve"> </v>
      </c>
      <c r="K410" s="288"/>
      <c r="L410" s="289"/>
      <c r="M410" s="424"/>
    </row>
    <row r="411" spans="1:13" ht="16.5" thickBot="1">
      <c r="A411" s="274"/>
      <c r="B411" s="275"/>
      <c r="C411" s="282"/>
      <c r="D411" s="283"/>
      <c r="E411" s="283"/>
      <c r="F411" s="284"/>
      <c r="G411" s="31" t="s">
        <v>78</v>
      </c>
      <c r="H411" s="32"/>
      <c r="I411" s="32"/>
      <c r="J411" s="290" t="str">
        <f>'Data INPUT'!$B$6</f>
        <v xml:space="preserve"> </v>
      </c>
      <c r="K411" s="290"/>
      <c r="L411" s="291"/>
      <c r="M411" s="424"/>
    </row>
    <row r="412" spans="1:13" ht="15.75">
      <c r="A412" s="292" t="s">
        <v>79</v>
      </c>
      <c r="B412" s="293"/>
      <c r="C412" s="296" t="str">
        <f>'Data INPUT'!$B$16</f>
        <v xml:space="preserve"> </v>
      </c>
      <c r="D412" s="297"/>
      <c r="E412" s="297"/>
      <c r="F412" s="297"/>
      <c r="G412" s="297"/>
      <c r="H412" s="297"/>
      <c r="I412" s="297"/>
      <c r="J412" s="297"/>
      <c r="K412" s="297"/>
      <c r="L412" s="298"/>
      <c r="M412" s="424"/>
    </row>
    <row r="413" spans="1:13" ht="15.75">
      <c r="A413" s="292"/>
      <c r="B413" s="293"/>
      <c r="C413" s="299" t="str">
        <f>'Data INPUT'!$B$17</f>
        <v xml:space="preserve"> </v>
      </c>
      <c r="D413" s="300"/>
      <c r="E413" s="300"/>
      <c r="F413" s="300"/>
      <c r="G413" s="300"/>
      <c r="H413" s="300"/>
      <c r="I413" s="300"/>
      <c r="J413" s="300"/>
      <c r="K413" s="300"/>
      <c r="L413" s="301"/>
      <c r="M413" s="424"/>
    </row>
    <row r="414" spans="1:13" ht="16.5" thickBot="1">
      <c r="A414" s="294"/>
      <c r="B414" s="295"/>
      <c r="C414" s="302" t="str">
        <f>'Data INPUT'!$B$18</f>
        <v xml:space="preserve"> </v>
      </c>
      <c r="D414" s="303"/>
      <c r="E414" s="303"/>
      <c r="F414" s="303"/>
      <c r="G414" s="303"/>
      <c r="H414" s="303"/>
      <c r="I414" s="303"/>
      <c r="J414" s="303"/>
      <c r="K414" s="303"/>
      <c r="L414" s="304"/>
      <c r="M414" s="424"/>
    </row>
    <row r="415" spans="1:13" ht="16.5" thickBot="1">
      <c r="A415" s="391" t="s">
        <v>80</v>
      </c>
      <c r="B415" s="392"/>
      <c r="C415" s="66" t="s">
        <v>42</v>
      </c>
      <c r="D415" s="66"/>
      <c r="E415" s="69" t="s">
        <v>43</v>
      </c>
      <c r="F415" s="66"/>
      <c r="G415" s="67"/>
      <c r="H415" s="275" t="s">
        <v>230</v>
      </c>
      <c r="I415" s="275"/>
      <c r="J415" s="275"/>
      <c r="K415" s="275"/>
      <c r="L415" s="393"/>
      <c r="M415" s="424"/>
    </row>
    <row r="416" spans="1:13" ht="15.75">
      <c r="A416" s="394" t="s">
        <v>81</v>
      </c>
      <c r="B416" s="395"/>
      <c r="C416" s="71" t="str">
        <f>'Data INPUT'!N26</f>
        <v xml:space="preserve"> </v>
      </c>
      <c r="D416" s="72" t="s">
        <v>82</v>
      </c>
      <c r="E416" s="70" t="str">
        <f>'Data INPUT'!N27</f>
        <v xml:space="preserve"> </v>
      </c>
      <c r="F416" s="73"/>
      <c r="G416" s="33"/>
      <c r="H416" s="396"/>
      <c r="I416" s="397"/>
      <c r="J416" s="397"/>
      <c r="K416" s="397"/>
      <c r="L416" s="398"/>
      <c r="M416" s="424"/>
    </row>
    <row r="417" spans="1:13" ht="15.75">
      <c r="A417" s="34" t="s">
        <v>83</v>
      </c>
      <c r="B417" s="35" t="str">
        <f>D418</f>
        <v>Select</v>
      </c>
      <c r="C417" s="65" t="str">
        <f>C416</f>
        <v xml:space="preserve"> </v>
      </c>
      <c r="D417" s="37"/>
      <c r="E417" s="36"/>
      <c r="F417" s="38"/>
      <c r="G417" s="38"/>
      <c r="H417" s="399" t="s">
        <v>84</v>
      </c>
      <c r="I417" s="400"/>
      <c r="J417" s="400"/>
      <c r="K417" s="400"/>
      <c r="L417" s="401"/>
      <c r="M417" s="424"/>
    </row>
    <row r="418" spans="1:13" ht="15.75">
      <c r="A418" s="39" t="s">
        <v>85</v>
      </c>
      <c r="B418" s="35" t="str">
        <f>D418</f>
        <v>Select</v>
      </c>
      <c r="C418" s="68" t="s">
        <v>33</v>
      </c>
      <c r="D418" s="37" t="str">
        <f>'Data INPUT'!N28</f>
        <v>Select</v>
      </c>
      <c r="E418" s="37"/>
      <c r="F418" s="37"/>
      <c r="G418" s="53"/>
      <c r="H418" s="267" t="s">
        <v>33</v>
      </c>
      <c r="I418" s="268"/>
      <c r="J418" s="268"/>
      <c r="K418" s="268"/>
      <c r="L418" s="269"/>
      <c r="M418" s="424"/>
    </row>
    <row r="419" spans="1:13" ht="16.5" thickBot="1">
      <c r="A419" s="40" t="s">
        <v>86</v>
      </c>
      <c r="B419" s="41" t="str">
        <f>'Data INPUT'!N29</f>
        <v>Standard</v>
      </c>
      <c r="C419" s="72" t="e">
        <f>E416-D418+10</f>
        <v>#VALUE!</v>
      </c>
      <c r="D419" s="42" t="s">
        <v>82</v>
      </c>
      <c r="E419" s="30">
        <v>100</v>
      </c>
      <c r="F419" s="42" t="s">
        <v>82</v>
      </c>
      <c r="G419" s="42">
        <v>53</v>
      </c>
      <c r="H419" s="373"/>
      <c r="I419" s="374"/>
      <c r="J419" s="374"/>
      <c r="K419" s="374"/>
      <c r="L419" s="375"/>
      <c r="M419" s="424"/>
    </row>
    <row r="420" spans="1:13" ht="15.75">
      <c r="A420" s="43" t="s">
        <v>87</v>
      </c>
      <c r="B420" s="44" t="s">
        <v>88</v>
      </c>
      <c r="C420" s="45" t="e">
        <f>C421</f>
        <v>#VALUE!</v>
      </c>
      <c r="D420" s="45" t="s">
        <v>82</v>
      </c>
      <c r="E420" s="140">
        <v>1</v>
      </c>
      <c r="F420" s="46"/>
      <c r="G420" s="46"/>
      <c r="H420" s="376" t="s">
        <v>89</v>
      </c>
      <c r="I420" s="377"/>
      <c r="J420" s="377"/>
      <c r="K420" s="377"/>
      <c r="L420" s="378"/>
      <c r="M420" s="424"/>
    </row>
    <row r="421" spans="1:13" ht="16.5" thickBot="1">
      <c r="A421" s="47" t="s">
        <v>90</v>
      </c>
      <c r="B421" s="48"/>
      <c r="C421" s="49" t="e">
        <f>C416-180</f>
        <v>#VALUE!</v>
      </c>
      <c r="D421" s="49" t="s">
        <v>82</v>
      </c>
      <c r="E421" s="137">
        <v>1</v>
      </c>
      <c r="F421" s="50"/>
      <c r="G421" s="50"/>
      <c r="H421" s="379"/>
      <c r="I421" s="380"/>
      <c r="J421" s="380"/>
      <c r="K421" s="380"/>
      <c r="L421" s="381"/>
      <c r="M421" s="424"/>
    </row>
    <row r="422" spans="1:13" ht="15.75">
      <c r="A422" s="382" t="s">
        <v>91</v>
      </c>
      <c r="B422" s="383"/>
      <c r="C422" s="52" t="e">
        <f>C416-230</f>
        <v>#VALUE!</v>
      </c>
      <c r="D422" s="384" t="s">
        <v>33</v>
      </c>
      <c r="E422" s="384"/>
      <c r="F422" s="384"/>
      <c r="G422" s="385"/>
      <c r="H422" s="386" t="s">
        <v>92</v>
      </c>
      <c r="I422" s="366"/>
      <c r="J422" s="366"/>
      <c r="K422" s="366"/>
      <c r="L422" s="367"/>
      <c r="M422" s="424"/>
    </row>
    <row r="423" spans="1:13" ht="16.5" thickBot="1">
      <c r="A423" s="387" t="s">
        <v>135</v>
      </c>
      <c r="B423" s="388"/>
      <c r="C423" s="37" t="e">
        <f>C424</f>
        <v>#VALUE!</v>
      </c>
      <c r="D423" s="389"/>
      <c r="E423" s="389"/>
      <c r="F423" s="389"/>
      <c r="G423" s="390"/>
      <c r="H423" s="373"/>
      <c r="I423" s="374"/>
      <c r="J423" s="374"/>
      <c r="K423" s="374"/>
      <c r="L423" s="375"/>
      <c r="M423" s="424"/>
    </row>
    <row r="424" spans="1:13" ht="15.75">
      <c r="A424" s="370" t="s">
        <v>73</v>
      </c>
      <c r="B424" s="371"/>
      <c r="C424" s="52" t="e">
        <f>C416-100</f>
        <v>#VALUE!</v>
      </c>
      <c r="D424" s="52" t="s">
        <v>82</v>
      </c>
      <c r="E424" s="51" t="e">
        <f>E416+300</f>
        <v>#VALUE!</v>
      </c>
      <c r="F424" s="52"/>
      <c r="G424" s="54"/>
      <c r="H424" s="351" t="s">
        <v>93</v>
      </c>
      <c r="I424" s="352"/>
      <c r="J424" s="352"/>
      <c r="K424" s="352"/>
      <c r="L424" s="353"/>
      <c r="M424" s="424"/>
    </row>
    <row r="425" spans="1:13" ht="16.5" thickBot="1">
      <c r="A425" s="294"/>
      <c r="B425" s="372"/>
      <c r="C425" s="354" t="s">
        <v>136</v>
      </c>
      <c r="D425" s="355"/>
      <c r="E425" s="355"/>
      <c r="F425" s="355"/>
      <c r="G425" s="356"/>
      <c r="H425" s="357" t="s">
        <v>94</v>
      </c>
      <c r="I425" s="358"/>
      <c r="J425" s="358"/>
      <c r="K425" s="358"/>
      <c r="L425" s="359"/>
      <c r="M425" s="424"/>
    </row>
    <row r="426" spans="1:13" ht="16.5" thickBot="1">
      <c r="A426" s="360" t="s">
        <v>95</v>
      </c>
      <c r="B426" s="361"/>
      <c r="C426" s="55" t="s">
        <v>33</v>
      </c>
      <c r="D426" s="75" t="s">
        <v>96</v>
      </c>
      <c r="E426" s="75" t="s">
        <v>33</v>
      </c>
      <c r="F426" s="75" t="s">
        <v>97</v>
      </c>
      <c r="G426" s="56" t="s">
        <v>33</v>
      </c>
      <c r="H426" s="368" t="s">
        <v>141</v>
      </c>
      <c r="I426" s="369"/>
      <c r="J426" s="369"/>
      <c r="K426" s="57">
        <v>300</v>
      </c>
      <c r="L426" s="144" t="s">
        <v>98</v>
      </c>
      <c r="M426" s="424"/>
    </row>
    <row r="427" spans="1:13" ht="15.75">
      <c r="A427" s="345" t="s">
        <v>99</v>
      </c>
      <c r="B427" s="346"/>
      <c r="C427" s="405" t="str">
        <f>'Data INPUT'!N34</f>
        <v>Select</v>
      </c>
      <c r="D427" s="384"/>
      <c r="E427" s="384"/>
      <c r="F427" s="384"/>
      <c r="G427" s="385"/>
      <c r="H427" s="27" t="s">
        <v>100</v>
      </c>
      <c r="I427" s="265"/>
      <c r="J427" s="265"/>
      <c r="K427" s="265"/>
      <c r="L427" s="266"/>
      <c r="M427" s="424"/>
    </row>
    <row r="428" spans="1:13" ht="16.5" thickBot="1">
      <c r="A428" s="274" t="s">
        <v>62</v>
      </c>
      <c r="B428" s="347"/>
      <c r="C428" s="322" t="str">
        <f>'Data INPUT'!N36</f>
        <v>Select</v>
      </c>
      <c r="D428" s="323"/>
      <c r="E428" s="323"/>
      <c r="F428" s="323"/>
      <c r="G428" s="324"/>
      <c r="H428" s="32"/>
      <c r="I428" s="320"/>
      <c r="J428" s="320"/>
      <c r="K428" s="320"/>
      <c r="L428" s="321"/>
      <c r="M428" s="424"/>
    </row>
    <row r="429" spans="1:13" ht="16.5" thickBot="1">
      <c r="A429" s="348" t="s">
        <v>101</v>
      </c>
      <c r="B429" s="349"/>
      <c r="C429" s="76" t="str">
        <f>'Data INPUT'!N35</f>
        <v>CSV x1</v>
      </c>
      <c r="D429" s="72" t="s">
        <v>33</v>
      </c>
      <c r="E429" s="306" t="s">
        <v>33</v>
      </c>
      <c r="F429" s="306"/>
      <c r="G429" s="350"/>
      <c r="H429" s="32" t="s">
        <v>100</v>
      </c>
      <c r="I429" s="58"/>
      <c r="J429" s="58"/>
      <c r="K429" s="58"/>
      <c r="L429" s="94"/>
      <c r="M429" s="424"/>
    </row>
    <row r="430" spans="1:13" ht="15.75">
      <c r="A430" s="342" t="s">
        <v>137</v>
      </c>
      <c r="B430" s="343"/>
      <c r="C430" s="343"/>
      <c r="D430" s="343"/>
      <c r="E430" s="343"/>
      <c r="F430" s="343"/>
      <c r="G430" s="343"/>
      <c r="H430" s="26" t="s">
        <v>102</v>
      </c>
      <c r="I430" s="59"/>
      <c r="J430" s="24"/>
      <c r="K430" s="24"/>
      <c r="L430" s="145">
        <f>'Data INPUT'!N42</f>
        <v>1</v>
      </c>
      <c r="M430" s="424"/>
    </row>
    <row r="431" spans="1:13" ht="15.75">
      <c r="A431" s="335" t="s">
        <v>65</v>
      </c>
      <c r="B431" s="336"/>
      <c r="C431" s="330" t="str">
        <f>'Data INPUT'!N37</f>
        <v>RAL 9010</v>
      </c>
      <c r="D431" s="331"/>
      <c r="E431" s="331"/>
      <c r="F431" s="331"/>
      <c r="G431" s="332"/>
      <c r="H431" s="333" t="s">
        <v>103</v>
      </c>
      <c r="I431" s="235"/>
      <c r="J431" s="235"/>
      <c r="K431" s="334"/>
      <c r="L431" s="146">
        <f>'Data INPUT'!N43</f>
        <v>0</v>
      </c>
      <c r="M431" s="424"/>
    </row>
    <row r="432" spans="1:13" ht="15.75">
      <c r="A432" s="327" t="s">
        <v>104</v>
      </c>
      <c r="B432" s="329"/>
      <c r="C432" s="330" t="str">
        <f>'Data INPUT'!N38</f>
        <v>RAL 9010</v>
      </c>
      <c r="D432" s="331"/>
      <c r="E432" s="331"/>
      <c r="F432" s="331"/>
      <c r="G432" s="332"/>
      <c r="H432" s="333" t="s">
        <v>105</v>
      </c>
      <c r="I432" s="235"/>
      <c r="J432" s="235"/>
      <c r="K432" s="334"/>
      <c r="L432" s="146">
        <f>'Data INPUT'!N44</f>
        <v>0</v>
      </c>
      <c r="M432" s="424"/>
    </row>
    <row r="433" spans="1:13" ht="15.75">
      <c r="A433" s="327" t="s">
        <v>106</v>
      </c>
      <c r="B433" s="329"/>
      <c r="C433" s="330" t="str">
        <f>'Data INPUT'!N39</f>
        <v>RAL 9010</v>
      </c>
      <c r="D433" s="331"/>
      <c r="E433" s="331"/>
      <c r="F433" s="331"/>
      <c r="G433" s="332"/>
      <c r="H433" s="333" t="s">
        <v>107</v>
      </c>
      <c r="I433" s="235"/>
      <c r="J433" s="235"/>
      <c r="K433" s="334"/>
      <c r="L433" s="146">
        <f>'Data INPUT'!N45</f>
        <v>0</v>
      </c>
      <c r="M433" s="424"/>
    </row>
    <row r="434" spans="1:13" ht="15.75">
      <c r="A434" s="335" t="s">
        <v>108</v>
      </c>
      <c r="B434" s="336"/>
      <c r="C434" s="330" t="str">
        <f>'Data INPUT'!N40</f>
        <v>RAL 9010</v>
      </c>
      <c r="D434" s="331"/>
      <c r="E434" s="331"/>
      <c r="F434" s="331"/>
      <c r="G434" s="332"/>
      <c r="H434" s="60" t="s">
        <v>109</v>
      </c>
      <c r="I434" s="62"/>
      <c r="J434" s="25"/>
      <c r="K434" s="25"/>
      <c r="L434" s="146">
        <f>'Data INPUT'!N46</f>
        <v>0</v>
      </c>
      <c r="M434" s="424"/>
    </row>
    <row r="435" spans="1:13" ht="15.75">
      <c r="A435" s="327" t="s">
        <v>110</v>
      </c>
      <c r="B435" s="329"/>
      <c r="C435" s="330" t="str">
        <f>'Data INPUT'!N41</f>
        <v>Select</v>
      </c>
      <c r="D435" s="331"/>
      <c r="E435" s="331"/>
      <c r="F435" s="331"/>
      <c r="G435" s="332"/>
      <c r="H435" s="60" t="s">
        <v>111</v>
      </c>
      <c r="I435" s="25"/>
      <c r="J435" s="25"/>
      <c r="K435" s="61"/>
      <c r="L435" s="146">
        <f>'Data INPUT'!N47</f>
        <v>0</v>
      </c>
      <c r="M435" s="424"/>
    </row>
    <row r="436" spans="1:13" ht="15.75" customHeight="1">
      <c r="A436" s="406" t="s">
        <v>112</v>
      </c>
      <c r="B436" s="407"/>
      <c r="C436" s="148"/>
      <c r="D436" s="148"/>
      <c r="E436" s="148"/>
      <c r="F436" s="408" t="s">
        <v>115</v>
      </c>
      <c r="G436" s="409"/>
      <c r="H436" s="60" t="s">
        <v>113</v>
      </c>
      <c r="I436" s="62"/>
      <c r="J436" s="25"/>
      <c r="K436" s="25"/>
      <c r="L436" s="146">
        <f>'Data INPUT'!N48</f>
        <v>0</v>
      </c>
      <c r="M436" s="424"/>
    </row>
    <row r="437" spans="1:13" ht="15.75" customHeight="1">
      <c r="A437" s="327" t="s">
        <v>114</v>
      </c>
      <c r="B437" s="328"/>
      <c r="C437" s="328"/>
      <c r="D437" s="87"/>
      <c r="E437" s="87" t="s">
        <v>33</v>
      </c>
      <c r="F437" s="88" t="s">
        <v>33</v>
      </c>
      <c r="G437" s="89" t="s">
        <v>33</v>
      </c>
      <c r="H437" s="325"/>
      <c r="I437" s="326"/>
      <c r="J437" s="326"/>
      <c r="K437" s="74"/>
      <c r="L437" s="146" t="s">
        <v>33</v>
      </c>
      <c r="M437" s="424"/>
    </row>
    <row r="438" spans="1:13" ht="15.75" customHeight="1">
      <c r="A438" s="327" t="s">
        <v>116</v>
      </c>
      <c r="B438" s="328"/>
      <c r="C438" s="328"/>
      <c r="D438" s="328"/>
      <c r="E438" s="329"/>
      <c r="F438" s="88" t="s">
        <v>33</v>
      </c>
      <c r="G438" s="89"/>
      <c r="H438" s="60"/>
      <c r="I438" s="62"/>
      <c r="J438" s="25"/>
      <c r="K438" s="25"/>
      <c r="L438" s="146" t="s">
        <v>33</v>
      </c>
      <c r="M438" s="424"/>
    </row>
    <row r="439" spans="1:13" ht="16.5" customHeight="1" thickBot="1">
      <c r="A439" s="337" t="s">
        <v>117</v>
      </c>
      <c r="B439" s="362"/>
      <c r="C439" s="362"/>
      <c r="D439" s="362"/>
      <c r="E439" s="338"/>
      <c r="F439" s="90" t="s">
        <v>33</v>
      </c>
      <c r="G439" s="91"/>
      <c r="H439" s="363"/>
      <c r="I439" s="364"/>
      <c r="J439" s="364"/>
      <c r="K439" s="364"/>
      <c r="L439" s="147" t="s">
        <v>33</v>
      </c>
      <c r="M439" s="424"/>
    </row>
    <row r="440" spans="1:13" ht="46.5" customHeight="1" thickBot="1">
      <c r="A440" s="92" t="s">
        <v>118</v>
      </c>
      <c r="B440" s="93"/>
      <c r="C440" s="77" t="s">
        <v>119</v>
      </c>
      <c r="D440" s="82"/>
      <c r="E440" s="83"/>
      <c r="F440" s="84"/>
      <c r="G440" s="85"/>
      <c r="H440" s="402"/>
      <c r="I440" s="403"/>
      <c r="J440" s="403"/>
      <c r="K440" s="403"/>
      <c r="L440" s="404"/>
      <c r="M440" s="425"/>
    </row>
    <row r="441" spans="1:13" ht="19.5" customHeight="1" thickBot="1">
      <c r="A441" s="251" t="s">
        <v>69</v>
      </c>
      <c r="B441" s="252"/>
      <c r="C441" s="253">
        <f ca="1">'Data INPUT'!$B$13</f>
        <v>46222</v>
      </c>
      <c r="D441" s="254"/>
      <c r="E441" s="254"/>
      <c r="F441" s="254"/>
      <c r="G441" s="255" t="s">
        <v>7</v>
      </c>
      <c r="H441" s="255"/>
      <c r="I441" s="255"/>
      <c r="J441" s="256" t="str">
        <f>'Data INPUT'!$B$14</f>
        <v xml:space="preserve"> </v>
      </c>
      <c r="K441" s="257"/>
      <c r="L441" s="258"/>
      <c r="M441" s="420" t="s">
        <v>153</v>
      </c>
    </row>
    <row r="442" spans="1:13" ht="15.75">
      <c r="A442" s="259" t="s">
        <v>70</v>
      </c>
      <c r="B442" s="260"/>
      <c r="C442" s="261" t="str">
        <f>'Data INPUT'!$B$4</f>
        <v xml:space="preserve"> </v>
      </c>
      <c r="D442" s="262"/>
      <c r="E442" s="262"/>
      <c r="F442" s="262"/>
      <c r="G442" s="262"/>
      <c r="H442" s="262"/>
      <c r="I442" s="263"/>
      <c r="J442" s="264" t="str">
        <f>'Data INPUT'!O19</f>
        <v xml:space="preserve"> </v>
      </c>
      <c r="K442" s="265"/>
      <c r="L442" s="266"/>
      <c r="M442" s="421"/>
    </row>
    <row r="443" spans="1:13" ht="15.75">
      <c r="A443" s="232" t="s">
        <v>71</v>
      </c>
      <c r="B443" s="233"/>
      <c r="C443" s="234" t="str">
        <f>'Data INPUT'!$B$2</f>
        <v xml:space="preserve"> </v>
      </c>
      <c r="D443" s="235"/>
      <c r="E443" s="235"/>
      <c r="F443" s="235"/>
      <c r="G443" s="235"/>
      <c r="H443" s="235"/>
      <c r="I443" s="236"/>
      <c r="J443" s="237" t="str">
        <f>'Data INPUT'!O24</f>
        <v xml:space="preserve"> </v>
      </c>
      <c r="K443" s="238"/>
      <c r="L443" s="239"/>
      <c r="M443" s="421"/>
    </row>
    <row r="444" spans="1:13" ht="16.5" thickBot="1">
      <c r="A444" s="240" t="s">
        <v>0</v>
      </c>
      <c r="B444" s="241"/>
      <c r="C444" s="242" t="str">
        <f>'Data INPUT'!$B$3</f>
        <v xml:space="preserve"> </v>
      </c>
      <c r="D444" s="243"/>
      <c r="E444" s="243"/>
      <c r="F444" s="243"/>
      <c r="G444" s="243"/>
      <c r="H444" s="243"/>
      <c r="I444" s="244"/>
      <c r="J444" s="317" t="str">
        <f>'Data INPUT'!O18</f>
        <v>Curtain 12</v>
      </c>
      <c r="K444" s="318"/>
      <c r="L444" s="319"/>
      <c r="M444" s="421"/>
    </row>
    <row r="445" spans="1:13" ht="15.75">
      <c r="A445" s="245" t="str">
        <f>'Data INPUT'!O21</f>
        <v>Select</v>
      </c>
      <c r="B445" s="247" t="str">
        <f>'Data INPUT'!O25</f>
        <v>Select</v>
      </c>
      <c r="C445" s="248"/>
      <c r="D445" s="313" t="str">
        <f>'Data INPUT'!O20</f>
        <v>Select</v>
      </c>
      <c r="E445" s="313"/>
      <c r="F445" s="314"/>
      <c r="G445" s="365" t="s">
        <v>72</v>
      </c>
      <c r="H445" s="366"/>
      <c r="I445" s="366"/>
      <c r="J445" s="366"/>
      <c r="K445" s="366"/>
      <c r="L445" s="367"/>
      <c r="M445" s="421"/>
    </row>
    <row r="446" spans="1:13" ht="16.5" thickBot="1">
      <c r="A446" s="246"/>
      <c r="B446" s="249"/>
      <c r="C446" s="250"/>
      <c r="D446" s="315"/>
      <c r="E446" s="315"/>
      <c r="F446" s="316"/>
      <c r="G446" s="305" t="str">
        <f>'Data INPUT'!$B$7</f>
        <v xml:space="preserve"> </v>
      </c>
      <c r="H446" s="306"/>
      <c r="I446" s="306"/>
      <c r="J446" s="306"/>
      <c r="K446" s="306"/>
      <c r="L446" s="307"/>
      <c r="M446" s="421"/>
    </row>
    <row r="447" spans="1:13" ht="15.75">
      <c r="A447" s="259" t="s">
        <v>74</v>
      </c>
      <c r="B447" s="260"/>
      <c r="C447" s="308" t="str">
        <f>'Data INPUT'!$B$12</f>
        <v>Select</v>
      </c>
      <c r="D447" s="308"/>
      <c r="E447" s="308"/>
      <c r="F447" s="309"/>
      <c r="G447" s="305" t="str">
        <f>'Data INPUT'!$B$8</f>
        <v xml:space="preserve"> </v>
      </c>
      <c r="H447" s="306"/>
      <c r="I447" s="306"/>
      <c r="J447" s="306"/>
      <c r="K447" s="306"/>
      <c r="L447" s="307"/>
      <c r="M447" s="421"/>
    </row>
    <row r="448" spans="1:13" ht="15.75">
      <c r="A448" s="232" t="s">
        <v>75</v>
      </c>
      <c r="B448" s="233"/>
      <c r="C448" s="310" t="str">
        <f>'Data INPUT'!O23</f>
        <v>Select</v>
      </c>
      <c r="D448" s="311"/>
      <c r="E448" s="311"/>
      <c r="F448" s="312"/>
      <c r="G448" s="305" t="str">
        <f>'Data INPUT'!$B$9</f>
        <v xml:space="preserve"> </v>
      </c>
      <c r="H448" s="306"/>
      <c r="I448" s="306"/>
      <c r="J448" s="306"/>
      <c r="K448" s="306"/>
      <c r="L448" s="307"/>
      <c r="M448" s="421"/>
    </row>
    <row r="449" spans="1:13" ht="15.75">
      <c r="A449" s="270" t="s">
        <v>76</v>
      </c>
      <c r="B449" s="271"/>
      <c r="C449" s="276">
        <v>1</v>
      </c>
      <c r="D449" s="277"/>
      <c r="E449" s="277"/>
      <c r="F449" s="278"/>
      <c r="G449" s="285" t="str">
        <f>'Data INPUT'!$B$10</f>
        <v xml:space="preserve"> </v>
      </c>
      <c r="H449" s="286"/>
      <c r="I449" s="286"/>
      <c r="J449" s="286"/>
      <c r="K449" s="286"/>
      <c r="L449" s="287"/>
      <c r="M449" s="421"/>
    </row>
    <row r="450" spans="1:13" ht="15.75">
      <c r="A450" s="272"/>
      <c r="B450" s="273"/>
      <c r="C450" s="279"/>
      <c r="D450" s="280"/>
      <c r="E450" s="280"/>
      <c r="F450" s="281"/>
      <c r="G450" s="28" t="s">
        <v>77</v>
      </c>
      <c r="H450" s="29"/>
      <c r="I450" s="29"/>
      <c r="J450" s="288" t="str">
        <f>'Data INPUT'!$B$5</f>
        <v xml:space="preserve"> </v>
      </c>
      <c r="K450" s="288"/>
      <c r="L450" s="289"/>
      <c r="M450" s="421"/>
    </row>
    <row r="451" spans="1:13" ht="16.5" thickBot="1">
      <c r="A451" s="274"/>
      <c r="B451" s="275"/>
      <c r="C451" s="282"/>
      <c r="D451" s="283"/>
      <c r="E451" s="283"/>
      <c r="F451" s="284"/>
      <c r="G451" s="31" t="s">
        <v>78</v>
      </c>
      <c r="H451" s="32"/>
      <c r="I451" s="32"/>
      <c r="J451" s="290" t="str">
        <f>'Data INPUT'!$B$6</f>
        <v xml:space="preserve"> </v>
      </c>
      <c r="K451" s="290"/>
      <c r="L451" s="291"/>
      <c r="M451" s="421"/>
    </row>
    <row r="452" spans="1:13" ht="15.75">
      <c r="A452" s="292" t="s">
        <v>79</v>
      </c>
      <c r="B452" s="293"/>
      <c r="C452" s="296" t="str">
        <f>'Data INPUT'!$B$16</f>
        <v xml:space="preserve"> </v>
      </c>
      <c r="D452" s="297"/>
      <c r="E452" s="297"/>
      <c r="F452" s="297"/>
      <c r="G452" s="297"/>
      <c r="H452" s="297"/>
      <c r="I452" s="297"/>
      <c r="J452" s="297"/>
      <c r="K452" s="297"/>
      <c r="L452" s="298"/>
      <c r="M452" s="421"/>
    </row>
    <row r="453" spans="1:13" ht="15.75">
      <c r="A453" s="292"/>
      <c r="B453" s="293"/>
      <c r="C453" s="299" t="str">
        <f>'Data INPUT'!$B$17</f>
        <v xml:space="preserve"> </v>
      </c>
      <c r="D453" s="300"/>
      <c r="E453" s="300"/>
      <c r="F453" s="300"/>
      <c r="G453" s="300"/>
      <c r="H453" s="300"/>
      <c r="I453" s="300"/>
      <c r="J453" s="300"/>
      <c r="K453" s="300"/>
      <c r="L453" s="301"/>
      <c r="M453" s="421"/>
    </row>
    <row r="454" spans="1:13" ht="16.5" thickBot="1">
      <c r="A454" s="294"/>
      <c r="B454" s="295"/>
      <c r="C454" s="302" t="str">
        <f>'Data INPUT'!$B$18</f>
        <v xml:space="preserve"> </v>
      </c>
      <c r="D454" s="303"/>
      <c r="E454" s="303"/>
      <c r="F454" s="303"/>
      <c r="G454" s="303"/>
      <c r="H454" s="303"/>
      <c r="I454" s="303"/>
      <c r="J454" s="303"/>
      <c r="K454" s="303"/>
      <c r="L454" s="304"/>
      <c r="M454" s="421"/>
    </row>
    <row r="455" spans="1:13" ht="16.5" thickBot="1">
      <c r="A455" s="391" t="s">
        <v>80</v>
      </c>
      <c r="B455" s="392"/>
      <c r="C455" s="66" t="s">
        <v>42</v>
      </c>
      <c r="D455" s="66"/>
      <c r="E455" s="69" t="s">
        <v>43</v>
      </c>
      <c r="F455" s="66"/>
      <c r="G455" s="67"/>
      <c r="H455" s="275" t="s">
        <v>230</v>
      </c>
      <c r="I455" s="275"/>
      <c r="J455" s="275"/>
      <c r="K455" s="275"/>
      <c r="L455" s="393"/>
      <c r="M455" s="421"/>
    </row>
    <row r="456" spans="1:13" ht="15.75">
      <c r="A456" s="394" t="s">
        <v>81</v>
      </c>
      <c r="B456" s="395"/>
      <c r="C456" s="71" t="str">
        <f>'Data INPUT'!O26</f>
        <v xml:space="preserve"> </v>
      </c>
      <c r="D456" s="72" t="s">
        <v>82</v>
      </c>
      <c r="E456" s="70" t="str">
        <f>'Data INPUT'!O27</f>
        <v xml:space="preserve"> </v>
      </c>
      <c r="F456" s="73"/>
      <c r="G456" s="33"/>
      <c r="H456" s="396"/>
      <c r="I456" s="397"/>
      <c r="J456" s="397"/>
      <c r="K456" s="397"/>
      <c r="L456" s="398"/>
      <c r="M456" s="421"/>
    </row>
    <row r="457" spans="1:13" ht="15.75">
      <c r="A457" s="34" t="s">
        <v>83</v>
      </c>
      <c r="B457" s="35" t="str">
        <f>D458</f>
        <v>Select</v>
      </c>
      <c r="C457" s="65" t="str">
        <f>C456</f>
        <v xml:space="preserve"> </v>
      </c>
      <c r="D457" s="37"/>
      <c r="E457" s="36"/>
      <c r="F457" s="38"/>
      <c r="G457" s="38"/>
      <c r="H457" s="399" t="s">
        <v>84</v>
      </c>
      <c r="I457" s="400"/>
      <c r="J457" s="400"/>
      <c r="K457" s="400"/>
      <c r="L457" s="401"/>
      <c r="M457" s="421"/>
    </row>
    <row r="458" spans="1:13" ht="15.75">
      <c r="A458" s="39" t="s">
        <v>85</v>
      </c>
      <c r="B458" s="35" t="str">
        <f>D458</f>
        <v>Select</v>
      </c>
      <c r="C458" s="68" t="s">
        <v>33</v>
      </c>
      <c r="D458" s="37" t="str">
        <f>'Data INPUT'!O28</f>
        <v>Select</v>
      </c>
      <c r="E458" s="37"/>
      <c r="F458" s="37"/>
      <c r="G458" s="53"/>
      <c r="H458" s="267" t="s">
        <v>33</v>
      </c>
      <c r="I458" s="268"/>
      <c r="J458" s="268"/>
      <c r="K458" s="268"/>
      <c r="L458" s="269"/>
      <c r="M458" s="421"/>
    </row>
    <row r="459" spans="1:13" ht="16.5" thickBot="1">
      <c r="A459" s="40" t="s">
        <v>86</v>
      </c>
      <c r="B459" s="41" t="str">
        <f>'Data INPUT'!O29</f>
        <v>Standard</v>
      </c>
      <c r="C459" s="72" t="e">
        <f>E456-D458+10</f>
        <v>#VALUE!</v>
      </c>
      <c r="D459" s="42" t="s">
        <v>82</v>
      </c>
      <c r="E459" s="30">
        <v>100</v>
      </c>
      <c r="F459" s="42" t="s">
        <v>82</v>
      </c>
      <c r="G459" s="42">
        <v>53</v>
      </c>
      <c r="H459" s="373"/>
      <c r="I459" s="374"/>
      <c r="J459" s="374"/>
      <c r="K459" s="374"/>
      <c r="L459" s="375"/>
      <c r="M459" s="421"/>
    </row>
    <row r="460" spans="1:13" ht="15.75">
      <c r="A460" s="43" t="s">
        <v>87</v>
      </c>
      <c r="B460" s="44" t="s">
        <v>88</v>
      </c>
      <c r="C460" s="45" t="e">
        <f>C461</f>
        <v>#VALUE!</v>
      </c>
      <c r="D460" s="45" t="s">
        <v>82</v>
      </c>
      <c r="E460" s="140">
        <v>1</v>
      </c>
      <c r="F460" s="46"/>
      <c r="G460" s="46"/>
      <c r="H460" s="376" t="s">
        <v>89</v>
      </c>
      <c r="I460" s="377"/>
      <c r="J460" s="377"/>
      <c r="K460" s="377"/>
      <c r="L460" s="378"/>
      <c r="M460" s="421"/>
    </row>
    <row r="461" spans="1:13" ht="16.5" thickBot="1">
      <c r="A461" s="47" t="s">
        <v>90</v>
      </c>
      <c r="B461" s="48"/>
      <c r="C461" s="49" t="e">
        <f>C456-180</f>
        <v>#VALUE!</v>
      </c>
      <c r="D461" s="49" t="s">
        <v>82</v>
      </c>
      <c r="E461" s="137">
        <v>1</v>
      </c>
      <c r="F461" s="50"/>
      <c r="G461" s="50"/>
      <c r="H461" s="379"/>
      <c r="I461" s="380"/>
      <c r="J461" s="380"/>
      <c r="K461" s="380"/>
      <c r="L461" s="381"/>
      <c r="M461" s="421"/>
    </row>
    <row r="462" spans="1:13" ht="15.75">
      <c r="A462" s="382" t="s">
        <v>91</v>
      </c>
      <c r="B462" s="383"/>
      <c r="C462" s="52" t="e">
        <f>C456-230</f>
        <v>#VALUE!</v>
      </c>
      <c r="D462" s="384" t="s">
        <v>33</v>
      </c>
      <c r="E462" s="384"/>
      <c r="F462" s="384"/>
      <c r="G462" s="385"/>
      <c r="H462" s="386" t="s">
        <v>92</v>
      </c>
      <c r="I462" s="366"/>
      <c r="J462" s="366"/>
      <c r="K462" s="366"/>
      <c r="L462" s="367"/>
      <c r="M462" s="421"/>
    </row>
    <row r="463" spans="1:13" ht="16.5" thickBot="1">
      <c r="A463" s="387" t="s">
        <v>135</v>
      </c>
      <c r="B463" s="388"/>
      <c r="C463" s="37" t="e">
        <f>C464</f>
        <v>#VALUE!</v>
      </c>
      <c r="D463" s="389"/>
      <c r="E463" s="389"/>
      <c r="F463" s="389"/>
      <c r="G463" s="390"/>
      <c r="H463" s="373"/>
      <c r="I463" s="374"/>
      <c r="J463" s="374"/>
      <c r="K463" s="374"/>
      <c r="L463" s="375"/>
      <c r="M463" s="421"/>
    </row>
    <row r="464" spans="1:13" ht="15.75">
      <c r="A464" s="370" t="s">
        <v>73</v>
      </c>
      <c r="B464" s="371"/>
      <c r="C464" s="52" t="e">
        <f>C456-100</f>
        <v>#VALUE!</v>
      </c>
      <c r="D464" s="52" t="s">
        <v>82</v>
      </c>
      <c r="E464" s="51" t="e">
        <f>E456+300</f>
        <v>#VALUE!</v>
      </c>
      <c r="F464" s="52"/>
      <c r="G464" s="54"/>
      <c r="H464" s="351" t="s">
        <v>93</v>
      </c>
      <c r="I464" s="352"/>
      <c r="J464" s="352"/>
      <c r="K464" s="352"/>
      <c r="L464" s="353"/>
      <c r="M464" s="421"/>
    </row>
    <row r="465" spans="1:13" ht="16.5" thickBot="1">
      <c r="A465" s="294"/>
      <c r="B465" s="372"/>
      <c r="C465" s="354" t="s">
        <v>136</v>
      </c>
      <c r="D465" s="355"/>
      <c r="E465" s="355"/>
      <c r="F465" s="355"/>
      <c r="G465" s="356"/>
      <c r="H465" s="357" t="s">
        <v>94</v>
      </c>
      <c r="I465" s="358"/>
      <c r="J465" s="358"/>
      <c r="K465" s="358"/>
      <c r="L465" s="359"/>
      <c r="M465" s="421"/>
    </row>
    <row r="466" spans="1:13" ht="16.5" thickBot="1">
      <c r="A466" s="360" t="s">
        <v>95</v>
      </c>
      <c r="B466" s="361"/>
      <c r="C466" s="55" t="s">
        <v>33</v>
      </c>
      <c r="D466" s="75" t="s">
        <v>96</v>
      </c>
      <c r="E466" s="75" t="s">
        <v>33</v>
      </c>
      <c r="F466" s="75" t="s">
        <v>97</v>
      </c>
      <c r="G466" s="56" t="s">
        <v>33</v>
      </c>
      <c r="H466" s="368" t="s">
        <v>141</v>
      </c>
      <c r="I466" s="369"/>
      <c r="J466" s="369"/>
      <c r="K466" s="57">
        <v>300</v>
      </c>
      <c r="L466" s="144" t="s">
        <v>98</v>
      </c>
      <c r="M466" s="421"/>
    </row>
    <row r="467" spans="1:13" ht="15.75">
      <c r="A467" s="345" t="s">
        <v>99</v>
      </c>
      <c r="B467" s="346"/>
      <c r="C467" s="405" t="str">
        <f>'Data INPUT'!O34</f>
        <v>Select</v>
      </c>
      <c r="D467" s="384"/>
      <c r="E467" s="384"/>
      <c r="F467" s="384"/>
      <c r="G467" s="385"/>
      <c r="H467" s="27" t="s">
        <v>100</v>
      </c>
      <c r="I467" s="265"/>
      <c r="J467" s="265"/>
      <c r="K467" s="265"/>
      <c r="L467" s="266"/>
      <c r="M467" s="421"/>
    </row>
    <row r="468" spans="1:13" ht="16.5" thickBot="1">
      <c r="A468" s="274" t="s">
        <v>62</v>
      </c>
      <c r="B468" s="347"/>
      <c r="C468" s="322" t="str">
        <f>'Data INPUT'!O36</f>
        <v>Select</v>
      </c>
      <c r="D468" s="323"/>
      <c r="E468" s="323"/>
      <c r="F468" s="323"/>
      <c r="G468" s="324"/>
      <c r="H468" s="32"/>
      <c r="I468" s="320"/>
      <c r="J468" s="320"/>
      <c r="K468" s="320"/>
      <c r="L468" s="321"/>
      <c r="M468" s="421"/>
    </row>
    <row r="469" spans="1:13" ht="16.5" thickBot="1">
      <c r="A469" s="348" t="s">
        <v>101</v>
      </c>
      <c r="B469" s="349"/>
      <c r="C469" s="76" t="str">
        <f>'Data INPUT'!O35</f>
        <v>CSV x1</v>
      </c>
      <c r="D469" s="72" t="s">
        <v>33</v>
      </c>
      <c r="E469" s="306" t="s">
        <v>33</v>
      </c>
      <c r="F469" s="306"/>
      <c r="G469" s="350"/>
      <c r="H469" s="32" t="s">
        <v>100</v>
      </c>
      <c r="I469" s="58"/>
      <c r="J469" s="58"/>
      <c r="K469" s="58"/>
      <c r="L469" s="94"/>
      <c r="M469" s="421"/>
    </row>
    <row r="470" spans="1:13" ht="15.75">
      <c r="A470" s="342" t="s">
        <v>137</v>
      </c>
      <c r="B470" s="343"/>
      <c r="C470" s="343"/>
      <c r="D470" s="343"/>
      <c r="E470" s="343"/>
      <c r="F470" s="343"/>
      <c r="G470" s="343"/>
      <c r="H470" s="26" t="s">
        <v>102</v>
      </c>
      <c r="I470" s="59"/>
      <c r="J470" s="24"/>
      <c r="K470" s="24"/>
      <c r="L470" s="145">
        <f>'Data INPUT'!O42</f>
        <v>1</v>
      </c>
      <c r="M470" s="421"/>
    </row>
    <row r="471" spans="1:13" ht="15.75">
      <c r="A471" s="335" t="s">
        <v>65</v>
      </c>
      <c r="B471" s="336"/>
      <c r="C471" s="330" t="str">
        <f>'Data INPUT'!O37</f>
        <v>RAL 9010</v>
      </c>
      <c r="D471" s="331"/>
      <c r="E471" s="331"/>
      <c r="F471" s="331"/>
      <c r="G471" s="332"/>
      <c r="H471" s="333" t="s">
        <v>103</v>
      </c>
      <c r="I471" s="235"/>
      <c r="J471" s="235"/>
      <c r="K471" s="334"/>
      <c r="L471" s="146">
        <f>'Data INPUT'!O43</f>
        <v>0</v>
      </c>
      <c r="M471" s="421"/>
    </row>
    <row r="472" spans="1:13" ht="15.75">
      <c r="A472" s="327" t="s">
        <v>104</v>
      </c>
      <c r="B472" s="329"/>
      <c r="C472" s="330" t="str">
        <f>'Data INPUT'!O38</f>
        <v>RAL 9010</v>
      </c>
      <c r="D472" s="331"/>
      <c r="E472" s="331"/>
      <c r="F472" s="331"/>
      <c r="G472" s="332"/>
      <c r="H472" s="333" t="s">
        <v>105</v>
      </c>
      <c r="I472" s="235"/>
      <c r="J472" s="235"/>
      <c r="K472" s="334"/>
      <c r="L472" s="146">
        <f>'Data INPUT'!O44</f>
        <v>0</v>
      </c>
      <c r="M472" s="421"/>
    </row>
    <row r="473" spans="1:13" ht="15.75">
      <c r="A473" s="327" t="s">
        <v>106</v>
      </c>
      <c r="B473" s="329"/>
      <c r="C473" s="330" t="str">
        <f>'Data INPUT'!O39</f>
        <v>RAL 9010</v>
      </c>
      <c r="D473" s="331"/>
      <c r="E473" s="331"/>
      <c r="F473" s="331"/>
      <c r="G473" s="332"/>
      <c r="H473" s="333" t="s">
        <v>107</v>
      </c>
      <c r="I473" s="235"/>
      <c r="J473" s="235"/>
      <c r="K473" s="334"/>
      <c r="L473" s="146">
        <f>'Data INPUT'!O45</f>
        <v>0</v>
      </c>
      <c r="M473" s="421"/>
    </row>
    <row r="474" spans="1:13" ht="15.75">
      <c r="A474" s="335" t="s">
        <v>108</v>
      </c>
      <c r="B474" s="336"/>
      <c r="C474" s="330" t="str">
        <f>'Data INPUT'!O40</f>
        <v>RAL 9010</v>
      </c>
      <c r="D474" s="331"/>
      <c r="E474" s="331"/>
      <c r="F474" s="331"/>
      <c r="G474" s="332"/>
      <c r="H474" s="60" t="s">
        <v>109</v>
      </c>
      <c r="I474" s="62"/>
      <c r="J474" s="25"/>
      <c r="K474" s="25"/>
      <c r="L474" s="146">
        <f>'Data INPUT'!O46</f>
        <v>0</v>
      </c>
      <c r="M474" s="421"/>
    </row>
    <row r="475" spans="1:13" ht="15.75">
      <c r="A475" s="327" t="s">
        <v>110</v>
      </c>
      <c r="B475" s="329"/>
      <c r="C475" s="330" t="str">
        <f>'Data INPUT'!O41</f>
        <v>Select</v>
      </c>
      <c r="D475" s="331"/>
      <c r="E475" s="331"/>
      <c r="F475" s="331"/>
      <c r="G475" s="332"/>
      <c r="H475" s="60" t="s">
        <v>111</v>
      </c>
      <c r="I475" s="25"/>
      <c r="J475" s="25"/>
      <c r="K475" s="61"/>
      <c r="L475" s="146">
        <f>'Data INPUT'!O47</f>
        <v>0</v>
      </c>
      <c r="M475" s="421"/>
    </row>
    <row r="476" spans="1:13" ht="15.75" customHeight="1">
      <c r="A476" s="406" t="s">
        <v>112</v>
      </c>
      <c r="B476" s="407"/>
      <c r="C476" s="148"/>
      <c r="D476" s="148"/>
      <c r="E476" s="148"/>
      <c r="F476" s="408" t="s">
        <v>115</v>
      </c>
      <c r="G476" s="409"/>
      <c r="H476" s="60" t="s">
        <v>113</v>
      </c>
      <c r="I476" s="62"/>
      <c r="J476" s="25"/>
      <c r="K476" s="25"/>
      <c r="L476" s="146">
        <f>'Data INPUT'!O48</f>
        <v>0</v>
      </c>
      <c r="M476" s="421"/>
    </row>
    <row r="477" spans="1:13" ht="15.75" customHeight="1">
      <c r="A477" s="327" t="s">
        <v>114</v>
      </c>
      <c r="B477" s="328"/>
      <c r="C477" s="328"/>
      <c r="D477" s="87"/>
      <c r="E477" s="87" t="s">
        <v>33</v>
      </c>
      <c r="F477" s="88" t="s">
        <v>33</v>
      </c>
      <c r="G477" s="89" t="s">
        <v>33</v>
      </c>
      <c r="H477" s="325"/>
      <c r="I477" s="326"/>
      <c r="J477" s="326"/>
      <c r="K477" s="74"/>
      <c r="L477" s="146" t="s">
        <v>33</v>
      </c>
      <c r="M477" s="421"/>
    </row>
    <row r="478" spans="1:13" ht="15.75" customHeight="1">
      <c r="A478" s="327" t="s">
        <v>116</v>
      </c>
      <c r="B478" s="328"/>
      <c r="C478" s="328"/>
      <c r="D478" s="328"/>
      <c r="E478" s="329"/>
      <c r="F478" s="88" t="s">
        <v>33</v>
      </c>
      <c r="G478" s="89"/>
      <c r="H478" s="60"/>
      <c r="I478" s="62"/>
      <c r="J478" s="25"/>
      <c r="K478" s="25"/>
      <c r="L478" s="146" t="s">
        <v>33</v>
      </c>
      <c r="M478" s="421"/>
    </row>
    <row r="479" spans="1:13" ht="16.5" customHeight="1" thickBot="1">
      <c r="A479" s="337" t="s">
        <v>117</v>
      </c>
      <c r="B479" s="362"/>
      <c r="C479" s="362"/>
      <c r="D479" s="362"/>
      <c r="E479" s="338"/>
      <c r="F479" s="90" t="s">
        <v>33</v>
      </c>
      <c r="G479" s="91"/>
      <c r="H479" s="363"/>
      <c r="I479" s="364"/>
      <c r="J479" s="364"/>
      <c r="K479" s="364"/>
      <c r="L479" s="147" t="s">
        <v>33</v>
      </c>
      <c r="M479" s="421"/>
    </row>
    <row r="480" spans="1:13" ht="50.25" customHeight="1" thickBot="1">
      <c r="A480" s="92" t="s">
        <v>118</v>
      </c>
      <c r="B480" s="93"/>
      <c r="C480" s="77" t="s">
        <v>119</v>
      </c>
      <c r="D480" s="82"/>
      <c r="E480" s="83"/>
      <c r="F480" s="84"/>
      <c r="G480" s="85"/>
      <c r="H480" s="402"/>
      <c r="I480" s="403"/>
      <c r="J480" s="403"/>
      <c r="K480" s="403"/>
      <c r="L480" s="404"/>
      <c r="M480" s="422"/>
    </row>
    <row r="481" spans="1:13" ht="18" customHeight="1" thickBot="1">
      <c r="A481" s="251" t="s">
        <v>69</v>
      </c>
      <c r="B481" s="252"/>
      <c r="C481" s="253">
        <f ca="1">'Data INPUT'!$B$13</f>
        <v>46222</v>
      </c>
      <c r="D481" s="254"/>
      <c r="E481" s="254"/>
      <c r="F481" s="254"/>
      <c r="G481" s="255" t="s">
        <v>7</v>
      </c>
      <c r="H481" s="255"/>
      <c r="I481" s="255"/>
      <c r="J481" s="256" t="str">
        <f>'Data INPUT'!$B$14</f>
        <v xml:space="preserve"> </v>
      </c>
      <c r="K481" s="257"/>
      <c r="L481" s="258"/>
      <c r="M481" s="423" t="s">
        <v>154</v>
      </c>
    </row>
    <row r="482" spans="1:13" ht="15.75">
      <c r="A482" s="259" t="s">
        <v>70</v>
      </c>
      <c r="B482" s="260"/>
      <c r="C482" s="261" t="str">
        <f>'Data INPUT'!$B$4</f>
        <v xml:space="preserve"> </v>
      </c>
      <c r="D482" s="262"/>
      <c r="E482" s="262"/>
      <c r="F482" s="262"/>
      <c r="G482" s="262"/>
      <c r="H482" s="262"/>
      <c r="I482" s="263"/>
      <c r="J482" s="264" t="str">
        <f>'Data INPUT'!P19</f>
        <v xml:space="preserve"> </v>
      </c>
      <c r="K482" s="265"/>
      <c r="L482" s="266"/>
      <c r="M482" s="424"/>
    </row>
    <row r="483" spans="1:13" ht="15.75">
      <c r="A483" s="232" t="s">
        <v>71</v>
      </c>
      <c r="B483" s="233"/>
      <c r="C483" s="234" t="str">
        <f>'Data INPUT'!$B$2</f>
        <v xml:space="preserve"> </v>
      </c>
      <c r="D483" s="235"/>
      <c r="E483" s="235"/>
      <c r="F483" s="235"/>
      <c r="G483" s="235"/>
      <c r="H483" s="235"/>
      <c r="I483" s="236"/>
      <c r="J483" s="237" t="str">
        <f>'Data INPUT'!P24</f>
        <v xml:space="preserve"> </v>
      </c>
      <c r="K483" s="238"/>
      <c r="L483" s="239"/>
      <c r="M483" s="424"/>
    </row>
    <row r="484" spans="1:13" ht="16.5" thickBot="1">
      <c r="A484" s="240" t="s">
        <v>0</v>
      </c>
      <c r="B484" s="241"/>
      <c r="C484" s="242" t="str">
        <f>'Data INPUT'!$B$3</f>
        <v xml:space="preserve"> </v>
      </c>
      <c r="D484" s="243"/>
      <c r="E484" s="243"/>
      <c r="F484" s="243"/>
      <c r="G484" s="243"/>
      <c r="H484" s="243"/>
      <c r="I484" s="244"/>
      <c r="J484" s="317" t="str">
        <f>'Data INPUT'!P18</f>
        <v>Curtain 13</v>
      </c>
      <c r="K484" s="318"/>
      <c r="L484" s="319"/>
      <c r="M484" s="424"/>
    </row>
    <row r="485" spans="1:13" ht="15.75">
      <c r="A485" s="245" t="str">
        <f>'Data INPUT'!P21</f>
        <v>Select</v>
      </c>
      <c r="B485" s="247" t="str">
        <f>'Data INPUT'!P25</f>
        <v>Select</v>
      </c>
      <c r="C485" s="248"/>
      <c r="D485" s="313" t="str">
        <f>'Data INPUT'!P20</f>
        <v>Select</v>
      </c>
      <c r="E485" s="313"/>
      <c r="F485" s="314"/>
      <c r="G485" s="365" t="s">
        <v>72</v>
      </c>
      <c r="H485" s="366"/>
      <c r="I485" s="366"/>
      <c r="J485" s="366"/>
      <c r="K485" s="366"/>
      <c r="L485" s="367"/>
      <c r="M485" s="424"/>
    </row>
    <row r="486" spans="1:13" ht="16.5" thickBot="1">
      <c r="A486" s="246"/>
      <c r="B486" s="249"/>
      <c r="C486" s="250"/>
      <c r="D486" s="315"/>
      <c r="E486" s="315"/>
      <c r="F486" s="316"/>
      <c r="G486" s="305" t="str">
        <f>'Data INPUT'!$B$7</f>
        <v xml:space="preserve"> </v>
      </c>
      <c r="H486" s="306"/>
      <c r="I486" s="306"/>
      <c r="J486" s="306"/>
      <c r="K486" s="306"/>
      <c r="L486" s="307"/>
      <c r="M486" s="424"/>
    </row>
    <row r="487" spans="1:13" ht="15.75">
      <c r="A487" s="259" t="s">
        <v>74</v>
      </c>
      <c r="B487" s="260"/>
      <c r="C487" s="308" t="str">
        <f>'Data INPUT'!$B$12</f>
        <v>Select</v>
      </c>
      <c r="D487" s="308"/>
      <c r="E487" s="308"/>
      <c r="F487" s="309"/>
      <c r="G487" s="305" t="str">
        <f>'Data INPUT'!$B$8</f>
        <v xml:space="preserve"> </v>
      </c>
      <c r="H487" s="306"/>
      <c r="I487" s="306"/>
      <c r="J487" s="306"/>
      <c r="K487" s="306"/>
      <c r="L487" s="307"/>
      <c r="M487" s="424"/>
    </row>
    <row r="488" spans="1:13" ht="15.75">
      <c r="A488" s="232" t="s">
        <v>75</v>
      </c>
      <c r="B488" s="233"/>
      <c r="C488" s="310" t="str">
        <f>'Data INPUT'!P23</f>
        <v>Select</v>
      </c>
      <c r="D488" s="311"/>
      <c r="E488" s="311"/>
      <c r="F488" s="312"/>
      <c r="G488" s="305" t="str">
        <f>'Data INPUT'!$B$9</f>
        <v xml:space="preserve"> </v>
      </c>
      <c r="H488" s="306"/>
      <c r="I488" s="306"/>
      <c r="J488" s="306"/>
      <c r="K488" s="306"/>
      <c r="L488" s="307"/>
      <c r="M488" s="424"/>
    </row>
    <row r="489" spans="1:13" ht="15.75">
      <c r="A489" s="270" t="s">
        <v>76</v>
      </c>
      <c r="B489" s="271"/>
      <c r="C489" s="276">
        <v>1</v>
      </c>
      <c r="D489" s="277"/>
      <c r="E489" s="277"/>
      <c r="F489" s="278"/>
      <c r="G489" s="285" t="str">
        <f>'Data INPUT'!$B$10</f>
        <v xml:space="preserve"> </v>
      </c>
      <c r="H489" s="286"/>
      <c r="I489" s="286"/>
      <c r="J489" s="286"/>
      <c r="K489" s="286"/>
      <c r="L489" s="287"/>
      <c r="M489" s="424"/>
    </row>
    <row r="490" spans="1:13" ht="15.75">
      <c r="A490" s="272"/>
      <c r="B490" s="273"/>
      <c r="C490" s="279"/>
      <c r="D490" s="280"/>
      <c r="E490" s="280"/>
      <c r="F490" s="281"/>
      <c r="G490" s="28" t="s">
        <v>77</v>
      </c>
      <c r="H490" s="29"/>
      <c r="I490" s="29"/>
      <c r="J490" s="288" t="str">
        <f>'Data INPUT'!$B$5</f>
        <v xml:space="preserve"> </v>
      </c>
      <c r="K490" s="288"/>
      <c r="L490" s="289"/>
      <c r="M490" s="424"/>
    </row>
    <row r="491" spans="1:13" ht="16.5" thickBot="1">
      <c r="A491" s="274"/>
      <c r="B491" s="275"/>
      <c r="C491" s="282"/>
      <c r="D491" s="283"/>
      <c r="E491" s="283"/>
      <c r="F491" s="284"/>
      <c r="G491" s="31" t="s">
        <v>78</v>
      </c>
      <c r="H491" s="32"/>
      <c r="I491" s="32"/>
      <c r="J491" s="290" t="str">
        <f>'Data INPUT'!$B$6</f>
        <v xml:space="preserve"> </v>
      </c>
      <c r="K491" s="290"/>
      <c r="L491" s="291"/>
      <c r="M491" s="424"/>
    </row>
    <row r="492" spans="1:13" ht="15.75">
      <c r="A492" s="292" t="s">
        <v>79</v>
      </c>
      <c r="B492" s="293"/>
      <c r="C492" s="296" t="str">
        <f>'Data INPUT'!$B$16</f>
        <v xml:space="preserve"> </v>
      </c>
      <c r="D492" s="297"/>
      <c r="E492" s="297"/>
      <c r="F492" s="297"/>
      <c r="G492" s="297"/>
      <c r="H492" s="297"/>
      <c r="I492" s="297"/>
      <c r="J492" s="297"/>
      <c r="K492" s="297"/>
      <c r="L492" s="298"/>
      <c r="M492" s="424"/>
    </row>
    <row r="493" spans="1:13" ht="15.75">
      <c r="A493" s="292"/>
      <c r="B493" s="293"/>
      <c r="C493" s="299" t="str">
        <f>'Data INPUT'!$B$17</f>
        <v xml:space="preserve"> </v>
      </c>
      <c r="D493" s="300"/>
      <c r="E493" s="300"/>
      <c r="F493" s="300"/>
      <c r="G493" s="300"/>
      <c r="H493" s="300"/>
      <c r="I493" s="300"/>
      <c r="J493" s="300"/>
      <c r="K493" s="300"/>
      <c r="L493" s="301"/>
      <c r="M493" s="424"/>
    </row>
    <row r="494" spans="1:13" ht="16.5" thickBot="1">
      <c r="A494" s="294"/>
      <c r="B494" s="295"/>
      <c r="C494" s="302" t="str">
        <f>'Data INPUT'!$B$18</f>
        <v xml:space="preserve"> </v>
      </c>
      <c r="D494" s="303"/>
      <c r="E494" s="303"/>
      <c r="F494" s="303"/>
      <c r="G494" s="303"/>
      <c r="H494" s="303"/>
      <c r="I494" s="303"/>
      <c r="J494" s="303"/>
      <c r="K494" s="303"/>
      <c r="L494" s="304"/>
      <c r="M494" s="424"/>
    </row>
    <row r="495" spans="1:13" ht="16.5" thickBot="1">
      <c r="A495" s="391" t="s">
        <v>80</v>
      </c>
      <c r="B495" s="392"/>
      <c r="C495" s="66" t="s">
        <v>42</v>
      </c>
      <c r="D495" s="66"/>
      <c r="E495" s="69" t="s">
        <v>43</v>
      </c>
      <c r="F495" s="66"/>
      <c r="G495" s="67"/>
      <c r="H495" s="275" t="s">
        <v>230</v>
      </c>
      <c r="I495" s="275"/>
      <c r="J495" s="275"/>
      <c r="K495" s="275"/>
      <c r="L495" s="393"/>
      <c r="M495" s="424"/>
    </row>
    <row r="496" spans="1:13" ht="15.75">
      <c r="A496" s="394" t="s">
        <v>81</v>
      </c>
      <c r="B496" s="395"/>
      <c r="C496" s="71" t="str">
        <f>'Data INPUT'!P26</f>
        <v xml:space="preserve"> </v>
      </c>
      <c r="D496" s="72" t="s">
        <v>82</v>
      </c>
      <c r="E496" s="70" t="str">
        <f>'Data INPUT'!P27</f>
        <v xml:space="preserve"> </v>
      </c>
      <c r="F496" s="73"/>
      <c r="G496" s="33"/>
      <c r="H496" s="396"/>
      <c r="I496" s="397"/>
      <c r="J496" s="397"/>
      <c r="K496" s="397"/>
      <c r="L496" s="398"/>
      <c r="M496" s="424"/>
    </row>
    <row r="497" spans="1:13" ht="15.75">
      <c r="A497" s="34" t="s">
        <v>83</v>
      </c>
      <c r="B497" s="35" t="str">
        <f>D498</f>
        <v>Select</v>
      </c>
      <c r="C497" s="65" t="str">
        <f>C496</f>
        <v xml:space="preserve"> </v>
      </c>
      <c r="D497" s="37"/>
      <c r="E497" s="36"/>
      <c r="F497" s="38"/>
      <c r="G497" s="38"/>
      <c r="H497" s="399" t="s">
        <v>84</v>
      </c>
      <c r="I497" s="400"/>
      <c r="J497" s="400"/>
      <c r="K497" s="400"/>
      <c r="L497" s="401"/>
      <c r="M497" s="424"/>
    </row>
    <row r="498" spans="1:13" ht="15.75">
      <c r="A498" s="39" t="s">
        <v>85</v>
      </c>
      <c r="B498" s="35" t="str">
        <f>D498</f>
        <v>Select</v>
      </c>
      <c r="C498" s="68" t="s">
        <v>33</v>
      </c>
      <c r="D498" s="37" t="str">
        <f>'Data INPUT'!P28</f>
        <v>Select</v>
      </c>
      <c r="E498" s="37"/>
      <c r="F498" s="37"/>
      <c r="G498" s="53"/>
      <c r="H498" s="267" t="s">
        <v>33</v>
      </c>
      <c r="I498" s="268"/>
      <c r="J498" s="268"/>
      <c r="K498" s="268"/>
      <c r="L498" s="269"/>
      <c r="M498" s="424"/>
    </row>
    <row r="499" spans="1:13" ht="16.5" thickBot="1">
      <c r="A499" s="40" t="s">
        <v>86</v>
      </c>
      <c r="B499" s="41" t="str">
        <f>'Data INPUT'!P29</f>
        <v>Standard</v>
      </c>
      <c r="C499" s="72" t="e">
        <f>E496-D498+10</f>
        <v>#VALUE!</v>
      </c>
      <c r="D499" s="42" t="s">
        <v>82</v>
      </c>
      <c r="E499" s="30">
        <v>100</v>
      </c>
      <c r="F499" s="42" t="s">
        <v>82</v>
      </c>
      <c r="G499" s="42">
        <v>53</v>
      </c>
      <c r="H499" s="373"/>
      <c r="I499" s="374"/>
      <c r="J499" s="374"/>
      <c r="K499" s="374"/>
      <c r="L499" s="375"/>
      <c r="M499" s="424"/>
    </row>
    <row r="500" spans="1:13" ht="15.75">
      <c r="A500" s="43" t="s">
        <v>87</v>
      </c>
      <c r="B500" s="44" t="s">
        <v>88</v>
      </c>
      <c r="C500" s="45" t="e">
        <f>C501</f>
        <v>#VALUE!</v>
      </c>
      <c r="D500" s="45" t="s">
        <v>82</v>
      </c>
      <c r="E500" s="140">
        <v>1</v>
      </c>
      <c r="F500" s="46"/>
      <c r="G500" s="46"/>
      <c r="H500" s="376" t="s">
        <v>89</v>
      </c>
      <c r="I500" s="377"/>
      <c r="J500" s="377"/>
      <c r="K500" s="377"/>
      <c r="L500" s="378"/>
      <c r="M500" s="424"/>
    </row>
    <row r="501" spans="1:13" ht="16.5" thickBot="1">
      <c r="A501" s="47" t="s">
        <v>90</v>
      </c>
      <c r="B501" s="48"/>
      <c r="C501" s="49" t="e">
        <f>C496-180</f>
        <v>#VALUE!</v>
      </c>
      <c r="D501" s="49" t="s">
        <v>82</v>
      </c>
      <c r="E501" s="137">
        <v>1</v>
      </c>
      <c r="F501" s="50"/>
      <c r="G501" s="50"/>
      <c r="H501" s="379"/>
      <c r="I501" s="380"/>
      <c r="J501" s="380"/>
      <c r="K501" s="380"/>
      <c r="L501" s="381"/>
      <c r="M501" s="424"/>
    </row>
    <row r="502" spans="1:13" ht="15.75">
      <c r="A502" s="382" t="s">
        <v>91</v>
      </c>
      <c r="B502" s="383"/>
      <c r="C502" s="52" t="e">
        <f>C496-230</f>
        <v>#VALUE!</v>
      </c>
      <c r="D502" s="384" t="s">
        <v>33</v>
      </c>
      <c r="E502" s="384"/>
      <c r="F502" s="384"/>
      <c r="G502" s="385"/>
      <c r="H502" s="386" t="s">
        <v>92</v>
      </c>
      <c r="I502" s="366"/>
      <c r="J502" s="366"/>
      <c r="K502" s="366"/>
      <c r="L502" s="367"/>
      <c r="M502" s="424"/>
    </row>
    <row r="503" spans="1:13" ht="16.5" thickBot="1">
      <c r="A503" s="387" t="s">
        <v>135</v>
      </c>
      <c r="B503" s="388"/>
      <c r="C503" s="37" t="e">
        <f>C504</f>
        <v>#VALUE!</v>
      </c>
      <c r="D503" s="389"/>
      <c r="E503" s="389"/>
      <c r="F503" s="389"/>
      <c r="G503" s="390"/>
      <c r="H503" s="373"/>
      <c r="I503" s="374"/>
      <c r="J503" s="374"/>
      <c r="K503" s="374"/>
      <c r="L503" s="375"/>
      <c r="M503" s="424"/>
    </row>
    <row r="504" spans="1:13" ht="15.75">
      <c r="A504" s="370" t="s">
        <v>73</v>
      </c>
      <c r="B504" s="371"/>
      <c r="C504" s="52" t="e">
        <f>C496-100</f>
        <v>#VALUE!</v>
      </c>
      <c r="D504" s="52" t="s">
        <v>82</v>
      </c>
      <c r="E504" s="51" t="e">
        <f>E496+300</f>
        <v>#VALUE!</v>
      </c>
      <c r="F504" s="52"/>
      <c r="G504" s="54"/>
      <c r="H504" s="351" t="s">
        <v>93</v>
      </c>
      <c r="I504" s="352"/>
      <c r="J504" s="352"/>
      <c r="K504" s="352"/>
      <c r="L504" s="353"/>
      <c r="M504" s="424"/>
    </row>
    <row r="505" spans="1:13" ht="16.5" thickBot="1">
      <c r="A505" s="294"/>
      <c r="B505" s="372"/>
      <c r="C505" s="354" t="s">
        <v>136</v>
      </c>
      <c r="D505" s="355"/>
      <c r="E505" s="355"/>
      <c r="F505" s="355"/>
      <c r="G505" s="356"/>
      <c r="H505" s="357" t="s">
        <v>94</v>
      </c>
      <c r="I505" s="358"/>
      <c r="J505" s="358"/>
      <c r="K505" s="358"/>
      <c r="L505" s="359"/>
      <c r="M505" s="424"/>
    </row>
    <row r="506" spans="1:13" ht="16.5" thickBot="1">
      <c r="A506" s="360" t="s">
        <v>95</v>
      </c>
      <c r="B506" s="361"/>
      <c r="C506" s="55" t="s">
        <v>33</v>
      </c>
      <c r="D506" s="75" t="s">
        <v>96</v>
      </c>
      <c r="E506" s="75" t="s">
        <v>33</v>
      </c>
      <c r="F506" s="75" t="s">
        <v>97</v>
      </c>
      <c r="G506" s="56" t="s">
        <v>33</v>
      </c>
      <c r="H506" s="368" t="s">
        <v>141</v>
      </c>
      <c r="I506" s="369"/>
      <c r="J506" s="369"/>
      <c r="K506" s="57">
        <v>300</v>
      </c>
      <c r="L506" s="144" t="s">
        <v>98</v>
      </c>
      <c r="M506" s="424"/>
    </row>
    <row r="507" spans="1:13" ht="15.75">
      <c r="A507" s="345" t="s">
        <v>99</v>
      </c>
      <c r="B507" s="346"/>
      <c r="C507" s="405" t="str">
        <f>'Data INPUT'!P34</f>
        <v>Select</v>
      </c>
      <c r="D507" s="384"/>
      <c r="E507" s="384"/>
      <c r="F507" s="384"/>
      <c r="G507" s="385"/>
      <c r="H507" s="27" t="s">
        <v>100</v>
      </c>
      <c r="I507" s="265"/>
      <c r="J507" s="265"/>
      <c r="K507" s="265"/>
      <c r="L507" s="266"/>
      <c r="M507" s="424"/>
    </row>
    <row r="508" spans="1:13" ht="16.5" thickBot="1">
      <c r="A508" s="274" t="s">
        <v>62</v>
      </c>
      <c r="B508" s="347"/>
      <c r="C508" s="322" t="str">
        <f>'Data INPUT'!P36</f>
        <v>Select</v>
      </c>
      <c r="D508" s="323"/>
      <c r="E508" s="323"/>
      <c r="F508" s="323"/>
      <c r="G508" s="324"/>
      <c r="H508" s="32"/>
      <c r="I508" s="320"/>
      <c r="J508" s="320"/>
      <c r="K508" s="320"/>
      <c r="L508" s="321"/>
      <c r="M508" s="424"/>
    </row>
    <row r="509" spans="1:13" ht="16.5" thickBot="1">
      <c r="A509" s="348" t="s">
        <v>101</v>
      </c>
      <c r="B509" s="349"/>
      <c r="C509" s="76" t="str">
        <f>'Data INPUT'!P35</f>
        <v>CSV x1</v>
      </c>
      <c r="D509" s="72" t="s">
        <v>33</v>
      </c>
      <c r="E509" s="306" t="s">
        <v>33</v>
      </c>
      <c r="F509" s="306"/>
      <c r="G509" s="350"/>
      <c r="H509" s="32" t="s">
        <v>100</v>
      </c>
      <c r="I509" s="58"/>
      <c r="J509" s="58"/>
      <c r="K509" s="58"/>
      <c r="L509" s="94"/>
      <c r="M509" s="424"/>
    </row>
    <row r="510" spans="1:13" ht="15.75">
      <c r="A510" s="342" t="s">
        <v>137</v>
      </c>
      <c r="B510" s="343"/>
      <c r="C510" s="343"/>
      <c r="D510" s="343"/>
      <c r="E510" s="343"/>
      <c r="F510" s="343"/>
      <c r="G510" s="343"/>
      <c r="H510" s="26" t="s">
        <v>102</v>
      </c>
      <c r="I510" s="59"/>
      <c r="J510" s="24"/>
      <c r="K510" s="24"/>
      <c r="L510" s="145">
        <f>'Data INPUT'!P42</f>
        <v>1</v>
      </c>
      <c r="M510" s="424"/>
    </row>
    <row r="511" spans="1:13" ht="15.75">
      <c r="A511" s="335" t="s">
        <v>65</v>
      </c>
      <c r="B511" s="336"/>
      <c r="C511" s="330" t="str">
        <f>'Data INPUT'!P37</f>
        <v>RAL 9010</v>
      </c>
      <c r="D511" s="331"/>
      <c r="E511" s="331"/>
      <c r="F511" s="331"/>
      <c r="G511" s="332"/>
      <c r="H511" s="333" t="s">
        <v>103</v>
      </c>
      <c r="I511" s="235"/>
      <c r="J511" s="235"/>
      <c r="K511" s="334"/>
      <c r="L511" s="146">
        <f>'Data INPUT'!P43</f>
        <v>0</v>
      </c>
      <c r="M511" s="424"/>
    </row>
    <row r="512" spans="1:13" ht="15.75">
      <c r="A512" s="327" t="s">
        <v>104</v>
      </c>
      <c r="B512" s="329"/>
      <c r="C512" s="330" t="str">
        <f>'Data INPUT'!P38</f>
        <v>RAL 9010</v>
      </c>
      <c r="D512" s="331"/>
      <c r="E512" s="331"/>
      <c r="F512" s="331"/>
      <c r="G512" s="332"/>
      <c r="H512" s="333" t="s">
        <v>105</v>
      </c>
      <c r="I512" s="235"/>
      <c r="J512" s="235"/>
      <c r="K512" s="334"/>
      <c r="L512" s="146">
        <f>'Data INPUT'!P44</f>
        <v>0</v>
      </c>
      <c r="M512" s="424"/>
    </row>
    <row r="513" spans="1:13" ht="15.75">
      <c r="A513" s="327" t="s">
        <v>106</v>
      </c>
      <c r="B513" s="329"/>
      <c r="C513" s="330" t="str">
        <f>'Data INPUT'!P39</f>
        <v>RAL 9010</v>
      </c>
      <c r="D513" s="331"/>
      <c r="E513" s="331"/>
      <c r="F513" s="331"/>
      <c r="G513" s="332"/>
      <c r="H513" s="333" t="s">
        <v>107</v>
      </c>
      <c r="I513" s="235"/>
      <c r="J513" s="235"/>
      <c r="K513" s="334"/>
      <c r="L513" s="146">
        <f>'Data INPUT'!P45</f>
        <v>0</v>
      </c>
      <c r="M513" s="424"/>
    </row>
    <row r="514" spans="1:13" ht="15.75">
      <c r="A514" s="335" t="s">
        <v>108</v>
      </c>
      <c r="B514" s="336"/>
      <c r="C514" s="330" t="str">
        <f>'Data INPUT'!P40</f>
        <v>RAL 9010</v>
      </c>
      <c r="D514" s="331"/>
      <c r="E514" s="331"/>
      <c r="F514" s="331"/>
      <c r="G514" s="332"/>
      <c r="H514" s="60" t="s">
        <v>109</v>
      </c>
      <c r="I514" s="62"/>
      <c r="J514" s="25"/>
      <c r="K514" s="25"/>
      <c r="L514" s="146">
        <f>'Data INPUT'!P46</f>
        <v>0</v>
      </c>
      <c r="M514" s="424"/>
    </row>
    <row r="515" spans="1:13" ht="15.75">
      <c r="A515" s="327" t="s">
        <v>110</v>
      </c>
      <c r="B515" s="329"/>
      <c r="C515" s="330" t="str">
        <f>'Data INPUT'!P41</f>
        <v>Select</v>
      </c>
      <c r="D515" s="331"/>
      <c r="E515" s="331"/>
      <c r="F515" s="331"/>
      <c r="G515" s="332"/>
      <c r="H515" s="60" t="s">
        <v>111</v>
      </c>
      <c r="I515" s="25"/>
      <c r="J515" s="25"/>
      <c r="K515" s="61"/>
      <c r="L515" s="146">
        <f>'Data INPUT'!P47</f>
        <v>0</v>
      </c>
      <c r="M515" s="424"/>
    </row>
    <row r="516" spans="1:13" ht="15.75" customHeight="1">
      <c r="A516" s="406" t="s">
        <v>112</v>
      </c>
      <c r="B516" s="407"/>
      <c r="C516" s="148"/>
      <c r="D516" s="148"/>
      <c r="E516" s="148"/>
      <c r="F516" s="408" t="s">
        <v>115</v>
      </c>
      <c r="G516" s="409"/>
      <c r="H516" s="60" t="s">
        <v>113</v>
      </c>
      <c r="I516" s="62"/>
      <c r="J516" s="25"/>
      <c r="K516" s="25"/>
      <c r="L516" s="146">
        <f>'Data INPUT'!P48</f>
        <v>0</v>
      </c>
      <c r="M516" s="424"/>
    </row>
    <row r="517" spans="1:13" ht="15.75" customHeight="1">
      <c r="A517" s="327" t="s">
        <v>114</v>
      </c>
      <c r="B517" s="328"/>
      <c r="C517" s="328"/>
      <c r="D517" s="87"/>
      <c r="E517" s="87" t="s">
        <v>33</v>
      </c>
      <c r="F517" s="88" t="s">
        <v>33</v>
      </c>
      <c r="G517" s="89" t="s">
        <v>33</v>
      </c>
      <c r="H517" s="325"/>
      <c r="I517" s="326"/>
      <c r="J517" s="326"/>
      <c r="K517" s="74"/>
      <c r="L517" s="146" t="s">
        <v>33</v>
      </c>
      <c r="M517" s="424"/>
    </row>
    <row r="518" spans="1:13" ht="15.75" customHeight="1">
      <c r="A518" s="327" t="s">
        <v>116</v>
      </c>
      <c r="B518" s="328"/>
      <c r="C518" s="328"/>
      <c r="D518" s="328"/>
      <c r="E518" s="329"/>
      <c r="F518" s="88" t="s">
        <v>33</v>
      </c>
      <c r="G518" s="89"/>
      <c r="H518" s="60"/>
      <c r="I518" s="62"/>
      <c r="J518" s="25"/>
      <c r="K518" s="25"/>
      <c r="L518" s="146" t="s">
        <v>33</v>
      </c>
      <c r="M518" s="424"/>
    </row>
    <row r="519" spans="1:13" ht="16.5" customHeight="1" thickBot="1">
      <c r="A519" s="337" t="s">
        <v>117</v>
      </c>
      <c r="B519" s="362"/>
      <c r="C519" s="362"/>
      <c r="D519" s="362"/>
      <c r="E519" s="338"/>
      <c r="F519" s="90" t="s">
        <v>33</v>
      </c>
      <c r="G519" s="91"/>
      <c r="H519" s="363"/>
      <c r="I519" s="364"/>
      <c r="J519" s="364"/>
      <c r="K519" s="364"/>
      <c r="L519" s="147" t="s">
        <v>33</v>
      </c>
      <c r="M519" s="424"/>
    </row>
    <row r="520" spans="1:13" ht="48" customHeight="1" thickBot="1">
      <c r="A520" s="92" t="s">
        <v>118</v>
      </c>
      <c r="B520" s="93"/>
      <c r="C520" s="77" t="s">
        <v>119</v>
      </c>
      <c r="D520" s="82"/>
      <c r="E520" s="83"/>
      <c r="F520" s="84"/>
      <c r="G520" s="85"/>
      <c r="H520" s="402"/>
      <c r="I520" s="403"/>
      <c r="J520" s="403"/>
      <c r="K520" s="403"/>
      <c r="L520" s="404"/>
      <c r="M520" s="425"/>
    </row>
    <row r="521" spans="1:13" ht="18.75" customHeight="1" thickBot="1">
      <c r="A521" s="251" t="s">
        <v>69</v>
      </c>
      <c r="B521" s="252"/>
      <c r="C521" s="253">
        <f ca="1">'Data INPUT'!$B$13</f>
        <v>46222</v>
      </c>
      <c r="D521" s="254"/>
      <c r="E521" s="254"/>
      <c r="F521" s="254"/>
      <c r="G521" s="255" t="s">
        <v>7</v>
      </c>
      <c r="H521" s="255"/>
      <c r="I521" s="255"/>
      <c r="J521" s="256" t="str">
        <f>'Data INPUT'!$B$14</f>
        <v xml:space="preserve"> </v>
      </c>
      <c r="K521" s="257"/>
      <c r="L521" s="258"/>
      <c r="M521" s="420" t="s">
        <v>155</v>
      </c>
    </row>
    <row r="522" spans="1:13" ht="15.75">
      <c r="A522" s="259" t="s">
        <v>70</v>
      </c>
      <c r="B522" s="260"/>
      <c r="C522" s="261" t="str">
        <f>'Data INPUT'!$B$4</f>
        <v xml:space="preserve"> </v>
      </c>
      <c r="D522" s="262"/>
      <c r="E522" s="262"/>
      <c r="F522" s="262"/>
      <c r="G522" s="262"/>
      <c r="H522" s="262"/>
      <c r="I522" s="263"/>
      <c r="J522" s="264" t="str">
        <f>'Data INPUT'!Q19</f>
        <v xml:space="preserve"> </v>
      </c>
      <c r="K522" s="265"/>
      <c r="L522" s="266"/>
      <c r="M522" s="421"/>
    </row>
    <row r="523" spans="1:13" ht="15.75">
      <c r="A523" s="232" t="s">
        <v>71</v>
      </c>
      <c r="B523" s="233"/>
      <c r="C523" s="234" t="str">
        <f>'Data INPUT'!$B$2</f>
        <v xml:space="preserve"> </v>
      </c>
      <c r="D523" s="235"/>
      <c r="E523" s="235"/>
      <c r="F523" s="235"/>
      <c r="G523" s="235"/>
      <c r="H523" s="235"/>
      <c r="I523" s="236"/>
      <c r="J523" s="237" t="str">
        <f>'Data INPUT'!Q24</f>
        <v xml:space="preserve"> </v>
      </c>
      <c r="K523" s="238"/>
      <c r="L523" s="239"/>
      <c r="M523" s="421"/>
    </row>
    <row r="524" spans="1:13" ht="16.5" thickBot="1">
      <c r="A524" s="240" t="s">
        <v>0</v>
      </c>
      <c r="B524" s="241"/>
      <c r="C524" s="242" t="str">
        <f>'Data INPUT'!$B$3</f>
        <v xml:space="preserve"> </v>
      </c>
      <c r="D524" s="243"/>
      <c r="E524" s="243"/>
      <c r="F524" s="243"/>
      <c r="G524" s="243"/>
      <c r="H524" s="243"/>
      <c r="I524" s="244"/>
      <c r="J524" s="317" t="str">
        <f>'Data INPUT'!Q18</f>
        <v>Curtain 14</v>
      </c>
      <c r="K524" s="318"/>
      <c r="L524" s="319"/>
      <c r="M524" s="421"/>
    </row>
    <row r="525" spans="1:13" ht="15.75">
      <c r="A525" s="245" t="str">
        <f>'Data INPUT'!Q21</f>
        <v>Select</v>
      </c>
      <c r="B525" s="247" t="str">
        <f>'Data INPUT'!Q25</f>
        <v>Select</v>
      </c>
      <c r="C525" s="248"/>
      <c r="D525" s="313" t="str">
        <f>'Data INPUT'!Q20</f>
        <v>Select</v>
      </c>
      <c r="E525" s="313"/>
      <c r="F525" s="314"/>
      <c r="G525" s="365" t="s">
        <v>72</v>
      </c>
      <c r="H525" s="366"/>
      <c r="I525" s="366"/>
      <c r="J525" s="366"/>
      <c r="K525" s="366"/>
      <c r="L525" s="367"/>
      <c r="M525" s="421"/>
    </row>
    <row r="526" spans="1:13" ht="16.5" thickBot="1">
      <c r="A526" s="246"/>
      <c r="B526" s="249"/>
      <c r="C526" s="250"/>
      <c r="D526" s="315"/>
      <c r="E526" s="315"/>
      <c r="F526" s="316"/>
      <c r="G526" s="305" t="str">
        <f>'Data INPUT'!$B$7</f>
        <v xml:space="preserve"> </v>
      </c>
      <c r="H526" s="306"/>
      <c r="I526" s="306"/>
      <c r="J526" s="306"/>
      <c r="K526" s="306"/>
      <c r="L526" s="307"/>
      <c r="M526" s="421"/>
    </row>
    <row r="527" spans="1:13" ht="15.75">
      <c r="A527" s="259" t="s">
        <v>74</v>
      </c>
      <c r="B527" s="260"/>
      <c r="C527" s="308" t="str">
        <f>'Data INPUT'!$B$12</f>
        <v>Select</v>
      </c>
      <c r="D527" s="308"/>
      <c r="E527" s="308"/>
      <c r="F527" s="309"/>
      <c r="G527" s="305" t="str">
        <f>'Data INPUT'!$B$8</f>
        <v xml:space="preserve"> </v>
      </c>
      <c r="H527" s="306"/>
      <c r="I527" s="306"/>
      <c r="J527" s="306"/>
      <c r="K527" s="306"/>
      <c r="L527" s="307"/>
      <c r="M527" s="421"/>
    </row>
    <row r="528" spans="1:13" ht="15.75">
      <c r="A528" s="232" t="s">
        <v>75</v>
      </c>
      <c r="B528" s="233"/>
      <c r="C528" s="310" t="str">
        <f>'Data INPUT'!Q23</f>
        <v>Select</v>
      </c>
      <c r="D528" s="311"/>
      <c r="E528" s="311"/>
      <c r="F528" s="312"/>
      <c r="G528" s="305" t="str">
        <f>'Data INPUT'!$B$9</f>
        <v xml:space="preserve"> </v>
      </c>
      <c r="H528" s="306"/>
      <c r="I528" s="306"/>
      <c r="J528" s="306"/>
      <c r="K528" s="306"/>
      <c r="L528" s="307"/>
      <c r="M528" s="421"/>
    </row>
    <row r="529" spans="1:13" ht="15.75">
      <c r="A529" s="270" t="s">
        <v>76</v>
      </c>
      <c r="B529" s="271"/>
      <c r="C529" s="276">
        <v>1</v>
      </c>
      <c r="D529" s="277"/>
      <c r="E529" s="277"/>
      <c r="F529" s="278"/>
      <c r="G529" s="285" t="str">
        <f>'Data INPUT'!$B$10</f>
        <v xml:space="preserve"> </v>
      </c>
      <c r="H529" s="286"/>
      <c r="I529" s="286"/>
      <c r="J529" s="286"/>
      <c r="K529" s="286"/>
      <c r="L529" s="287"/>
      <c r="M529" s="421"/>
    </row>
    <row r="530" spans="1:13" ht="15.75">
      <c r="A530" s="272"/>
      <c r="B530" s="273"/>
      <c r="C530" s="279"/>
      <c r="D530" s="280"/>
      <c r="E530" s="280"/>
      <c r="F530" s="281"/>
      <c r="G530" s="28" t="s">
        <v>77</v>
      </c>
      <c r="H530" s="29"/>
      <c r="I530" s="29"/>
      <c r="J530" s="288" t="str">
        <f>'Data INPUT'!$B$5</f>
        <v xml:space="preserve"> </v>
      </c>
      <c r="K530" s="288"/>
      <c r="L530" s="289"/>
      <c r="M530" s="421"/>
    </row>
    <row r="531" spans="1:13" ht="16.5" thickBot="1">
      <c r="A531" s="274"/>
      <c r="B531" s="275"/>
      <c r="C531" s="282"/>
      <c r="D531" s="283"/>
      <c r="E531" s="283"/>
      <c r="F531" s="284"/>
      <c r="G531" s="31" t="s">
        <v>78</v>
      </c>
      <c r="H531" s="32"/>
      <c r="I531" s="32"/>
      <c r="J531" s="290" t="str">
        <f>'Data INPUT'!$B$6</f>
        <v xml:space="preserve"> </v>
      </c>
      <c r="K531" s="290"/>
      <c r="L531" s="291"/>
      <c r="M531" s="421"/>
    </row>
    <row r="532" spans="1:13" ht="15.75">
      <c r="A532" s="292" t="s">
        <v>79</v>
      </c>
      <c r="B532" s="293"/>
      <c r="C532" s="296" t="str">
        <f>'Data INPUT'!$B$16</f>
        <v xml:space="preserve"> </v>
      </c>
      <c r="D532" s="297"/>
      <c r="E532" s="297"/>
      <c r="F532" s="297"/>
      <c r="G532" s="297"/>
      <c r="H532" s="297"/>
      <c r="I532" s="297"/>
      <c r="J532" s="297"/>
      <c r="K532" s="297"/>
      <c r="L532" s="298"/>
      <c r="M532" s="421"/>
    </row>
    <row r="533" spans="1:13" ht="15.75">
      <c r="A533" s="292"/>
      <c r="B533" s="293"/>
      <c r="C533" s="299" t="str">
        <f>'Data INPUT'!$B$17</f>
        <v xml:space="preserve"> </v>
      </c>
      <c r="D533" s="300"/>
      <c r="E533" s="300"/>
      <c r="F533" s="300"/>
      <c r="G533" s="300"/>
      <c r="H533" s="300"/>
      <c r="I533" s="300"/>
      <c r="J533" s="300"/>
      <c r="K533" s="300"/>
      <c r="L533" s="301"/>
      <c r="M533" s="421"/>
    </row>
    <row r="534" spans="1:13" ht="16.5" thickBot="1">
      <c r="A534" s="294"/>
      <c r="B534" s="295"/>
      <c r="C534" s="302" t="str">
        <f>'Data INPUT'!$B$18</f>
        <v xml:space="preserve"> </v>
      </c>
      <c r="D534" s="303"/>
      <c r="E534" s="303"/>
      <c r="F534" s="303"/>
      <c r="G534" s="303"/>
      <c r="H534" s="303"/>
      <c r="I534" s="303"/>
      <c r="J534" s="303"/>
      <c r="K534" s="303"/>
      <c r="L534" s="304"/>
      <c r="M534" s="421"/>
    </row>
    <row r="535" spans="1:13" ht="16.5" thickBot="1">
      <c r="A535" s="391" t="s">
        <v>80</v>
      </c>
      <c r="B535" s="392"/>
      <c r="C535" s="66" t="s">
        <v>42</v>
      </c>
      <c r="D535" s="66"/>
      <c r="E535" s="69" t="s">
        <v>43</v>
      </c>
      <c r="F535" s="66"/>
      <c r="G535" s="67"/>
      <c r="H535" s="275" t="s">
        <v>230</v>
      </c>
      <c r="I535" s="275"/>
      <c r="J535" s="275"/>
      <c r="K535" s="275"/>
      <c r="L535" s="393"/>
      <c r="M535" s="421"/>
    </row>
    <row r="536" spans="1:13" ht="15.75">
      <c r="A536" s="394" t="s">
        <v>81</v>
      </c>
      <c r="B536" s="395"/>
      <c r="C536" s="71" t="str">
        <f>'Data INPUT'!Q26</f>
        <v xml:space="preserve"> </v>
      </c>
      <c r="D536" s="72" t="s">
        <v>82</v>
      </c>
      <c r="E536" s="70" t="str">
        <f>'Data INPUT'!Q27</f>
        <v xml:space="preserve"> </v>
      </c>
      <c r="F536" s="73"/>
      <c r="G536" s="33"/>
      <c r="H536" s="396"/>
      <c r="I536" s="397"/>
      <c r="J536" s="397"/>
      <c r="K536" s="397"/>
      <c r="L536" s="398"/>
      <c r="M536" s="421"/>
    </row>
    <row r="537" spans="1:13" ht="15.75">
      <c r="A537" s="34" t="s">
        <v>83</v>
      </c>
      <c r="B537" s="35" t="str">
        <f>D538</f>
        <v>Select</v>
      </c>
      <c r="C537" s="65" t="str">
        <f>C536</f>
        <v xml:space="preserve"> </v>
      </c>
      <c r="D537" s="37"/>
      <c r="E537" s="36"/>
      <c r="F537" s="38"/>
      <c r="G537" s="38"/>
      <c r="H537" s="399" t="s">
        <v>84</v>
      </c>
      <c r="I537" s="400"/>
      <c r="J537" s="400"/>
      <c r="K537" s="400"/>
      <c r="L537" s="401"/>
      <c r="M537" s="421"/>
    </row>
    <row r="538" spans="1:13" ht="15.75">
      <c r="A538" s="39" t="s">
        <v>85</v>
      </c>
      <c r="B538" s="35" t="str">
        <f>D538</f>
        <v>Select</v>
      </c>
      <c r="C538" s="68" t="s">
        <v>33</v>
      </c>
      <c r="D538" s="37" t="str">
        <f>'Data INPUT'!Q28</f>
        <v>Select</v>
      </c>
      <c r="E538" s="37"/>
      <c r="F538" s="37"/>
      <c r="G538" s="53"/>
      <c r="H538" s="267" t="s">
        <v>33</v>
      </c>
      <c r="I538" s="268"/>
      <c r="J538" s="268"/>
      <c r="K538" s="268"/>
      <c r="L538" s="269"/>
      <c r="M538" s="421"/>
    </row>
    <row r="539" spans="1:13" ht="16.5" thickBot="1">
      <c r="A539" s="40" t="s">
        <v>86</v>
      </c>
      <c r="B539" s="41" t="str">
        <f>'Data INPUT'!Q29</f>
        <v>Standard</v>
      </c>
      <c r="C539" s="72" t="e">
        <f>E536-D538+10</f>
        <v>#VALUE!</v>
      </c>
      <c r="D539" s="42" t="s">
        <v>82</v>
      </c>
      <c r="E539" s="30">
        <v>100</v>
      </c>
      <c r="F539" s="42" t="s">
        <v>82</v>
      </c>
      <c r="G539" s="42">
        <v>53</v>
      </c>
      <c r="H539" s="373"/>
      <c r="I539" s="374"/>
      <c r="J539" s="374"/>
      <c r="K539" s="374"/>
      <c r="L539" s="375"/>
      <c r="M539" s="421"/>
    </row>
    <row r="540" spans="1:13" ht="15.75">
      <c r="A540" s="43" t="s">
        <v>87</v>
      </c>
      <c r="B540" s="44" t="s">
        <v>88</v>
      </c>
      <c r="C540" s="45" t="e">
        <f>C541</f>
        <v>#VALUE!</v>
      </c>
      <c r="D540" s="45" t="s">
        <v>82</v>
      </c>
      <c r="E540" s="140">
        <v>1</v>
      </c>
      <c r="F540" s="46"/>
      <c r="G540" s="46"/>
      <c r="H540" s="376" t="s">
        <v>89</v>
      </c>
      <c r="I540" s="377"/>
      <c r="J540" s="377"/>
      <c r="K540" s="377"/>
      <c r="L540" s="378"/>
      <c r="M540" s="421"/>
    </row>
    <row r="541" spans="1:13" ht="16.5" thickBot="1">
      <c r="A541" s="47" t="s">
        <v>90</v>
      </c>
      <c r="B541" s="48"/>
      <c r="C541" s="49" t="e">
        <f>C536-180</f>
        <v>#VALUE!</v>
      </c>
      <c r="D541" s="49" t="s">
        <v>82</v>
      </c>
      <c r="E541" s="137">
        <v>1</v>
      </c>
      <c r="F541" s="50"/>
      <c r="G541" s="50"/>
      <c r="H541" s="379"/>
      <c r="I541" s="380"/>
      <c r="J541" s="380"/>
      <c r="K541" s="380"/>
      <c r="L541" s="381"/>
      <c r="M541" s="421"/>
    </row>
    <row r="542" spans="1:13" ht="15.75">
      <c r="A542" s="382" t="s">
        <v>91</v>
      </c>
      <c r="B542" s="383"/>
      <c r="C542" s="52" t="e">
        <f>C536-230</f>
        <v>#VALUE!</v>
      </c>
      <c r="D542" s="384" t="s">
        <v>33</v>
      </c>
      <c r="E542" s="384"/>
      <c r="F542" s="384"/>
      <c r="G542" s="385"/>
      <c r="H542" s="386" t="s">
        <v>92</v>
      </c>
      <c r="I542" s="366"/>
      <c r="J542" s="366"/>
      <c r="K542" s="366"/>
      <c r="L542" s="367"/>
      <c r="M542" s="421"/>
    </row>
    <row r="543" spans="1:13" ht="16.5" thickBot="1">
      <c r="A543" s="387" t="s">
        <v>135</v>
      </c>
      <c r="B543" s="388"/>
      <c r="C543" s="37" t="e">
        <f>C544</f>
        <v>#VALUE!</v>
      </c>
      <c r="D543" s="389"/>
      <c r="E543" s="389"/>
      <c r="F543" s="389"/>
      <c r="G543" s="390"/>
      <c r="H543" s="373"/>
      <c r="I543" s="374"/>
      <c r="J543" s="374"/>
      <c r="K543" s="374"/>
      <c r="L543" s="375"/>
      <c r="M543" s="421"/>
    </row>
    <row r="544" spans="1:13" ht="15.75">
      <c r="A544" s="370" t="s">
        <v>73</v>
      </c>
      <c r="B544" s="371"/>
      <c r="C544" s="52" t="e">
        <f>C536-100</f>
        <v>#VALUE!</v>
      </c>
      <c r="D544" s="52" t="s">
        <v>82</v>
      </c>
      <c r="E544" s="51" t="e">
        <f>E536+300</f>
        <v>#VALUE!</v>
      </c>
      <c r="F544" s="52"/>
      <c r="G544" s="54"/>
      <c r="H544" s="351" t="s">
        <v>93</v>
      </c>
      <c r="I544" s="352"/>
      <c r="J544" s="352"/>
      <c r="K544" s="352"/>
      <c r="L544" s="353"/>
      <c r="M544" s="421"/>
    </row>
    <row r="545" spans="1:13" ht="16.5" thickBot="1">
      <c r="A545" s="294"/>
      <c r="B545" s="372"/>
      <c r="C545" s="354" t="s">
        <v>136</v>
      </c>
      <c r="D545" s="355"/>
      <c r="E545" s="355"/>
      <c r="F545" s="355"/>
      <c r="G545" s="356"/>
      <c r="H545" s="357" t="s">
        <v>94</v>
      </c>
      <c r="I545" s="358"/>
      <c r="J545" s="358"/>
      <c r="K545" s="358"/>
      <c r="L545" s="359"/>
      <c r="M545" s="421"/>
    </row>
    <row r="546" spans="1:13" ht="16.5" thickBot="1">
      <c r="A546" s="360" t="s">
        <v>95</v>
      </c>
      <c r="B546" s="361"/>
      <c r="C546" s="55" t="s">
        <v>33</v>
      </c>
      <c r="D546" s="75" t="s">
        <v>96</v>
      </c>
      <c r="E546" s="75" t="s">
        <v>33</v>
      </c>
      <c r="F546" s="75" t="s">
        <v>97</v>
      </c>
      <c r="G546" s="56" t="s">
        <v>33</v>
      </c>
      <c r="H546" s="368" t="s">
        <v>141</v>
      </c>
      <c r="I546" s="369"/>
      <c r="J546" s="369"/>
      <c r="K546" s="57">
        <v>300</v>
      </c>
      <c r="L546" s="144" t="s">
        <v>98</v>
      </c>
      <c r="M546" s="421"/>
    </row>
    <row r="547" spans="1:13" ht="15.75">
      <c r="A547" s="345" t="s">
        <v>99</v>
      </c>
      <c r="B547" s="346"/>
      <c r="C547" s="405" t="str">
        <f>'Data INPUT'!Q34</f>
        <v>Select</v>
      </c>
      <c r="D547" s="384"/>
      <c r="E547" s="384"/>
      <c r="F547" s="384"/>
      <c r="G547" s="385"/>
      <c r="H547" s="27" t="s">
        <v>100</v>
      </c>
      <c r="I547" s="265"/>
      <c r="J547" s="265"/>
      <c r="K547" s="265"/>
      <c r="L547" s="266"/>
      <c r="M547" s="421"/>
    </row>
    <row r="548" spans="1:13" ht="16.5" thickBot="1">
      <c r="A548" s="274" t="s">
        <v>62</v>
      </c>
      <c r="B548" s="347"/>
      <c r="C548" s="322" t="str">
        <f>'Data INPUT'!Q36</f>
        <v>Select</v>
      </c>
      <c r="D548" s="323"/>
      <c r="E548" s="323"/>
      <c r="F548" s="323"/>
      <c r="G548" s="324"/>
      <c r="H548" s="32"/>
      <c r="I548" s="320"/>
      <c r="J548" s="320"/>
      <c r="K548" s="320"/>
      <c r="L548" s="321"/>
      <c r="M548" s="421"/>
    </row>
    <row r="549" spans="1:13" ht="16.5" thickBot="1">
      <c r="A549" s="348" t="s">
        <v>101</v>
      </c>
      <c r="B549" s="349"/>
      <c r="C549" s="76" t="str">
        <f>'Data INPUT'!Q35</f>
        <v>CSV x1</v>
      </c>
      <c r="D549" s="72" t="s">
        <v>33</v>
      </c>
      <c r="E549" s="306" t="s">
        <v>33</v>
      </c>
      <c r="F549" s="306"/>
      <c r="G549" s="350"/>
      <c r="H549" s="32" t="s">
        <v>100</v>
      </c>
      <c r="I549" s="58"/>
      <c r="J549" s="58"/>
      <c r="K549" s="58"/>
      <c r="L549" s="94"/>
      <c r="M549" s="421"/>
    </row>
    <row r="550" spans="1:13" ht="15.75">
      <c r="A550" s="342" t="s">
        <v>137</v>
      </c>
      <c r="B550" s="343"/>
      <c r="C550" s="343"/>
      <c r="D550" s="343"/>
      <c r="E550" s="343"/>
      <c r="F550" s="343"/>
      <c r="G550" s="343"/>
      <c r="H550" s="26" t="s">
        <v>102</v>
      </c>
      <c r="I550" s="59"/>
      <c r="J550" s="24"/>
      <c r="K550" s="24"/>
      <c r="L550" s="145">
        <f>'Data INPUT'!Q42</f>
        <v>1</v>
      </c>
      <c r="M550" s="421"/>
    </row>
    <row r="551" spans="1:13" ht="15.75">
      <c r="A551" s="335" t="s">
        <v>65</v>
      </c>
      <c r="B551" s="336"/>
      <c r="C551" s="330" t="str">
        <f>'Data INPUT'!Q37</f>
        <v>RAL 9010</v>
      </c>
      <c r="D551" s="331"/>
      <c r="E551" s="331"/>
      <c r="F551" s="331"/>
      <c r="G551" s="332"/>
      <c r="H551" s="333" t="s">
        <v>103</v>
      </c>
      <c r="I551" s="235"/>
      <c r="J551" s="235"/>
      <c r="K551" s="334"/>
      <c r="L551" s="146">
        <f>'Data INPUT'!Q43</f>
        <v>0</v>
      </c>
      <c r="M551" s="421"/>
    </row>
    <row r="552" spans="1:13" ht="15.75">
      <c r="A552" s="327" t="s">
        <v>104</v>
      </c>
      <c r="B552" s="329"/>
      <c r="C552" s="330" t="str">
        <f>'Data INPUT'!Q38</f>
        <v>RAL 9010</v>
      </c>
      <c r="D552" s="331"/>
      <c r="E552" s="331"/>
      <c r="F552" s="331"/>
      <c r="G552" s="332"/>
      <c r="H552" s="333" t="s">
        <v>105</v>
      </c>
      <c r="I552" s="235"/>
      <c r="J552" s="235"/>
      <c r="K552" s="334"/>
      <c r="L552" s="146">
        <f>'Data INPUT'!Q44</f>
        <v>0</v>
      </c>
      <c r="M552" s="421"/>
    </row>
    <row r="553" spans="1:13" ht="15.75">
      <c r="A553" s="327" t="s">
        <v>106</v>
      </c>
      <c r="B553" s="329"/>
      <c r="C553" s="330" t="str">
        <f>'Data INPUT'!Q39</f>
        <v>RAL 9010</v>
      </c>
      <c r="D553" s="331"/>
      <c r="E553" s="331"/>
      <c r="F553" s="331"/>
      <c r="G553" s="332"/>
      <c r="H553" s="333" t="s">
        <v>107</v>
      </c>
      <c r="I553" s="235"/>
      <c r="J553" s="235"/>
      <c r="K553" s="334"/>
      <c r="L553" s="146">
        <f>'Data INPUT'!Q45</f>
        <v>0</v>
      </c>
      <c r="M553" s="421"/>
    </row>
    <row r="554" spans="1:13" ht="15.75">
      <c r="A554" s="335" t="s">
        <v>108</v>
      </c>
      <c r="B554" s="336"/>
      <c r="C554" s="330" t="str">
        <f>'Data INPUT'!Q40</f>
        <v>RAL 9010</v>
      </c>
      <c r="D554" s="331"/>
      <c r="E554" s="331"/>
      <c r="F554" s="331"/>
      <c r="G554" s="332"/>
      <c r="H554" s="60" t="s">
        <v>109</v>
      </c>
      <c r="I554" s="62"/>
      <c r="J554" s="25"/>
      <c r="K554" s="25"/>
      <c r="L554" s="146">
        <f>'Data INPUT'!Q46</f>
        <v>0</v>
      </c>
      <c r="M554" s="421"/>
    </row>
    <row r="555" spans="1:13" ht="15.75">
      <c r="A555" s="327" t="s">
        <v>110</v>
      </c>
      <c r="B555" s="329"/>
      <c r="C555" s="330" t="str">
        <f>'Data INPUT'!Q41</f>
        <v>Select</v>
      </c>
      <c r="D555" s="331"/>
      <c r="E555" s="331"/>
      <c r="F555" s="331"/>
      <c r="G555" s="332"/>
      <c r="H555" s="60" t="s">
        <v>111</v>
      </c>
      <c r="I555" s="25"/>
      <c r="J555" s="25"/>
      <c r="K555" s="61"/>
      <c r="L555" s="146">
        <f>'Data INPUT'!Q47</f>
        <v>0</v>
      </c>
      <c r="M555" s="421"/>
    </row>
    <row r="556" spans="1:13" ht="15.75" customHeight="1">
      <c r="A556" s="406" t="s">
        <v>112</v>
      </c>
      <c r="B556" s="407"/>
      <c r="C556" s="148"/>
      <c r="D556" s="148"/>
      <c r="E556" s="148"/>
      <c r="F556" s="408" t="s">
        <v>115</v>
      </c>
      <c r="G556" s="409"/>
      <c r="H556" s="60" t="s">
        <v>113</v>
      </c>
      <c r="I556" s="62"/>
      <c r="J556" s="25"/>
      <c r="K556" s="25"/>
      <c r="L556" s="146">
        <f>'Data INPUT'!Q48</f>
        <v>0</v>
      </c>
      <c r="M556" s="421"/>
    </row>
    <row r="557" spans="1:13" ht="15.75" customHeight="1">
      <c r="A557" s="327" t="s">
        <v>114</v>
      </c>
      <c r="B557" s="328"/>
      <c r="C557" s="328"/>
      <c r="D557" s="87"/>
      <c r="E557" s="87" t="s">
        <v>33</v>
      </c>
      <c r="F557" s="88" t="s">
        <v>33</v>
      </c>
      <c r="G557" s="89" t="s">
        <v>33</v>
      </c>
      <c r="H557" s="325"/>
      <c r="I557" s="326"/>
      <c r="J557" s="326"/>
      <c r="K557" s="74"/>
      <c r="L557" s="146" t="s">
        <v>33</v>
      </c>
      <c r="M557" s="421"/>
    </row>
    <row r="558" spans="1:13" ht="15.75" customHeight="1">
      <c r="A558" s="327" t="s">
        <v>116</v>
      </c>
      <c r="B558" s="328"/>
      <c r="C558" s="328"/>
      <c r="D558" s="328"/>
      <c r="E558" s="329"/>
      <c r="F558" s="88" t="s">
        <v>33</v>
      </c>
      <c r="G558" s="89"/>
      <c r="H558" s="60"/>
      <c r="I558" s="62"/>
      <c r="J558" s="25"/>
      <c r="K558" s="25"/>
      <c r="L558" s="146" t="s">
        <v>33</v>
      </c>
      <c r="M558" s="421"/>
    </row>
    <row r="559" spans="1:13" ht="16.5" customHeight="1" thickBot="1">
      <c r="A559" s="337" t="s">
        <v>117</v>
      </c>
      <c r="B559" s="362"/>
      <c r="C559" s="362"/>
      <c r="D559" s="362"/>
      <c r="E559" s="338"/>
      <c r="F559" s="90" t="s">
        <v>33</v>
      </c>
      <c r="G559" s="91"/>
      <c r="H559" s="363"/>
      <c r="I559" s="364"/>
      <c r="J559" s="364"/>
      <c r="K559" s="364"/>
      <c r="L559" s="147" t="s">
        <v>33</v>
      </c>
      <c r="M559" s="421"/>
    </row>
    <row r="560" spans="1:13" ht="48.75" customHeight="1" thickBot="1">
      <c r="A560" s="92" t="s">
        <v>118</v>
      </c>
      <c r="B560" s="93"/>
      <c r="C560" s="77" t="s">
        <v>119</v>
      </c>
      <c r="D560" s="82"/>
      <c r="E560" s="83"/>
      <c r="F560" s="84"/>
      <c r="G560" s="85"/>
      <c r="H560" s="402"/>
      <c r="I560" s="403"/>
      <c r="J560" s="403"/>
      <c r="K560" s="403"/>
      <c r="L560" s="404"/>
      <c r="M560" s="422"/>
    </row>
    <row r="561" spans="1:13" ht="19.5" customHeight="1" thickBot="1">
      <c r="A561" s="251" t="s">
        <v>69</v>
      </c>
      <c r="B561" s="252"/>
      <c r="C561" s="253">
        <f ca="1">'Data INPUT'!$B$13</f>
        <v>46222</v>
      </c>
      <c r="D561" s="254"/>
      <c r="E561" s="254"/>
      <c r="F561" s="254"/>
      <c r="G561" s="255" t="s">
        <v>7</v>
      </c>
      <c r="H561" s="255"/>
      <c r="I561" s="255"/>
      <c r="J561" s="256" t="str">
        <f>'Data INPUT'!$B$14</f>
        <v xml:space="preserve"> </v>
      </c>
      <c r="K561" s="257"/>
      <c r="L561" s="258"/>
      <c r="M561" s="423" t="s">
        <v>156</v>
      </c>
    </row>
    <row r="562" spans="1:13" ht="15.75">
      <c r="A562" s="259" t="s">
        <v>70</v>
      </c>
      <c r="B562" s="260"/>
      <c r="C562" s="261" t="str">
        <f>'Data INPUT'!$B$4</f>
        <v xml:space="preserve"> </v>
      </c>
      <c r="D562" s="262"/>
      <c r="E562" s="262"/>
      <c r="F562" s="262"/>
      <c r="G562" s="262"/>
      <c r="H562" s="262"/>
      <c r="I562" s="263"/>
      <c r="J562" s="264" t="str">
        <f>'Data INPUT'!R19</f>
        <v xml:space="preserve"> </v>
      </c>
      <c r="K562" s="265"/>
      <c r="L562" s="266"/>
      <c r="M562" s="424"/>
    </row>
    <row r="563" spans="1:13" ht="15.75">
      <c r="A563" s="232" t="s">
        <v>71</v>
      </c>
      <c r="B563" s="233"/>
      <c r="C563" s="234" t="str">
        <f>'Data INPUT'!$B$2</f>
        <v xml:space="preserve"> </v>
      </c>
      <c r="D563" s="235"/>
      <c r="E563" s="235"/>
      <c r="F563" s="235"/>
      <c r="G563" s="235"/>
      <c r="H563" s="235"/>
      <c r="I563" s="236"/>
      <c r="J563" s="237" t="str">
        <f>'Data INPUT'!R24</f>
        <v xml:space="preserve"> </v>
      </c>
      <c r="K563" s="238"/>
      <c r="L563" s="239"/>
      <c r="M563" s="424"/>
    </row>
    <row r="564" spans="1:13" ht="16.5" thickBot="1">
      <c r="A564" s="240" t="s">
        <v>0</v>
      </c>
      <c r="B564" s="241"/>
      <c r="C564" s="242" t="str">
        <f>'Data INPUT'!$B$3</f>
        <v xml:space="preserve"> </v>
      </c>
      <c r="D564" s="243"/>
      <c r="E564" s="243"/>
      <c r="F564" s="243"/>
      <c r="G564" s="243"/>
      <c r="H564" s="243"/>
      <c r="I564" s="244"/>
      <c r="J564" s="317" t="str">
        <f>'Data INPUT'!R18</f>
        <v>Curtain 15</v>
      </c>
      <c r="K564" s="318"/>
      <c r="L564" s="319"/>
      <c r="M564" s="424"/>
    </row>
    <row r="565" spans="1:13" ht="15.75">
      <c r="A565" s="245" t="str">
        <f>'Data INPUT'!R21</f>
        <v>Select</v>
      </c>
      <c r="B565" s="247" t="str">
        <f>'Data INPUT'!R25</f>
        <v>Select</v>
      </c>
      <c r="C565" s="248"/>
      <c r="D565" s="313" t="str">
        <f>'Data INPUT'!R20</f>
        <v>Select</v>
      </c>
      <c r="E565" s="313"/>
      <c r="F565" s="314"/>
      <c r="G565" s="365" t="s">
        <v>72</v>
      </c>
      <c r="H565" s="366"/>
      <c r="I565" s="366"/>
      <c r="J565" s="366"/>
      <c r="K565" s="366"/>
      <c r="L565" s="367"/>
      <c r="M565" s="424"/>
    </row>
    <row r="566" spans="1:13" ht="16.5" thickBot="1">
      <c r="A566" s="246"/>
      <c r="B566" s="249"/>
      <c r="C566" s="250"/>
      <c r="D566" s="315"/>
      <c r="E566" s="315"/>
      <c r="F566" s="316"/>
      <c r="G566" s="305" t="str">
        <f>'Data INPUT'!$B$7</f>
        <v xml:space="preserve"> </v>
      </c>
      <c r="H566" s="306"/>
      <c r="I566" s="306"/>
      <c r="J566" s="306"/>
      <c r="K566" s="306"/>
      <c r="L566" s="307"/>
      <c r="M566" s="424"/>
    </row>
    <row r="567" spans="1:13" ht="15.75">
      <c r="A567" s="259" t="s">
        <v>74</v>
      </c>
      <c r="B567" s="260"/>
      <c r="C567" s="308" t="str">
        <f>'Data INPUT'!$B$12</f>
        <v>Select</v>
      </c>
      <c r="D567" s="308"/>
      <c r="E567" s="308"/>
      <c r="F567" s="309"/>
      <c r="G567" s="305" t="str">
        <f>'Data INPUT'!$B$8</f>
        <v xml:space="preserve"> </v>
      </c>
      <c r="H567" s="306"/>
      <c r="I567" s="306"/>
      <c r="J567" s="306"/>
      <c r="K567" s="306"/>
      <c r="L567" s="307"/>
      <c r="M567" s="424"/>
    </row>
    <row r="568" spans="1:13" ht="15.75">
      <c r="A568" s="232" t="s">
        <v>75</v>
      </c>
      <c r="B568" s="233"/>
      <c r="C568" s="310" t="str">
        <f>'Data INPUT'!R23</f>
        <v>Select</v>
      </c>
      <c r="D568" s="311"/>
      <c r="E568" s="311"/>
      <c r="F568" s="312"/>
      <c r="G568" s="305" t="str">
        <f>'Data INPUT'!$B$9</f>
        <v xml:space="preserve"> </v>
      </c>
      <c r="H568" s="306"/>
      <c r="I568" s="306"/>
      <c r="J568" s="306"/>
      <c r="K568" s="306"/>
      <c r="L568" s="307"/>
      <c r="M568" s="424"/>
    </row>
    <row r="569" spans="1:13" ht="15.75">
      <c r="A569" s="270" t="s">
        <v>76</v>
      </c>
      <c r="B569" s="271"/>
      <c r="C569" s="276">
        <v>1</v>
      </c>
      <c r="D569" s="277"/>
      <c r="E569" s="277"/>
      <c r="F569" s="278"/>
      <c r="G569" s="285" t="str">
        <f>'Data INPUT'!$B$10</f>
        <v xml:space="preserve"> </v>
      </c>
      <c r="H569" s="286"/>
      <c r="I569" s="286"/>
      <c r="J569" s="286"/>
      <c r="K569" s="286"/>
      <c r="L569" s="287"/>
      <c r="M569" s="424"/>
    </row>
    <row r="570" spans="1:13" ht="15.75">
      <c r="A570" s="272"/>
      <c r="B570" s="273"/>
      <c r="C570" s="279"/>
      <c r="D570" s="280"/>
      <c r="E570" s="280"/>
      <c r="F570" s="281"/>
      <c r="G570" s="28" t="s">
        <v>77</v>
      </c>
      <c r="H570" s="29"/>
      <c r="I570" s="29"/>
      <c r="J570" s="288" t="str">
        <f>'Data INPUT'!$B$5</f>
        <v xml:space="preserve"> </v>
      </c>
      <c r="K570" s="288"/>
      <c r="L570" s="289"/>
      <c r="M570" s="424"/>
    </row>
    <row r="571" spans="1:13" ht="16.5" thickBot="1">
      <c r="A571" s="274"/>
      <c r="B571" s="275"/>
      <c r="C571" s="282"/>
      <c r="D571" s="283"/>
      <c r="E571" s="283"/>
      <c r="F571" s="284"/>
      <c r="G571" s="31" t="s">
        <v>78</v>
      </c>
      <c r="H571" s="32"/>
      <c r="I571" s="32"/>
      <c r="J571" s="290" t="str">
        <f>'Data INPUT'!$B$6</f>
        <v xml:space="preserve"> </v>
      </c>
      <c r="K571" s="290"/>
      <c r="L571" s="291"/>
      <c r="M571" s="424"/>
    </row>
    <row r="572" spans="1:13" ht="15.75">
      <c r="A572" s="292" t="s">
        <v>79</v>
      </c>
      <c r="B572" s="293"/>
      <c r="C572" s="296" t="str">
        <f>'Data INPUT'!$B$16</f>
        <v xml:space="preserve"> </v>
      </c>
      <c r="D572" s="297"/>
      <c r="E572" s="297"/>
      <c r="F572" s="297"/>
      <c r="G572" s="297"/>
      <c r="H572" s="297"/>
      <c r="I572" s="297"/>
      <c r="J572" s="297"/>
      <c r="K572" s="297"/>
      <c r="L572" s="298"/>
      <c r="M572" s="424"/>
    </row>
    <row r="573" spans="1:13" ht="15.75">
      <c r="A573" s="292"/>
      <c r="B573" s="293"/>
      <c r="C573" s="299" t="str">
        <f>'Data INPUT'!$B$17</f>
        <v xml:space="preserve"> </v>
      </c>
      <c r="D573" s="300"/>
      <c r="E573" s="300"/>
      <c r="F573" s="300"/>
      <c r="G573" s="300"/>
      <c r="H573" s="300"/>
      <c r="I573" s="300"/>
      <c r="J573" s="300"/>
      <c r="K573" s="300"/>
      <c r="L573" s="301"/>
      <c r="M573" s="424"/>
    </row>
    <row r="574" spans="1:13" ht="16.5" thickBot="1">
      <c r="A574" s="294"/>
      <c r="B574" s="295"/>
      <c r="C574" s="302" t="str">
        <f>'Data INPUT'!$B$18</f>
        <v xml:space="preserve"> </v>
      </c>
      <c r="D574" s="303"/>
      <c r="E574" s="303"/>
      <c r="F574" s="303"/>
      <c r="G574" s="303"/>
      <c r="H574" s="303"/>
      <c r="I574" s="303"/>
      <c r="J574" s="303"/>
      <c r="K574" s="303"/>
      <c r="L574" s="304"/>
      <c r="M574" s="424"/>
    </row>
    <row r="575" spans="1:13" ht="16.5" thickBot="1">
      <c r="A575" s="391" t="s">
        <v>80</v>
      </c>
      <c r="B575" s="392"/>
      <c r="C575" s="66" t="s">
        <v>42</v>
      </c>
      <c r="D575" s="66"/>
      <c r="E575" s="69" t="s">
        <v>43</v>
      </c>
      <c r="F575" s="66"/>
      <c r="G575" s="67"/>
      <c r="H575" s="275" t="s">
        <v>230</v>
      </c>
      <c r="I575" s="275"/>
      <c r="J575" s="275"/>
      <c r="K575" s="275"/>
      <c r="L575" s="393"/>
      <c r="M575" s="424"/>
    </row>
    <row r="576" spans="1:13" ht="15.75">
      <c r="A576" s="394" t="s">
        <v>81</v>
      </c>
      <c r="B576" s="395"/>
      <c r="C576" s="71" t="str">
        <f>'Data INPUT'!R26</f>
        <v xml:space="preserve"> </v>
      </c>
      <c r="D576" s="72" t="s">
        <v>82</v>
      </c>
      <c r="E576" s="70" t="str">
        <f>'Data INPUT'!R27</f>
        <v xml:space="preserve"> </v>
      </c>
      <c r="F576" s="73"/>
      <c r="G576" s="33"/>
      <c r="H576" s="396"/>
      <c r="I576" s="397"/>
      <c r="J576" s="397"/>
      <c r="K576" s="397"/>
      <c r="L576" s="398"/>
      <c r="M576" s="424"/>
    </row>
    <row r="577" spans="1:13" ht="15.75">
      <c r="A577" s="34" t="s">
        <v>83</v>
      </c>
      <c r="B577" s="35" t="str">
        <f>D578</f>
        <v>Select</v>
      </c>
      <c r="C577" s="65" t="str">
        <f>C576</f>
        <v xml:space="preserve"> </v>
      </c>
      <c r="D577" s="37"/>
      <c r="E577" s="36"/>
      <c r="F577" s="38"/>
      <c r="G577" s="38"/>
      <c r="H577" s="399" t="s">
        <v>84</v>
      </c>
      <c r="I577" s="400"/>
      <c r="J577" s="400"/>
      <c r="K577" s="400"/>
      <c r="L577" s="401"/>
      <c r="M577" s="424"/>
    </row>
    <row r="578" spans="1:13" ht="15.75">
      <c r="A578" s="39" t="s">
        <v>85</v>
      </c>
      <c r="B578" s="35" t="str">
        <f>D578</f>
        <v>Select</v>
      </c>
      <c r="C578" s="68" t="s">
        <v>33</v>
      </c>
      <c r="D578" s="37" t="str">
        <f>'Data INPUT'!R28</f>
        <v>Select</v>
      </c>
      <c r="E578" s="37"/>
      <c r="F578" s="37"/>
      <c r="G578" s="53"/>
      <c r="H578" s="267" t="s">
        <v>33</v>
      </c>
      <c r="I578" s="268"/>
      <c r="J578" s="268"/>
      <c r="K578" s="268"/>
      <c r="L578" s="269"/>
      <c r="M578" s="424"/>
    </row>
    <row r="579" spans="1:13" ht="16.5" thickBot="1">
      <c r="A579" s="40" t="s">
        <v>86</v>
      </c>
      <c r="B579" s="41" t="str">
        <f>'Data INPUT'!R29</f>
        <v>Standard</v>
      </c>
      <c r="C579" s="72" t="e">
        <f>E576-D578+10</f>
        <v>#VALUE!</v>
      </c>
      <c r="D579" s="42" t="s">
        <v>82</v>
      </c>
      <c r="E579" s="30">
        <v>100</v>
      </c>
      <c r="F579" s="42" t="s">
        <v>82</v>
      </c>
      <c r="G579" s="42">
        <v>53</v>
      </c>
      <c r="H579" s="373"/>
      <c r="I579" s="374"/>
      <c r="J579" s="374"/>
      <c r="K579" s="374"/>
      <c r="L579" s="375"/>
      <c r="M579" s="424"/>
    </row>
    <row r="580" spans="1:13" ht="15.75">
      <c r="A580" s="43" t="s">
        <v>87</v>
      </c>
      <c r="B580" s="44" t="s">
        <v>88</v>
      </c>
      <c r="C580" s="45" t="e">
        <f>C581</f>
        <v>#VALUE!</v>
      </c>
      <c r="D580" s="45" t="s">
        <v>82</v>
      </c>
      <c r="E580" s="140">
        <v>1</v>
      </c>
      <c r="F580" s="46"/>
      <c r="G580" s="46"/>
      <c r="H580" s="376" t="s">
        <v>89</v>
      </c>
      <c r="I580" s="377"/>
      <c r="J580" s="377"/>
      <c r="K580" s="377"/>
      <c r="L580" s="378"/>
      <c r="M580" s="424"/>
    </row>
    <row r="581" spans="1:13" ht="16.5" thickBot="1">
      <c r="A581" s="47" t="s">
        <v>90</v>
      </c>
      <c r="B581" s="48"/>
      <c r="C581" s="49" t="e">
        <f>C576-180</f>
        <v>#VALUE!</v>
      </c>
      <c r="D581" s="49" t="s">
        <v>82</v>
      </c>
      <c r="E581" s="137">
        <v>1</v>
      </c>
      <c r="F581" s="50"/>
      <c r="G581" s="50"/>
      <c r="H581" s="379"/>
      <c r="I581" s="380"/>
      <c r="J581" s="380"/>
      <c r="K581" s="380"/>
      <c r="L581" s="381"/>
      <c r="M581" s="424"/>
    </row>
    <row r="582" spans="1:13" ht="15.75">
      <c r="A582" s="382" t="s">
        <v>91</v>
      </c>
      <c r="B582" s="383"/>
      <c r="C582" s="52" t="e">
        <f>C576-230</f>
        <v>#VALUE!</v>
      </c>
      <c r="D582" s="384" t="s">
        <v>33</v>
      </c>
      <c r="E582" s="384"/>
      <c r="F582" s="384"/>
      <c r="G582" s="385"/>
      <c r="H582" s="386" t="s">
        <v>92</v>
      </c>
      <c r="I582" s="366"/>
      <c r="J582" s="366"/>
      <c r="K582" s="366"/>
      <c r="L582" s="367"/>
      <c r="M582" s="424"/>
    </row>
    <row r="583" spans="1:13" ht="16.5" thickBot="1">
      <c r="A583" s="387" t="s">
        <v>135</v>
      </c>
      <c r="B583" s="388"/>
      <c r="C583" s="37" t="e">
        <f>C584</f>
        <v>#VALUE!</v>
      </c>
      <c r="D583" s="389"/>
      <c r="E583" s="389"/>
      <c r="F583" s="389"/>
      <c r="G583" s="390"/>
      <c r="H583" s="373"/>
      <c r="I583" s="374"/>
      <c r="J583" s="374"/>
      <c r="K583" s="374"/>
      <c r="L583" s="375"/>
      <c r="M583" s="424"/>
    </row>
    <row r="584" spans="1:13" ht="15.75">
      <c r="A584" s="370" t="s">
        <v>73</v>
      </c>
      <c r="B584" s="371"/>
      <c r="C584" s="52" t="e">
        <f>C576-100</f>
        <v>#VALUE!</v>
      </c>
      <c r="D584" s="52" t="s">
        <v>82</v>
      </c>
      <c r="E584" s="51" t="e">
        <f>E576+300</f>
        <v>#VALUE!</v>
      </c>
      <c r="F584" s="52"/>
      <c r="G584" s="54"/>
      <c r="H584" s="351" t="s">
        <v>93</v>
      </c>
      <c r="I584" s="352"/>
      <c r="J584" s="352"/>
      <c r="K584" s="352"/>
      <c r="L584" s="353"/>
      <c r="M584" s="424"/>
    </row>
    <row r="585" spans="1:13" ht="16.5" thickBot="1">
      <c r="A585" s="294"/>
      <c r="B585" s="372"/>
      <c r="C585" s="354" t="s">
        <v>136</v>
      </c>
      <c r="D585" s="355"/>
      <c r="E585" s="355"/>
      <c r="F585" s="355"/>
      <c r="G585" s="356"/>
      <c r="H585" s="357" t="s">
        <v>94</v>
      </c>
      <c r="I585" s="358"/>
      <c r="J585" s="358"/>
      <c r="K585" s="358"/>
      <c r="L585" s="359"/>
      <c r="M585" s="424"/>
    </row>
    <row r="586" spans="1:13" ht="16.5" thickBot="1">
      <c r="A586" s="360" t="s">
        <v>95</v>
      </c>
      <c r="B586" s="361"/>
      <c r="C586" s="55" t="s">
        <v>33</v>
      </c>
      <c r="D586" s="75" t="s">
        <v>96</v>
      </c>
      <c r="E586" s="75" t="s">
        <v>33</v>
      </c>
      <c r="F586" s="75" t="s">
        <v>97</v>
      </c>
      <c r="G586" s="56" t="s">
        <v>33</v>
      </c>
      <c r="H586" s="368" t="s">
        <v>141</v>
      </c>
      <c r="I586" s="369"/>
      <c r="J586" s="369"/>
      <c r="K586" s="57">
        <v>300</v>
      </c>
      <c r="L586" s="144" t="s">
        <v>98</v>
      </c>
      <c r="M586" s="424"/>
    </row>
    <row r="587" spans="1:13" ht="15.75">
      <c r="A587" s="345" t="s">
        <v>99</v>
      </c>
      <c r="B587" s="346"/>
      <c r="C587" s="405" t="str">
        <f>'Data INPUT'!R34</f>
        <v>Select</v>
      </c>
      <c r="D587" s="384"/>
      <c r="E587" s="384"/>
      <c r="F587" s="384"/>
      <c r="G587" s="385"/>
      <c r="H587" s="27" t="s">
        <v>100</v>
      </c>
      <c r="I587" s="265"/>
      <c r="J587" s="265"/>
      <c r="K587" s="265"/>
      <c r="L587" s="266"/>
      <c r="M587" s="424"/>
    </row>
    <row r="588" spans="1:13" ht="16.5" thickBot="1">
      <c r="A588" s="274" t="s">
        <v>62</v>
      </c>
      <c r="B588" s="347"/>
      <c r="C588" s="322" t="str">
        <f>'Data INPUT'!R36</f>
        <v>Select</v>
      </c>
      <c r="D588" s="323"/>
      <c r="E588" s="323"/>
      <c r="F588" s="323"/>
      <c r="G588" s="324"/>
      <c r="H588" s="32"/>
      <c r="I588" s="320"/>
      <c r="J588" s="320"/>
      <c r="K588" s="320"/>
      <c r="L588" s="321"/>
      <c r="M588" s="424"/>
    </row>
    <row r="589" spans="1:13" ht="16.5" thickBot="1">
      <c r="A589" s="348" t="s">
        <v>101</v>
      </c>
      <c r="B589" s="349"/>
      <c r="C589" s="76" t="str">
        <f>'Data INPUT'!R35</f>
        <v>CSV x1</v>
      </c>
      <c r="D589" s="72" t="s">
        <v>33</v>
      </c>
      <c r="E589" s="306" t="s">
        <v>33</v>
      </c>
      <c r="F589" s="306"/>
      <c r="G589" s="350"/>
      <c r="H589" s="32" t="s">
        <v>100</v>
      </c>
      <c r="I589" s="58"/>
      <c r="J589" s="58"/>
      <c r="K589" s="58"/>
      <c r="L589" s="94"/>
      <c r="M589" s="424"/>
    </row>
    <row r="590" spans="1:13" ht="15.75">
      <c r="A590" s="342" t="s">
        <v>137</v>
      </c>
      <c r="B590" s="343"/>
      <c r="C590" s="343"/>
      <c r="D590" s="343"/>
      <c r="E590" s="343"/>
      <c r="F590" s="343"/>
      <c r="G590" s="343"/>
      <c r="H590" s="26" t="s">
        <v>102</v>
      </c>
      <c r="I590" s="59"/>
      <c r="J590" s="24"/>
      <c r="K590" s="24"/>
      <c r="L590" s="145">
        <f>'Data INPUT'!R42</f>
        <v>1</v>
      </c>
      <c r="M590" s="424"/>
    </row>
    <row r="591" spans="1:13" ht="15.75">
      <c r="A591" s="335" t="s">
        <v>65</v>
      </c>
      <c r="B591" s="336"/>
      <c r="C591" s="330" t="str">
        <f>'Data INPUT'!R37</f>
        <v>RAL 9010</v>
      </c>
      <c r="D591" s="331"/>
      <c r="E591" s="331"/>
      <c r="F591" s="331"/>
      <c r="G591" s="332"/>
      <c r="H591" s="333" t="s">
        <v>103</v>
      </c>
      <c r="I591" s="235"/>
      <c r="J591" s="235"/>
      <c r="K591" s="334"/>
      <c r="L591" s="146">
        <f>'Data INPUT'!R43</f>
        <v>0</v>
      </c>
      <c r="M591" s="424"/>
    </row>
    <row r="592" spans="1:13" ht="15.75">
      <c r="A592" s="327" t="s">
        <v>104</v>
      </c>
      <c r="B592" s="329"/>
      <c r="C592" s="330" t="str">
        <f>'Data INPUT'!R38</f>
        <v>RAL 9010</v>
      </c>
      <c r="D592" s="331"/>
      <c r="E592" s="331"/>
      <c r="F592" s="331"/>
      <c r="G592" s="332"/>
      <c r="H592" s="333" t="s">
        <v>105</v>
      </c>
      <c r="I592" s="235"/>
      <c r="J592" s="235"/>
      <c r="K592" s="334"/>
      <c r="L592" s="146">
        <f>'Data INPUT'!R44</f>
        <v>0</v>
      </c>
      <c r="M592" s="424"/>
    </row>
    <row r="593" spans="1:13" ht="15.75">
      <c r="A593" s="327" t="s">
        <v>106</v>
      </c>
      <c r="B593" s="329"/>
      <c r="C593" s="330" t="str">
        <f>'Data INPUT'!R39</f>
        <v>RAL 9010</v>
      </c>
      <c r="D593" s="331"/>
      <c r="E593" s="331"/>
      <c r="F593" s="331"/>
      <c r="G593" s="332"/>
      <c r="H593" s="333" t="s">
        <v>107</v>
      </c>
      <c r="I593" s="235"/>
      <c r="J593" s="235"/>
      <c r="K593" s="334"/>
      <c r="L593" s="146">
        <f>'Data INPUT'!R45</f>
        <v>0</v>
      </c>
      <c r="M593" s="424"/>
    </row>
    <row r="594" spans="1:13" ht="15.75">
      <c r="A594" s="335" t="s">
        <v>108</v>
      </c>
      <c r="B594" s="336"/>
      <c r="C594" s="330" t="str">
        <f>'Data INPUT'!R40</f>
        <v>RAL 9010</v>
      </c>
      <c r="D594" s="331"/>
      <c r="E594" s="331"/>
      <c r="F594" s="331"/>
      <c r="G594" s="332"/>
      <c r="H594" s="60" t="s">
        <v>109</v>
      </c>
      <c r="I594" s="62"/>
      <c r="J594" s="25"/>
      <c r="K594" s="25"/>
      <c r="L594" s="146">
        <f>'Data INPUT'!R46</f>
        <v>0</v>
      </c>
      <c r="M594" s="424"/>
    </row>
    <row r="595" spans="1:13" ht="15.75">
      <c r="A595" s="327" t="s">
        <v>110</v>
      </c>
      <c r="B595" s="329"/>
      <c r="C595" s="330" t="str">
        <f>'Data INPUT'!R41</f>
        <v>Select</v>
      </c>
      <c r="D595" s="331"/>
      <c r="E595" s="331"/>
      <c r="F595" s="331"/>
      <c r="G595" s="332"/>
      <c r="H595" s="60" t="s">
        <v>111</v>
      </c>
      <c r="I595" s="25"/>
      <c r="J595" s="25"/>
      <c r="K595" s="61"/>
      <c r="L595" s="146">
        <f>'Data INPUT'!R47</f>
        <v>0</v>
      </c>
      <c r="M595" s="424"/>
    </row>
    <row r="596" spans="1:13" ht="15.75" customHeight="1">
      <c r="A596" s="406" t="s">
        <v>112</v>
      </c>
      <c r="B596" s="407"/>
      <c r="C596" s="148"/>
      <c r="D596" s="148"/>
      <c r="E596" s="148"/>
      <c r="F596" s="408" t="s">
        <v>115</v>
      </c>
      <c r="G596" s="409"/>
      <c r="H596" s="60" t="s">
        <v>113</v>
      </c>
      <c r="I596" s="62"/>
      <c r="J596" s="25"/>
      <c r="K596" s="25"/>
      <c r="L596" s="146">
        <f>'Data INPUT'!R48</f>
        <v>0</v>
      </c>
      <c r="M596" s="424"/>
    </row>
    <row r="597" spans="1:13" ht="15.75" customHeight="1">
      <c r="A597" s="327" t="s">
        <v>114</v>
      </c>
      <c r="B597" s="328"/>
      <c r="C597" s="328"/>
      <c r="D597" s="87"/>
      <c r="E597" s="87" t="s">
        <v>33</v>
      </c>
      <c r="F597" s="88" t="s">
        <v>33</v>
      </c>
      <c r="G597" s="89" t="s">
        <v>33</v>
      </c>
      <c r="H597" s="325"/>
      <c r="I597" s="326"/>
      <c r="J597" s="326"/>
      <c r="K597" s="74"/>
      <c r="L597" s="146" t="s">
        <v>33</v>
      </c>
      <c r="M597" s="424"/>
    </row>
    <row r="598" spans="1:13" ht="15.75" customHeight="1">
      <c r="A598" s="327" t="s">
        <v>116</v>
      </c>
      <c r="B598" s="328"/>
      <c r="C598" s="328"/>
      <c r="D598" s="328"/>
      <c r="E598" s="329"/>
      <c r="F598" s="88" t="s">
        <v>33</v>
      </c>
      <c r="G598" s="89"/>
      <c r="H598" s="60"/>
      <c r="I598" s="62"/>
      <c r="J598" s="25"/>
      <c r="K598" s="25"/>
      <c r="L598" s="146" t="s">
        <v>33</v>
      </c>
      <c r="M598" s="424"/>
    </row>
    <row r="599" spans="1:13" ht="16.5" customHeight="1" thickBot="1">
      <c r="A599" s="337" t="s">
        <v>117</v>
      </c>
      <c r="B599" s="362"/>
      <c r="C599" s="362"/>
      <c r="D599" s="362"/>
      <c r="E599" s="338"/>
      <c r="F599" s="90" t="s">
        <v>33</v>
      </c>
      <c r="G599" s="91"/>
      <c r="H599" s="363"/>
      <c r="I599" s="364"/>
      <c r="J599" s="364"/>
      <c r="K599" s="364"/>
      <c r="L599" s="147" t="s">
        <v>33</v>
      </c>
      <c r="M599" s="424"/>
    </row>
    <row r="600" spans="1:13" ht="51" customHeight="1" thickBot="1">
      <c r="A600" s="92" t="s">
        <v>118</v>
      </c>
      <c r="B600" s="93"/>
      <c r="C600" s="77" t="s">
        <v>119</v>
      </c>
      <c r="D600" s="82"/>
      <c r="E600" s="83"/>
      <c r="F600" s="84"/>
      <c r="G600" s="85"/>
      <c r="H600" s="402"/>
      <c r="I600" s="403"/>
      <c r="J600" s="403"/>
      <c r="K600" s="403"/>
      <c r="L600" s="404"/>
      <c r="M600" s="425"/>
    </row>
    <row r="601" spans="1:13" ht="18.75" customHeight="1" thickBot="1">
      <c r="A601" s="251" t="s">
        <v>69</v>
      </c>
      <c r="B601" s="252"/>
      <c r="C601" s="253">
        <f ca="1">'Data INPUT'!$B$13</f>
        <v>46222</v>
      </c>
      <c r="D601" s="254"/>
      <c r="E601" s="254"/>
      <c r="F601" s="254"/>
      <c r="G601" s="255" t="s">
        <v>7</v>
      </c>
      <c r="H601" s="255"/>
      <c r="I601" s="255"/>
      <c r="J601" s="256" t="str">
        <f>'Data INPUT'!$B$14</f>
        <v xml:space="preserve"> </v>
      </c>
      <c r="K601" s="257"/>
      <c r="L601" s="258"/>
      <c r="M601" s="420" t="s">
        <v>157</v>
      </c>
    </row>
    <row r="602" spans="1:13" ht="15.75">
      <c r="A602" s="259" t="s">
        <v>70</v>
      </c>
      <c r="B602" s="260"/>
      <c r="C602" s="261" t="str">
        <f>'Data INPUT'!$B$4</f>
        <v xml:space="preserve"> </v>
      </c>
      <c r="D602" s="262"/>
      <c r="E602" s="262"/>
      <c r="F602" s="262"/>
      <c r="G602" s="262"/>
      <c r="H602" s="262"/>
      <c r="I602" s="263"/>
      <c r="J602" s="264" t="str">
        <f>'Data INPUT'!S19</f>
        <v xml:space="preserve"> </v>
      </c>
      <c r="K602" s="265"/>
      <c r="L602" s="266"/>
      <c r="M602" s="421"/>
    </row>
    <row r="603" spans="1:13" ht="15.75">
      <c r="A603" s="232" t="s">
        <v>71</v>
      </c>
      <c r="B603" s="233"/>
      <c r="C603" s="234" t="str">
        <f>'Data INPUT'!$B$2</f>
        <v xml:space="preserve"> </v>
      </c>
      <c r="D603" s="235"/>
      <c r="E603" s="235"/>
      <c r="F603" s="235"/>
      <c r="G603" s="235"/>
      <c r="H603" s="235"/>
      <c r="I603" s="236"/>
      <c r="J603" s="237" t="str">
        <f>'Data INPUT'!S24</f>
        <v xml:space="preserve"> </v>
      </c>
      <c r="K603" s="238"/>
      <c r="L603" s="239"/>
      <c r="M603" s="421"/>
    </row>
    <row r="604" spans="1:13" ht="16.5" thickBot="1">
      <c r="A604" s="240" t="s">
        <v>0</v>
      </c>
      <c r="B604" s="241"/>
      <c r="C604" s="242" t="str">
        <f>'Data INPUT'!$B$3</f>
        <v xml:space="preserve"> </v>
      </c>
      <c r="D604" s="243"/>
      <c r="E604" s="243"/>
      <c r="F604" s="243"/>
      <c r="G604" s="243"/>
      <c r="H604" s="243"/>
      <c r="I604" s="244"/>
      <c r="J604" s="317" t="str">
        <f>'Data INPUT'!S18</f>
        <v>Curtain 16</v>
      </c>
      <c r="K604" s="318"/>
      <c r="L604" s="319"/>
      <c r="M604" s="421"/>
    </row>
    <row r="605" spans="1:13" ht="15.75">
      <c r="A605" s="245" t="str">
        <f>'Data INPUT'!S21</f>
        <v>Select</v>
      </c>
      <c r="B605" s="247" t="str">
        <f>'Data INPUT'!S25</f>
        <v>Select</v>
      </c>
      <c r="C605" s="248"/>
      <c r="D605" s="313" t="str">
        <f>'Data INPUT'!S20</f>
        <v>Select</v>
      </c>
      <c r="E605" s="313"/>
      <c r="F605" s="314"/>
      <c r="G605" s="365" t="s">
        <v>72</v>
      </c>
      <c r="H605" s="366"/>
      <c r="I605" s="366"/>
      <c r="J605" s="366"/>
      <c r="K605" s="366"/>
      <c r="L605" s="367"/>
      <c r="M605" s="421"/>
    </row>
    <row r="606" spans="1:13" ht="16.5" thickBot="1">
      <c r="A606" s="246"/>
      <c r="B606" s="249"/>
      <c r="C606" s="250"/>
      <c r="D606" s="315"/>
      <c r="E606" s="315"/>
      <c r="F606" s="316"/>
      <c r="G606" s="305" t="str">
        <f>'Data INPUT'!$B$7</f>
        <v xml:space="preserve"> </v>
      </c>
      <c r="H606" s="306"/>
      <c r="I606" s="306"/>
      <c r="J606" s="306"/>
      <c r="K606" s="306"/>
      <c r="L606" s="307"/>
      <c r="M606" s="421"/>
    </row>
    <row r="607" spans="1:13" ht="15.75">
      <c r="A607" s="259" t="s">
        <v>74</v>
      </c>
      <c r="B607" s="260"/>
      <c r="C607" s="308" t="str">
        <f>'Data INPUT'!$B$12</f>
        <v>Select</v>
      </c>
      <c r="D607" s="308"/>
      <c r="E607" s="308"/>
      <c r="F607" s="309"/>
      <c r="G607" s="305" t="str">
        <f>'Data INPUT'!$B$8</f>
        <v xml:space="preserve"> </v>
      </c>
      <c r="H607" s="306"/>
      <c r="I607" s="306"/>
      <c r="J607" s="306"/>
      <c r="K607" s="306"/>
      <c r="L607" s="307"/>
      <c r="M607" s="421"/>
    </row>
    <row r="608" spans="1:13" ht="15.75">
      <c r="A608" s="232" t="s">
        <v>75</v>
      </c>
      <c r="B608" s="233"/>
      <c r="C608" s="310" t="str">
        <f>'Data INPUT'!S23</f>
        <v>Select</v>
      </c>
      <c r="D608" s="311"/>
      <c r="E608" s="311"/>
      <c r="F608" s="312"/>
      <c r="G608" s="305" t="str">
        <f>'Data INPUT'!$B$9</f>
        <v xml:space="preserve"> </v>
      </c>
      <c r="H608" s="306"/>
      <c r="I608" s="306"/>
      <c r="J608" s="306"/>
      <c r="K608" s="306"/>
      <c r="L608" s="307"/>
      <c r="M608" s="421"/>
    </row>
    <row r="609" spans="1:13" ht="15.75">
      <c r="A609" s="270" t="s">
        <v>76</v>
      </c>
      <c r="B609" s="271"/>
      <c r="C609" s="276">
        <v>1</v>
      </c>
      <c r="D609" s="277"/>
      <c r="E609" s="277"/>
      <c r="F609" s="278"/>
      <c r="G609" s="285" t="str">
        <f>'Data INPUT'!$B$10</f>
        <v xml:space="preserve"> </v>
      </c>
      <c r="H609" s="286"/>
      <c r="I609" s="286"/>
      <c r="J609" s="286"/>
      <c r="K609" s="286"/>
      <c r="L609" s="287"/>
      <c r="M609" s="421"/>
    </row>
    <row r="610" spans="1:13" ht="15.75">
      <c r="A610" s="272"/>
      <c r="B610" s="273"/>
      <c r="C610" s="279"/>
      <c r="D610" s="280"/>
      <c r="E610" s="280"/>
      <c r="F610" s="281"/>
      <c r="G610" s="28" t="s">
        <v>77</v>
      </c>
      <c r="H610" s="29"/>
      <c r="I610" s="29"/>
      <c r="J610" s="288" t="str">
        <f>'Data INPUT'!$B$5</f>
        <v xml:space="preserve"> </v>
      </c>
      <c r="K610" s="288"/>
      <c r="L610" s="289"/>
      <c r="M610" s="421"/>
    </row>
    <row r="611" spans="1:13" ht="16.5" thickBot="1">
      <c r="A611" s="274"/>
      <c r="B611" s="275"/>
      <c r="C611" s="282"/>
      <c r="D611" s="283"/>
      <c r="E611" s="283"/>
      <c r="F611" s="284"/>
      <c r="G611" s="31" t="s">
        <v>78</v>
      </c>
      <c r="H611" s="32"/>
      <c r="I611" s="32"/>
      <c r="J611" s="290" t="str">
        <f>'Data INPUT'!$B$6</f>
        <v xml:space="preserve"> </v>
      </c>
      <c r="K611" s="290"/>
      <c r="L611" s="291"/>
      <c r="M611" s="421"/>
    </row>
    <row r="612" spans="1:13" ht="15.75">
      <c r="A612" s="292" t="s">
        <v>79</v>
      </c>
      <c r="B612" s="293"/>
      <c r="C612" s="296" t="str">
        <f>'Data INPUT'!$B$16</f>
        <v xml:space="preserve"> </v>
      </c>
      <c r="D612" s="297"/>
      <c r="E612" s="297"/>
      <c r="F612" s="297"/>
      <c r="G612" s="297"/>
      <c r="H612" s="297"/>
      <c r="I612" s="297"/>
      <c r="J612" s="297"/>
      <c r="K612" s="297"/>
      <c r="L612" s="298"/>
      <c r="M612" s="421"/>
    </row>
    <row r="613" spans="1:13" ht="15.75">
      <c r="A613" s="292"/>
      <c r="B613" s="293"/>
      <c r="C613" s="299" t="str">
        <f>'Data INPUT'!$B$17</f>
        <v xml:space="preserve"> </v>
      </c>
      <c r="D613" s="300"/>
      <c r="E613" s="300"/>
      <c r="F613" s="300"/>
      <c r="G613" s="300"/>
      <c r="H613" s="300"/>
      <c r="I613" s="300"/>
      <c r="J613" s="300"/>
      <c r="K613" s="300"/>
      <c r="L613" s="301"/>
      <c r="M613" s="421"/>
    </row>
    <row r="614" spans="1:13" ht="16.5" thickBot="1">
      <c r="A614" s="294"/>
      <c r="B614" s="295"/>
      <c r="C614" s="302" t="str">
        <f>'Data INPUT'!$B$18</f>
        <v xml:space="preserve"> </v>
      </c>
      <c r="D614" s="303"/>
      <c r="E614" s="303"/>
      <c r="F614" s="303"/>
      <c r="G614" s="303"/>
      <c r="H614" s="303"/>
      <c r="I614" s="303"/>
      <c r="J614" s="303"/>
      <c r="K614" s="303"/>
      <c r="L614" s="304"/>
      <c r="M614" s="421"/>
    </row>
    <row r="615" spans="1:13" ht="16.5" thickBot="1">
      <c r="A615" s="391" t="s">
        <v>80</v>
      </c>
      <c r="B615" s="392"/>
      <c r="C615" s="66" t="s">
        <v>42</v>
      </c>
      <c r="D615" s="66"/>
      <c r="E615" s="69" t="s">
        <v>43</v>
      </c>
      <c r="F615" s="66"/>
      <c r="G615" s="67"/>
      <c r="H615" s="275" t="s">
        <v>230</v>
      </c>
      <c r="I615" s="275"/>
      <c r="J615" s="275"/>
      <c r="K615" s="275"/>
      <c r="L615" s="393"/>
      <c r="M615" s="421"/>
    </row>
    <row r="616" spans="1:13" ht="15.75">
      <c r="A616" s="394" t="s">
        <v>81</v>
      </c>
      <c r="B616" s="395"/>
      <c r="C616" s="71" t="str">
        <f>'Data INPUT'!S26</f>
        <v xml:space="preserve"> </v>
      </c>
      <c r="D616" s="72" t="s">
        <v>82</v>
      </c>
      <c r="E616" s="70" t="str">
        <f>'Data INPUT'!S27</f>
        <v xml:space="preserve"> </v>
      </c>
      <c r="F616" s="73"/>
      <c r="G616" s="33"/>
      <c r="H616" s="396"/>
      <c r="I616" s="397"/>
      <c r="J616" s="397"/>
      <c r="K616" s="397"/>
      <c r="L616" s="398"/>
      <c r="M616" s="421"/>
    </row>
    <row r="617" spans="1:13" ht="15.75">
      <c r="A617" s="34" t="s">
        <v>83</v>
      </c>
      <c r="B617" s="35" t="str">
        <f>D618</f>
        <v>Select</v>
      </c>
      <c r="C617" s="65" t="str">
        <f>C616</f>
        <v xml:space="preserve"> </v>
      </c>
      <c r="D617" s="37"/>
      <c r="E617" s="36"/>
      <c r="F617" s="38"/>
      <c r="G617" s="38"/>
      <c r="H617" s="399" t="s">
        <v>84</v>
      </c>
      <c r="I617" s="400"/>
      <c r="J617" s="400"/>
      <c r="K617" s="400"/>
      <c r="L617" s="401"/>
      <c r="M617" s="421"/>
    </row>
    <row r="618" spans="1:13" ht="15.75">
      <c r="A618" s="39" t="s">
        <v>85</v>
      </c>
      <c r="B618" s="35" t="str">
        <f>D618</f>
        <v>Select</v>
      </c>
      <c r="C618" s="68" t="s">
        <v>33</v>
      </c>
      <c r="D618" s="37" t="str">
        <f>'Data INPUT'!S28</f>
        <v>Select</v>
      </c>
      <c r="E618" s="37"/>
      <c r="F618" s="37"/>
      <c r="G618" s="53"/>
      <c r="H618" s="267" t="s">
        <v>33</v>
      </c>
      <c r="I618" s="268"/>
      <c r="J618" s="268"/>
      <c r="K618" s="268"/>
      <c r="L618" s="269"/>
      <c r="M618" s="421"/>
    </row>
    <row r="619" spans="1:13" ht="16.5" thickBot="1">
      <c r="A619" s="40" t="s">
        <v>86</v>
      </c>
      <c r="B619" s="41" t="str">
        <f>'Data INPUT'!S29</f>
        <v>Standard</v>
      </c>
      <c r="C619" s="72" t="e">
        <f>E616-D618+10</f>
        <v>#VALUE!</v>
      </c>
      <c r="D619" s="42" t="s">
        <v>82</v>
      </c>
      <c r="E619" s="30">
        <v>100</v>
      </c>
      <c r="F619" s="42" t="s">
        <v>82</v>
      </c>
      <c r="G619" s="42">
        <v>53</v>
      </c>
      <c r="H619" s="373"/>
      <c r="I619" s="374"/>
      <c r="J619" s="374"/>
      <c r="K619" s="374"/>
      <c r="L619" s="375"/>
      <c r="M619" s="421"/>
    </row>
    <row r="620" spans="1:13" ht="15.75">
      <c r="A620" s="43" t="s">
        <v>87</v>
      </c>
      <c r="B620" s="44" t="s">
        <v>88</v>
      </c>
      <c r="C620" s="45" t="e">
        <f>C621</f>
        <v>#VALUE!</v>
      </c>
      <c r="D620" s="45" t="s">
        <v>82</v>
      </c>
      <c r="E620" s="140">
        <v>1</v>
      </c>
      <c r="F620" s="46"/>
      <c r="G620" s="46"/>
      <c r="H620" s="376" t="s">
        <v>89</v>
      </c>
      <c r="I620" s="377"/>
      <c r="J620" s="377"/>
      <c r="K620" s="377"/>
      <c r="L620" s="378"/>
      <c r="M620" s="421"/>
    </row>
    <row r="621" spans="1:13" ht="16.5" thickBot="1">
      <c r="A621" s="47" t="s">
        <v>90</v>
      </c>
      <c r="B621" s="48"/>
      <c r="C621" s="49" t="e">
        <f>C616-180</f>
        <v>#VALUE!</v>
      </c>
      <c r="D621" s="49" t="s">
        <v>82</v>
      </c>
      <c r="E621" s="137">
        <v>1</v>
      </c>
      <c r="F621" s="50"/>
      <c r="G621" s="50"/>
      <c r="H621" s="379"/>
      <c r="I621" s="380"/>
      <c r="J621" s="380"/>
      <c r="K621" s="380"/>
      <c r="L621" s="381"/>
      <c r="M621" s="421"/>
    </row>
    <row r="622" spans="1:13" ht="15.75">
      <c r="A622" s="382" t="s">
        <v>91</v>
      </c>
      <c r="B622" s="383"/>
      <c r="C622" s="52" t="e">
        <f>C616-230</f>
        <v>#VALUE!</v>
      </c>
      <c r="D622" s="384" t="s">
        <v>33</v>
      </c>
      <c r="E622" s="384"/>
      <c r="F622" s="384"/>
      <c r="G622" s="385"/>
      <c r="H622" s="386" t="s">
        <v>92</v>
      </c>
      <c r="I622" s="366"/>
      <c r="J622" s="366"/>
      <c r="K622" s="366"/>
      <c r="L622" s="367"/>
      <c r="M622" s="421"/>
    </row>
    <row r="623" spans="1:13" ht="16.5" thickBot="1">
      <c r="A623" s="387" t="s">
        <v>135</v>
      </c>
      <c r="B623" s="388"/>
      <c r="C623" s="37" t="e">
        <f>C624</f>
        <v>#VALUE!</v>
      </c>
      <c r="D623" s="389"/>
      <c r="E623" s="389"/>
      <c r="F623" s="389"/>
      <c r="G623" s="390"/>
      <c r="H623" s="373"/>
      <c r="I623" s="374"/>
      <c r="J623" s="374"/>
      <c r="K623" s="374"/>
      <c r="L623" s="375"/>
      <c r="M623" s="421"/>
    </row>
    <row r="624" spans="1:13" ht="15.75">
      <c r="A624" s="370" t="s">
        <v>73</v>
      </c>
      <c r="B624" s="371"/>
      <c r="C624" s="52" t="e">
        <f>C616-100</f>
        <v>#VALUE!</v>
      </c>
      <c r="D624" s="52" t="s">
        <v>82</v>
      </c>
      <c r="E624" s="51" t="e">
        <f>E616+300</f>
        <v>#VALUE!</v>
      </c>
      <c r="F624" s="52"/>
      <c r="G624" s="54"/>
      <c r="H624" s="351" t="s">
        <v>93</v>
      </c>
      <c r="I624" s="352"/>
      <c r="J624" s="352"/>
      <c r="K624" s="352"/>
      <c r="L624" s="353"/>
      <c r="M624" s="421"/>
    </row>
    <row r="625" spans="1:13" ht="16.5" thickBot="1">
      <c r="A625" s="294"/>
      <c r="B625" s="372"/>
      <c r="C625" s="354" t="s">
        <v>136</v>
      </c>
      <c r="D625" s="355"/>
      <c r="E625" s="355"/>
      <c r="F625" s="355"/>
      <c r="G625" s="356"/>
      <c r="H625" s="357" t="s">
        <v>94</v>
      </c>
      <c r="I625" s="358"/>
      <c r="J625" s="358"/>
      <c r="K625" s="358"/>
      <c r="L625" s="359"/>
      <c r="M625" s="421"/>
    </row>
    <row r="626" spans="1:13" ht="16.5" thickBot="1">
      <c r="A626" s="360" t="s">
        <v>95</v>
      </c>
      <c r="B626" s="361"/>
      <c r="C626" s="55" t="s">
        <v>33</v>
      </c>
      <c r="D626" s="75" t="s">
        <v>96</v>
      </c>
      <c r="E626" s="75" t="s">
        <v>33</v>
      </c>
      <c r="F626" s="75" t="s">
        <v>97</v>
      </c>
      <c r="G626" s="56" t="s">
        <v>33</v>
      </c>
      <c r="H626" s="368" t="s">
        <v>141</v>
      </c>
      <c r="I626" s="369"/>
      <c r="J626" s="369"/>
      <c r="K626" s="57">
        <v>300</v>
      </c>
      <c r="L626" s="144" t="s">
        <v>98</v>
      </c>
      <c r="M626" s="421"/>
    </row>
    <row r="627" spans="1:13" ht="15.75">
      <c r="A627" s="345" t="s">
        <v>99</v>
      </c>
      <c r="B627" s="346"/>
      <c r="C627" s="405" t="str">
        <f>'Data INPUT'!S34</f>
        <v>Select</v>
      </c>
      <c r="D627" s="384"/>
      <c r="E627" s="384"/>
      <c r="F627" s="384"/>
      <c r="G627" s="385"/>
      <c r="H627" s="27" t="s">
        <v>100</v>
      </c>
      <c r="I627" s="265"/>
      <c r="J627" s="265"/>
      <c r="K627" s="265"/>
      <c r="L627" s="266"/>
      <c r="M627" s="421"/>
    </row>
    <row r="628" spans="1:13" ht="16.5" thickBot="1">
      <c r="A628" s="274" t="s">
        <v>62</v>
      </c>
      <c r="B628" s="347"/>
      <c r="C628" s="322" t="str">
        <f>'Data INPUT'!S36</f>
        <v>Select</v>
      </c>
      <c r="D628" s="323"/>
      <c r="E628" s="323"/>
      <c r="F628" s="323"/>
      <c r="G628" s="324"/>
      <c r="H628" s="32"/>
      <c r="I628" s="320"/>
      <c r="J628" s="320"/>
      <c r="K628" s="320"/>
      <c r="L628" s="321"/>
      <c r="M628" s="421"/>
    </row>
    <row r="629" spans="1:13" ht="16.5" thickBot="1">
      <c r="A629" s="348" t="s">
        <v>101</v>
      </c>
      <c r="B629" s="349"/>
      <c r="C629" s="76" t="str">
        <f>'Data INPUT'!S35</f>
        <v>CSV x1</v>
      </c>
      <c r="D629" s="72" t="s">
        <v>33</v>
      </c>
      <c r="E629" s="306" t="s">
        <v>33</v>
      </c>
      <c r="F629" s="306"/>
      <c r="G629" s="350"/>
      <c r="H629" s="32" t="s">
        <v>100</v>
      </c>
      <c r="I629" s="58"/>
      <c r="J629" s="58"/>
      <c r="K629" s="58"/>
      <c r="L629" s="94"/>
      <c r="M629" s="421"/>
    </row>
    <row r="630" spans="1:13" ht="15.75">
      <c r="A630" s="342" t="s">
        <v>137</v>
      </c>
      <c r="B630" s="343"/>
      <c r="C630" s="343"/>
      <c r="D630" s="343"/>
      <c r="E630" s="343"/>
      <c r="F630" s="343"/>
      <c r="G630" s="343"/>
      <c r="H630" s="26" t="s">
        <v>102</v>
      </c>
      <c r="I630" s="59"/>
      <c r="J630" s="24"/>
      <c r="K630" s="24"/>
      <c r="L630" s="145">
        <f>'Data INPUT'!S42</f>
        <v>1</v>
      </c>
      <c r="M630" s="421"/>
    </row>
    <row r="631" spans="1:13" ht="15.75">
      <c r="A631" s="335" t="s">
        <v>65</v>
      </c>
      <c r="B631" s="336"/>
      <c r="C631" s="330" t="str">
        <f>'Data INPUT'!S37</f>
        <v>RAL 9010</v>
      </c>
      <c r="D631" s="331"/>
      <c r="E631" s="331"/>
      <c r="F631" s="331"/>
      <c r="G631" s="332"/>
      <c r="H631" s="333" t="s">
        <v>103</v>
      </c>
      <c r="I631" s="235"/>
      <c r="J631" s="235"/>
      <c r="K631" s="334"/>
      <c r="L631" s="146">
        <f>'Data INPUT'!S43</f>
        <v>0</v>
      </c>
      <c r="M631" s="421"/>
    </row>
    <row r="632" spans="1:13" ht="15.75">
      <c r="A632" s="327" t="s">
        <v>104</v>
      </c>
      <c r="B632" s="329"/>
      <c r="C632" s="330" t="str">
        <f>'Data INPUT'!S38</f>
        <v>RAL 9010</v>
      </c>
      <c r="D632" s="331"/>
      <c r="E632" s="331"/>
      <c r="F632" s="331"/>
      <c r="G632" s="332"/>
      <c r="H632" s="333" t="s">
        <v>105</v>
      </c>
      <c r="I632" s="235"/>
      <c r="J632" s="235"/>
      <c r="K632" s="334"/>
      <c r="L632" s="146">
        <f>'Data INPUT'!S44</f>
        <v>0</v>
      </c>
      <c r="M632" s="421"/>
    </row>
    <row r="633" spans="1:13" ht="15.75">
      <c r="A633" s="327" t="s">
        <v>106</v>
      </c>
      <c r="B633" s="329"/>
      <c r="C633" s="330" t="str">
        <f>'Data INPUT'!S39</f>
        <v>RAL 9010</v>
      </c>
      <c r="D633" s="331"/>
      <c r="E633" s="331"/>
      <c r="F633" s="331"/>
      <c r="G633" s="332"/>
      <c r="H633" s="333" t="s">
        <v>107</v>
      </c>
      <c r="I633" s="235"/>
      <c r="J633" s="235"/>
      <c r="K633" s="334"/>
      <c r="L633" s="146">
        <f>'Data INPUT'!S45</f>
        <v>0</v>
      </c>
      <c r="M633" s="421"/>
    </row>
    <row r="634" spans="1:13" ht="15.75">
      <c r="A634" s="335" t="s">
        <v>108</v>
      </c>
      <c r="B634" s="336"/>
      <c r="C634" s="330" t="str">
        <f>'Data INPUT'!S40</f>
        <v>RAL 9010</v>
      </c>
      <c r="D634" s="331"/>
      <c r="E634" s="331"/>
      <c r="F634" s="331"/>
      <c r="G634" s="332"/>
      <c r="H634" s="60" t="s">
        <v>109</v>
      </c>
      <c r="I634" s="62"/>
      <c r="J634" s="25"/>
      <c r="K634" s="25"/>
      <c r="L634" s="146">
        <f>'Data INPUT'!S46</f>
        <v>0</v>
      </c>
      <c r="M634" s="421"/>
    </row>
    <row r="635" spans="1:13" ht="15.75">
      <c r="A635" s="327" t="s">
        <v>110</v>
      </c>
      <c r="B635" s="329"/>
      <c r="C635" s="330" t="str">
        <f>'Data INPUT'!S41</f>
        <v>Select</v>
      </c>
      <c r="D635" s="331"/>
      <c r="E635" s="331"/>
      <c r="F635" s="331"/>
      <c r="G635" s="332"/>
      <c r="H635" s="60" t="s">
        <v>111</v>
      </c>
      <c r="I635" s="25"/>
      <c r="J635" s="25"/>
      <c r="K635" s="61"/>
      <c r="L635" s="146">
        <f>'Data INPUT'!S47</f>
        <v>0</v>
      </c>
      <c r="M635" s="421"/>
    </row>
    <row r="636" spans="1:13" ht="15.75" customHeight="1">
      <c r="A636" s="406" t="s">
        <v>112</v>
      </c>
      <c r="B636" s="407"/>
      <c r="C636" s="148"/>
      <c r="D636" s="148"/>
      <c r="E636" s="148"/>
      <c r="F636" s="408" t="s">
        <v>115</v>
      </c>
      <c r="G636" s="409"/>
      <c r="H636" s="60" t="s">
        <v>113</v>
      </c>
      <c r="I636" s="62"/>
      <c r="J636" s="25"/>
      <c r="K636" s="25"/>
      <c r="L636" s="146">
        <f>'Data INPUT'!S48</f>
        <v>0</v>
      </c>
      <c r="M636" s="421"/>
    </row>
    <row r="637" spans="1:13" ht="15.75" customHeight="1">
      <c r="A637" s="327" t="s">
        <v>114</v>
      </c>
      <c r="B637" s="328"/>
      <c r="C637" s="328"/>
      <c r="D637" s="87"/>
      <c r="E637" s="87" t="s">
        <v>33</v>
      </c>
      <c r="F637" s="88" t="s">
        <v>33</v>
      </c>
      <c r="G637" s="89" t="s">
        <v>33</v>
      </c>
      <c r="H637" s="325"/>
      <c r="I637" s="326"/>
      <c r="J637" s="326"/>
      <c r="K637" s="74"/>
      <c r="L637" s="146" t="s">
        <v>33</v>
      </c>
      <c r="M637" s="421"/>
    </row>
    <row r="638" spans="1:13" ht="15.75" customHeight="1">
      <c r="A638" s="327" t="s">
        <v>116</v>
      </c>
      <c r="B638" s="328"/>
      <c r="C638" s="328"/>
      <c r="D638" s="328"/>
      <c r="E638" s="329"/>
      <c r="F638" s="88" t="s">
        <v>33</v>
      </c>
      <c r="G638" s="89"/>
      <c r="H638" s="60"/>
      <c r="I638" s="62"/>
      <c r="J638" s="25"/>
      <c r="K638" s="25"/>
      <c r="L638" s="146" t="s">
        <v>33</v>
      </c>
      <c r="M638" s="421"/>
    </row>
    <row r="639" spans="1:13" ht="16.5" customHeight="1" thickBot="1">
      <c r="A639" s="337" t="s">
        <v>117</v>
      </c>
      <c r="B639" s="362"/>
      <c r="C639" s="362"/>
      <c r="D639" s="362"/>
      <c r="E639" s="338"/>
      <c r="F639" s="90" t="s">
        <v>33</v>
      </c>
      <c r="G639" s="91"/>
      <c r="H639" s="363"/>
      <c r="I639" s="364"/>
      <c r="J639" s="364"/>
      <c r="K639" s="364"/>
      <c r="L639" s="147" t="s">
        <v>33</v>
      </c>
      <c r="M639" s="421"/>
    </row>
    <row r="640" spans="1:13" ht="53.25" customHeight="1" thickBot="1">
      <c r="A640" s="92" t="s">
        <v>118</v>
      </c>
      <c r="B640" s="93"/>
      <c r="C640" s="77" t="s">
        <v>119</v>
      </c>
      <c r="D640" s="82"/>
      <c r="E640" s="83"/>
      <c r="F640" s="84"/>
      <c r="G640" s="85"/>
      <c r="H640" s="402"/>
      <c r="I640" s="403"/>
      <c r="J640" s="403"/>
      <c r="K640" s="403"/>
      <c r="L640" s="404"/>
      <c r="M640" s="422"/>
    </row>
    <row r="641" spans="1:13" ht="18.75" customHeight="1" thickBot="1">
      <c r="A641" s="251" t="s">
        <v>69</v>
      </c>
      <c r="B641" s="252"/>
      <c r="C641" s="253">
        <f ca="1">'Data INPUT'!$B$13</f>
        <v>46222</v>
      </c>
      <c r="D641" s="254"/>
      <c r="E641" s="254"/>
      <c r="F641" s="254"/>
      <c r="G641" s="255" t="s">
        <v>7</v>
      </c>
      <c r="H641" s="255"/>
      <c r="I641" s="255"/>
      <c r="J641" s="256" t="str">
        <f>'Data INPUT'!$B$14</f>
        <v xml:space="preserve"> </v>
      </c>
      <c r="K641" s="257"/>
      <c r="L641" s="258"/>
      <c r="M641" s="423" t="s">
        <v>158</v>
      </c>
    </row>
    <row r="642" spans="1:13" ht="15.75">
      <c r="A642" s="259" t="s">
        <v>70</v>
      </c>
      <c r="B642" s="260"/>
      <c r="C642" s="261" t="str">
        <f>'Data INPUT'!$B$4</f>
        <v xml:space="preserve"> </v>
      </c>
      <c r="D642" s="262"/>
      <c r="E642" s="262"/>
      <c r="F642" s="262"/>
      <c r="G642" s="262"/>
      <c r="H642" s="262"/>
      <c r="I642" s="263"/>
      <c r="J642" s="264" t="str">
        <f>'Data INPUT'!T19</f>
        <v xml:space="preserve"> </v>
      </c>
      <c r="K642" s="265"/>
      <c r="L642" s="266"/>
      <c r="M642" s="424"/>
    </row>
    <row r="643" spans="1:13" ht="15.75">
      <c r="A643" s="232" t="s">
        <v>71</v>
      </c>
      <c r="B643" s="233"/>
      <c r="C643" s="234" t="str">
        <f>'Data INPUT'!$B$2</f>
        <v xml:space="preserve"> </v>
      </c>
      <c r="D643" s="235"/>
      <c r="E643" s="235"/>
      <c r="F643" s="235"/>
      <c r="G643" s="235"/>
      <c r="H643" s="235"/>
      <c r="I643" s="236"/>
      <c r="J643" s="237" t="str">
        <f>'Data INPUT'!T24</f>
        <v xml:space="preserve"> </v>
      </c>
      <c r="K643" s="238"/>
      <c r="L643" s="239"/>
      <c r="M643" s="424"/>
    </row>
    <row r="644" spans="1:13" ht="16.5" thickBot="1">
      <c r="A644" s="240" t="s">
        <v>0</v>
      </c>
      <c r="B644" s="241"/>
      <c r="C644" s="242" t="str">
        <f>'Data INPUT'!$B$3</f>
        <v xml:space="preserve"> </v>
      </c>
      <c r="D644" s="243"/>
      <c r="E644" s="243"/>
      <c r="F644" s="243"/>
      <c r="G644" s="243"/>
      <c r="H644" s="243"/>
      <c r="I644" s="244"/>
      <c r="J644" s="317" t="str">
        <f>'Data INPUT'!T18</f>
        <v>Curtain 17</v>
      </c>
      <c r="K644" s="318"/>
      <c r="L644" s="319"/>
      <c r="M644" s="424"/>
    </row>
    <row r="645" spans="1:13" ht="15.75">
      <c r="A645" s="245" t="str">
        <f>'Data INPUT'!T21</f>
        <v>Select</v>
      </c>
      <c r="B645" s="247" t="str">
        <f>'Data INPUT'!T25</f>
        <v>Select</v>
      </c>
      <c r="C645" s="248"/>
      <c r="D645" s="313" t="str">
        <f>'Data INPUT'!T20</f>
        <v>Select</v>
      </c>
      <c r="E645" s="313"/>
      <c r="F645" s="314"/>
      <c r="G645" s="365" t="s">
        <v>72</v>
      </c>
      <c r="H645" s="366"/>
      <c r="I645" s="366"/>
      <c r="J645" s="366"/>
      <c r="K645" s="366"/>
      <c r="L645" s="367"/>
      <c r="M645" s="424"/>
    </row>
    <row r="646" spans="1:13" ht="16.5" thickBot="1">
      <c r="A646" s="246"/>
      <c r="B646" s="249"/>
      <c r="C646" s="250"/>
      <c r="D646" s="315"/>
      <c r="E646" s="315"/>
      <c r="F646" s="316"/>
      <c r="G646" s="305" t="str">
        <f>'Data INPUT'!$B$7</f>
        <v xml:space="preserve"> </v>
      </c>
      <c r="H646" s="306"/>
      <c r="I646" s="306"/>
      <c r="J646" s="306"/>
      <c r="K646" s="306"/>
      <c r="L646" s="307"/>
      <c r="M646" s="424"/>
    </row>
    <row r="647" spans="1:13" ht="15.75">
      <c r="A647" s="259" t="s">
        <v>74</v>
      </c>
      <c r="B647" s="260"/>
      <c r="C647" s="308" t="str">
        <f>'Data INPUT'!$B$12</f>
        <v>Select</v>
      </c>
      <c r="D647" s="308"/>
      <c r="E647" s="308"/>
      <c r="F647" s="309"/>
      <c r="G647" s="305" t="str">
        <f>'Data INPUT'!$B$8</f>
        <v xml:space="preserve"> </v>
      </c>
      <c r="H647" s="306"/>
      <c r="I647" s="306"/>
      <c r="J647" s="306"/>
      <c r="K647" s="306"/>
      <c r="L647" s="307"/>
      <c r="M647" s="424"/>
    </row>
    <row r="648" spans="1:13" ht="15.75">
      <c r="A648" s="232" t="s">
        <v>75</v>
      </c>
      <c r="B648" s="233"/>
      <c r="C648" s="310" t="str">
        <f>'Data INPUT'!T23</f>
        <v>Select</v>
      </c>
      <c r="D648" s="311"/>
      <c r="E648" s="311"/>
      <c r="F648" s="312"/>
      <c r="G648" s="305" t="str">
        <f>'Data INPUT'!$B$9</f>
        <v xml:space="preserve"> </v>
      </c>
      <c r="H648" s="306"/>
      <c r="I648" s="306"/>
      <c r="J648" s="306"/>
      <c r="K648" s="306"/>
      <c r="L648" s="307"/>
      <c r="M648" s="424"/>
    </row>
    <row r="649" spans="1:13" ht="15.75">
      <c r="A649" s="270" t="s">
        <v>76</v>
      </c>
      <c r="B649" s="271"/>
      <c r="C649" s="276">
        <v>1</v>
      </c>
      <c r="D649" s="277"/>
      <c r="E649" s="277"/>
      <c r="F649" s="278"/>
      <c r="G649" s="285" t="str">
        <f>'Data INPUT'!$B$10</f>
        <v xml:space="preserve"> </v>
      </c>
      <c r="H649" s="286"/>
      <c r="I649" s="286"/>
      <c r="J649" s="286"/>
      <c r="K649" s="286"/>
      <c r="L649" s="287"/>
      <c r="M649" s="424"/>
    </row>
    <row r="650" spans="1:13" ht="15.75">
      <c r="A650" s="272"/>
      <c r="B650" s="273"/>
      <c r="C650" s="279"/>
      <c r="D650" s="280"/>
      <c r="E650" s="280"/>
      <c r="F650" s="281"/>
      <c r="G650" s="28" t="s">
        <v>77</v>
      </c>
      <c r="H650" s="29"/>
      <c r="I650" s="29"/>
      <c r="J650" s="288" t="str">
        <f>'Data INPUT'!$B$5</f>
        <v xml:space="preserve"> </v>
      </c>
      <c r="K650" s="288"/>
      <c r="L650" s="289"/>
      <c r="M650" s="424"/>
    </row>
    <row r="651" spans="1:13" ht="16.5" thickBot="1">
      <c r="A651" s="274"/>
      <c r="B651" s="275"/>
      <c r="C651" s="282"/>
      <c r="D651" s="283"/>
      <c r="E651" s="283"/>
      <c r="F651" s="284"/>
      <c r="G651" s="31" t="s">
        <v>78</v>
      </c>
      <c r="H651" s="32"/>
      <c r="I651" s="32"/>
      <c r="J651" s="290" t="str">
        <f>'Data INPUT'!$B$6</f>
        <v xml:space="preserve"> </v>
      </c>
      <c r="K651" s="290"/>
      <c r="L651" s="291"/>
      <c r="M651" s="424"/>
    </row>
    <row r="652" spans="1:13" ht="15.75">
      <c r="A652" s="292" t="s">
        <v>79</v>
      </c>
      <c r="B652" s="293"/>
      <c r="C652" s="296" t="str">
        <f>'Data INPUT'!$B$16</f>
        <v xml:space="preserve"> </v>
      </c>
      <c r="D652" s="297"/>
      <c r="E652" s="297"/>
      <c r="F652" s="297"/>
      <c r="G652" s="297"/>
      <c r="H652" s="297"/>
      <c r="I652" s="297"/>
      <c r="J652" s="297"/>
      <c r="K652" s="297"/>
      <c r="L652" s="298"/>
      <c r="M652" s="424"/>
    </row>
    <row r="653" spans="1:13" ht="15.75">
      <c r="A653" s="292"/>
      <c r="B653" s="293"/>
      <c r="C653" s="299" t="str">
        <f>'Data INPUT'!$B$17</f>
        <v xml:space="preserve"> </v>
      </c>
      <c r="D653" s="300"/>
      <c r="E653" s="300"/>
      <c r="F653" s="300"/>
      <c r="G653" s="300"/>
      <c r="H653" s="300"/>
      <c r="I653" s="300"/>
      <c r="J653" s="300"/>
      <c r="K653" s="300"/>
      <c r="L653" s="301"/>
      <c r="M653" s="424"/>
    </row>
    <row r="654" spans="1:13" ht="16.5" thickBot="1">
      <c r="A654" s="294"/>
      <c r="B654" s="295"/>
      <c r="C654" s="302" t="str">
        <f>'Data INPUT'!$B$18</f>
        <v xml:space="preserve"> </v>
      </c>
      <c r="D654" s="303"/>
      <c r="E654" s="303"/>
      <c r="F654" s="303"/>
      <c r="G654" s="303"/>
      <c r="H654" s="303"/>
      <c r="I654" s="303"/>
      <c r="J654" s="303"/>
      <c r="K654" s="303"/>
      <c r="L654" s="304"/>
      <c r="M654" s="424"/>
    </row>
    <row r="655" spans="1:13" ht="16.5" thickBot="1">
      <c r="A655" s="391" t="s">
        <v>80</v>
      </c>
      <c r="B655" s="392"/>
      <c r="C655" s="66" t="s">
        <v>42</v>
      </c>
      <c r="D655" s="66"/>
      <c r="E655" s="69" t="s">
        <v>43</v>
      </c>
      <c r="F655" s="66"/>
      <c r="G655" s="67"/>
      <c r="H655" s="275" t="s">
        <v>230</v>
      </c>
      <c r="I655" s="275"/>
      <c r="J655" s="275"/>
      <c r="K655" s="275"/>
      <c r="L655" s="393"/>
      <c r="M655" s="424"/>
    </row>
    <row r="656" spans="1:13" ht="15.75">
      <c r="A656" s="394" t="s">
        <v>81</v>
      </c>
      <c r="B656" s="395"/>
      <c r="C656" s="71" t="str">
        <f>'Data INPUT'!T26</f>
        <v xml:space="preserve"> </v>
      </c>
      <c r="D656" s="72" t="s">
        <v>82</v>
      </c>
      <c r="E656" s="70" t="str">
        <f>'Data INPUT'!T27</f>
        <v xml:space="preserve"> </v>
      </c>
      <c r="F656" s="73"/>
      <c r="G656" s="33"/>
      <c r="H656" s="396"/>
      <c r="I656" s="397"/>
      <c r="J656" s="397"/>
      <c r="K656" s="397"/>
      <c r="L656" s="398"/>
      <c r="M656" s="424"/>
    </row>
    <row r="657" spans="1:13" ht="15.75">
      <c r="A657" s="34" t="s">
        <v>83</v>
      </c>
      <c r="B657" s="35" t="str">
        <f>D658</f>
        <v>Select</v>
      </c>
      <c r="C657" s="65" t="str">
        <f>C656</f>
        <v xml:space="preserve"> </v>
      </c>
      <c r="D657" s="37"/>
      <c r="E657" s="36"/>
      <c r="F657" s="38"/>
      <c r="G657" s="38"/>
      <c r="H657" s="399" t="s">
        <v>84</v>
      </c>
      <c r="I657" s="400"/>
      <c r="J657" s="400"/>
      <c r="K657" s="400"/>
      <c r="L657" s="401"/>
      <c r="M657" s="424"/>
    </row>
    <row r="658" spans="1:13" ht="15.75">
      <c r="A658" s="39" t="s">
        <v>85</v>
      </c>
      <c r="B658" s="35" t="str">
        <f>D658</f>
        <v>Select</v>
      </c>
      <c r="C658" s="68" t="s">
        <v>33</v>
      </c>
      <c r="D658" s="37" t="str">
        <f>'Data INPUT'!T28</f>
        <v>Select</v>
      </c>
      <c r="E658" s="37"/>
      <c r="F658" s="37"/>
      <c r="G658" s="53"/>
      <c r="H658" s="267" t="s">
        <v>33</v>
      </c>
      <c r="I658" s="268"/>
      <c r="J658" s="268"/>
      <c r="K658" s="268"/>
      <c r="L658" s="269"/>
      <c r="M658" s="424"/>
    </row>
    <row r="659" spans="1:13" ht="16.5" thickBot="1">
      <c r="A659" s="40" t="s">
        <v>86</v>
      </c>
      <c r="B659" s="41" t="str">
        <f>'Data INPUT'!T29</f>
        <v>Standard</v>
      </c>
      <c r="C659" s="72" t="e">
        <f>E656-D658+10</f>
        <v>#VALUE!</v>
      </c>
      <c r="D659" s="42" t="s">
        <v>82</v>
      </c>
      <c r="E659" s="30">
        <v>100</v>
      </c>
      <c r="F659" s="42" t="s">
        <v>82</v>
      </c>
      <c r="G659" s="42">
        <v>53</v>
      </c>
      <c r="H659" s="373"/>
      <c r="I659" s="374"/>
      <c r="J659" s="374"/>
      <c r="K659" s="374"/>
      <c r="L659" s="375"/>
      <c r="M659" s="424"/>
    </row>
    <row r="660" spans="1:13" ht="15.75">
      <c r="A660" s="43" t="s">
        <v>87</v>
      </c>
      <c r="B660" s="44" t="s">
        <v>88</v>
      </c>
      <c r="C660" s="45" t="e">
        <f>C661</f>
        <v>#VALUE!</v>
      </c>
      <c r="D660" s="45" t="s">
        <v>82</v>
      </c>
      <c r="E660" s="140">
        <v>1</v>
      </c>
      <c r="F660" s="46"/>
      <c r="G660" s="46"/>
      <c r="H660" s="376" t="s">
        <v>89</v>
      </c>
      <c r="I660" s="377"/>
      <c r="J660" s="377"/>
      <c r="K660" s="377"/>
      <c r="L660" s="378"/>
      <c r="M660" s="424"/>
    </row>
    <row r="661" spans="1:13" ht="16.5" thickBot="1">
      <c r="A661" s="47" t="s">
        <v>90</v>
      </c>
      <c r="B661" s="48"/>
      <c r="C661" s="49" t="e">
        <f>C656-180</f>
        <v>#VALUE!</v>
      </c>
      <c r="D661" s="49" t="s">
        <v>82</v>
      </c>
      <c r="E661" s="137">
        <v>1</v>
      </c>
      <c r="F661" s="50"/>
      <c r="G661" s="50"/>
      <c r="H661" s="379"/>
      <c r="I661" s="380"/>
      <c r="J661" s="380"/>
      <c r="K661" s="380"/>
      <c r="L661" s="381"/>
      <c r="M661" s="424"/>
    </row>
    <row r="662" spans="1:13" ht="15.75">
      <c r="A662" s="382" t="s">
        <v>91</v>
      </c>
      <c r="B662" s="383"/>
      <c r="C662" s="52" t="e">
        <f>C656-230</f>
        <v>#VALUE!</v>
      </c>
      <c r="D662" s="384" t="s">
        <v>33</v>
      </c>
      <c r="E662" s="384"/>
      <c r="F662" s="384"/>
      <c r="G662" s="385"/>
      <c r="H662" s="386" t="s">
        <v>92</v>
      </c>
      <c r="I662" s="366"/>
      <c r="J662" s="366"/>
      <c r="K662" s="366"/>
      <c r="L662" s="367"/>
      <c r="M662" s="424"/>
    </row>
    <row r="663" spans="1:13" ht="16.5" thickBot="1">
      <c r="A663" s="387" t="s">
        <v>135</v>
      </c>
      <c r="B663" s="388"/>
      <c r="C663" s="37" t="e">
        <f>C664</f>
        <v>#VALUE!</v>
      </c>
      <c r="D663" s="389"/>
      <c r="E663" s="389"/>
      <c r="F663" s="389"/>
      <c r="G663" s="390"/>
      <c r="H663" s="373"/>
      <c r="I663" s="374"/>
      <c r="J663" s="374"/>
      <c r="K663" s="374"/>
      <c r="L663" s="375"/>
      <c r="M663" s="424"/>
    </row>
    <row r="664" spans="1:13" ht="15.75">
      <c r="A664" s="370" t="s">
        <v>73</v>
      </c>
      <c r="B664" s="371"/>
      <c r="C664" s="52" t="e">
        <f>C656-100</f>
        <v>#VALUE!</v>
      </c>
      <c r="D664" s="52" t="s">
        <v>82</v>
      </c>
      <c r="E664" s="51" t="e">
        <f>E656+300</f>
        <v>#VALUE!</v>
      </c>
      <c r="F664" s="52"/>
      <c r="G664" s="54"/>
      <c r="H664" s="351" t="s">
        <v>93</v>
      </c>
      <c r="I664" s="352"/>
      <c r="J664" s="352"/>
      <c r="K664" s="352"/>
      <c r="L664" s="353"/>
      <c r="M664" s="424"/>
    </row>
    <row r="665" spans="1:13" ht="16.5" thickBot="1">
      <c r="A665" s="294"/>
      <c r="B665" s="372"/>
      <c r="C665" s="354" t="s">
        <v>136</v>
      </c>
      <c r="D665" s="355"/>
      <c r="E665" s="355"/>
      <c r="F665" s="355"/>
      <c r="G665" s="356"/>
      <c r="H665" s="357" t="s">
        <v>94</v>
      </c>
      <c r="I665" s="358"/>
      <c r="J665" s="358"/>
      <c r="K665" s="358"/>
      <c r="L665" s="359"/>
      <c r="M665" s="424"/>
    </row>
    <row r="666" spans="1:13" ht="16.5" thickBot="1">
      <c r="A666" s="360" t="s">
        <v>95</v>
      </c>
      <c r="B666" s="361"/>
      <c r="C666" s="55" t="s">
        <v>33</v>
      </c>
      <c r="D666" s="75" t="s">
        <v>96</v>
      </c>
      <c r="E666" s="75" t="s">
        <v>33</v>
      </c>
      <c r="F666" s="75" t="s">
        <v>97</v>
      </c>
      <c r="G666" s="56" t="s">
        <v>33</v>
      </c>
      <c r="H666" s="368" t="s">
        <v>141</v>
      </c>
      <c r="I666" s="369"/>
      <c r="J666" s="369"/>
      <c r="K666" s="57">
        <v>300</v>
      </c>
      <c r="L666" s="144" t="s">
        <v>98</v>
      </c>
      <c r="M666" s="424"/>
    </row>
    <row r="667" spans="1:13" ht="15.75">
      <c r="A667" s="345" t="s">
        <v>99</v>
      </c>
      <c r="B667" s="346"/>
      <c r="C667" s="405" t="str">
        <f>'Data INPUT'!T34</f>
        <v>Select</v>
      </c>
      <c r="D667" s="384"/>
      <c r="E667" s="384"/>
      <c r="F667" s="384"/>
      <c r="G667" s="385"/>
      <c r="H667" s="27" t="s">
        <v>100</v>
      </c>
      <c r="I667" s="265"/>
      <c r="J667" s="265"/>
      <c r="K667" s="265"/>
      <c r="L667" s="266"/>
      <c r="M667" s="424"/>
    </row>
    <row r="668" spans="1:13" ht="16.5" thickBot="1">
      <c r="A668" s="274" t="s">
        <v>62</v>
      </c>
      <c r="B668" s="347"/>
      <c r="C668" s="322" t="str">
        <f>'Data INPUT'!T36</f>
        <v>Select</v>
      </c>
      <c r="D668" s="323"/>
      <c r="E668" s="323"/>
      <c r="F668" s="323"/>
      <c r="G668" s="324"/>
      <c r="H668" s="32"/>
      <c r="I668" s="320"/>
      <c r="J668" s="320"/>
      <c r="K668" s="320"/>
      <c r="L668" s="321"/>
      <c r="M668" s="424"/>
    </row>
    <row r="669" spans="1:13" ht="16.5" thickBot="1">
      <c r="A669" s="348" t="s">
        <v>101</v>
      </c>
      <c r="B669" s="349"/>
      <c r="C669" s="76" t="str">
        <f>'Data INPUT'!T35</f>
        <v>CSV x1</v>
      </c>
      <c r="D669" s="72" t="s">
        <v>33</v>
      </c>
      <c r="E669" s="306" t="s">
        <v>33</v>
      </c>
      <c r="F669" s="306"/>
      <c r="G669" s="350"/>
      <c r="H669" s="32" t="s">
        <v>100</v>
      </c>
      <c r="I669" s="58"/>
      <c r="J669" s="58"/>
      <c r="K669" s="58"/>
      <c r="L669" s="94"/>
      <c r="M669" s="424"/>
    </row>
    <row r="670" spans="1:13" ht="15.75">
      <c r="A670" s="342" t="s">
        <v>137</v>
      </c>
      <c r="B670" s="343"/>
      <c r="C670" s="343"/>
      <c r="D670" s="343"/>
      <c r="E670" s="343"/>
      <c r="F670" s="343"/>
      <c r="G670" s="343"/>
      <c r="H670" s="26" t="s">
        <v>102</v>
      </c>
      <c r="I670" s="59"/>
      <c r="J670" s="24"/>
      <c r="K670" s="24"/>
      <c r="L670" s="145">
        <f>'Data INPUT'!T42</f>
        <v>1</v>
      </c>
      <c r="M670" s="424"/>
    </row>
    <row r="671" spans="1:13" ht="15.75">
      <c r="A671" s="335" t="s">
        <v>65</v>
      </c>
      <c r="B671" s="336"/>
      <c r="C671" s="330" t="str">
        <f>'Data INPUT'!T37</f>
        <v>RAL 9010</v>
      </c>
      <c r="D671" s="331"/>
      <c r="E671" s="331"/>
      <c r="F671" s="331"/>
      <c r="G671" s="332"/>
      <c r="H671" s="333" t="s">
        <v>103</v>
      </c>
      <c r="I671" s="235"/>
      <c r="J671" s="235"/>
      <c r="K671" s="334"/>
      <c r="L671" s="146">
        <f>'Data INPUT'!T43</f>
        <v>0</v>
      </c>
      <c r="M671" s="424"/>
    </row>
    <row r="672" spans="1:13" ht="15.75">
      <c r="A672" s="327" t="s">
        <v>104</v>
      </c>
      <c r="B672" s="329"/>
      <c r="C672" s="330" t="str">
        <f>'Data INPUT'!T38</f>
        <v>RAL 9010</v>
      </c>
      <c r="D672" s="331"/>
      <c r="E672" s="331"/>
      <c r="F672" s="331"/>
      <c r="G672" s="332"/>
      <c r="H672" s="333" t="s">
        <v>105</v>
      </c>
      <c r="I672" s="235"/>
      <c r="J672" s="235"/>
      <c r="K672" s="334"/>
      <c r="L672" s="146">
        <f>'Data INPUT'!T44</f>
        <v>0</v>
      </c>
      <c r="M672" s="424"/>
    </row>
    <row r="673" spans="1:13" ht="15.75">
      <c r="A673" s="327" t="s">
        <v>106</v>
      </c>
      <c r="B673" s="329"/>
      <c r="C673" s="330" t="str">
        <f>'Data INPUT'!T39</f>
        <v>RAL 9010</v>
      </c>
      <c r="D673" s="331"/>
      <c r="E673" s="331"/>
      <c r="F673" s="331"/>
      <c r="G673" s="332"/>
      <c r="H673" s="333" t="s">
        <v>107</v>
      </c>
      <c r="I673" s="235"/>
      <c r="J673" s="235"/>
      <c r="K673" s="334"/>
      <c r="L673" s="146">
        <f>'Data INPUT'!T45</f>
        <v>0</v>
      </c>
      <c r="M673" s="424"/>
    </row>
    <row r="674" spans="1:13" ht="15.75">
      <c r="A674" s="335" t="s">
        <v>108</v>
      </c>
      <c r="B674" s="336"/>
      <c r="C674" s="330" t="str">
        <f>'Data INPUT'!T40</f>
        <v>RAL 9010</v>
      </c>
      <c r="D674" s="331"/>
      <c r="E674" s="331"/>
      <c r="F674" s="331"/>
      <c r="G674" s="332"/>
      <c r="H674" s="60" t="s">
        <v>109</v>
      </c>
      <c r="I674" s="62"/>
      <c r="J674" s="25"/>
      <c r="K674" s="25"/>
      <c r="L674" s="146">
        <f>'Data INPUT'!T46</f>
        <v>0</v>
      </c>
      <c r="M674" s="424"/>
    </row>
    <row r="675" spans="1:13" ht="15.75">
      <c r="A675" s="327" t="s">
        <v>110</v>
      </c>
      <c r="B675" s="329"/>
      <c r="C675" s="330" t="str">
        <f>'Data INPUT'!T41</f>
        <v>Select</v>
      </c>
      <c r="D675" s="331"/>
      <c r="E675" s="331"/>
      <c r="F675" s="331"/>
      <c r="G675" s="332"/>
      <c r="H675" s="60" t="s">
        <v>111</v>
      </c>
      <c r="I675" s="25"/>
      <c r="J675" s="25"/>
      <c r="K675" s="61"/>
      <c r="L675" s="146">
        <f>'Data INPUT'!T47</f>
        <v>0</v>
      </c>
      <c r="M675" s="424"/>
    </row>
    <row r="676" spans="1:13" ht="15.75" customHeight="1">
      <c r="A676" s="406" t="s">
        <v>112</v>
      </c>
      <c r="B676" s="407"/>
      <c r="C676" s="148"/>
      <c r="D676" s="148"/>
      <c r="E676" s="148"/>
      <c r="F676" s="408" t="s">
        <v>115</v>
      </c>
      <c r="G676" s="409"/>
      <c r="H676" s="60" t="s">
        <v>113</v>
      </c>
      <c r="I676" s="62"/>
      <c r="J676" s="25"/>
      <c r="K676" s="25"/>
      <c r="L676" s="146">
        <f>'Data INPUT'!T48</f>
        <v>0</v>
      </c>
      <c r="M676" s="424"/>
    </row>
    <row r="677" spans="1:13" ht="15.75" customHeight="1">
      <c r="A677" s="327" t="s">
        <v>114</v>
      </c>
      <c r="B677" s="328"/>
      <c r="C677" s="328"/>
      <c r="D677" s="87"/>
      <c r="E677" s="87" t="s">
        <v>33</v>
      </c>
      <c r="F677" s="88" t="s">
        <v>33</v>
      </c>
      <c r="G677" s="89" t="s">
        <v>33</v>
      </c>
      <c r="H677" s="325"/>
      <c r="I677" s="326"/>
      <c r="J677" s="326"/>
      <c r="K677" s="74"/>
      <c r="L677" s="146" t="s">
        <v>33</v>
      </c>
      <c r="M677" s="424"/>
    </row>
    <row r="678" spans="1:13" ht="15.75" customHeight="1">
      <c r="A678" s="327" t="s">
        <v>116</v>
      </c>
      <c r="B678" s="328"/>
      <c r="C678" s="328"/>
      <c r="D678" s="328"/>
      <c r="E678" s="329"/>
      <c r="F678" s="88" t="s">
        <v>33</v>
      </c>
      <c r="G678" s="89"/>
      <c r="H678" s="60"/>
      <c r="I678" s="62"/>
      <c r="J678" s="25"/>
      <c r="K678" s="25"/>
      <c r="L678" s="146" t="s">
        <v>33</v>
      </c>
      <c r="M678" s="424"/>
    </row>
    <row r="679" spans="1:13" ht="16.5" customHeight="1" thickBot="1">
      <c r="A679" s="337" t="s">
        <v>117</v>
      </c>
      <c r="B679" s="362"/>
      <c r="C679" s="362"/>
      <c r="D679" s="362"/>
      <c r="E679" s="338"/>
      <c r="F679" s="90" t="s">
        <v>33</v>
      </c>
      <c r="G679" s="91"/>
      <c r="H679" s="363"/>
      <c r="I679" s="364"/>
      <c r="J679" s="364"/>
      <c r="K679" s="364"/>
      <c r="L679" s="147" t="s">
        <v>33</v>
      </c>
      <c r="M679" s="424"/>
    </row>
    <row r="680" spans="1:13" ht="51" customHeight="1" thickBot="1">
      <c r="A680" s="92" t="s">
        <v>118</v>
      </c>
      <c r="B680" s="93"/>
      <c r="C680" s="77" t="s">
        <v>119</v>
      </c>
      <c r="D680" s="82"/>
      <c r="E680" s="83"/>
      <c r="F680" s="84"/>
      <c r="G680" s="85"/>
      <c r="H680" s="402"/>
      <c r="I680" s="403"/>
      <c r="J680" s="403"/>
      <c r="K680" s="403"/>
      <c r="L680" s="404"/>
      <c r="M680" s="425"/>
    </row>
    <row r="681" spans="1:13" ht="18" customHeight="1" thickBot="1">
      <c r="A681" s="251" t="s">
        <v>69</v>
      </c>
      <c r="B681" s="252"/>
      <c r="C681" s="253">
        <f ca="1">'Data INPUT'!$B$13</f>
        <v>46222</v>
      </c>
      <c r="D681" s="254"/>
      <c r="E681" s="254"/>
      <c r="F681" s="254"/>
      <c r="G681" s="255" t="s">
        <v>7</v>
      </c>
      <c r="H681" s="255"/>
      <c r="I681" s="255"/>
      <c r="J681" s="256" t="str">
        <f>'Data INPUT'!$B$14</f>
        <v xml:space="preserve"> </v>
      </c>
      <c r="K681" s="257"/>
      <c r="L681" s="258"/>
      <c r="M681" s="420" t="s">
        <v>159</v>
      </c>
    </row>
    <row r="682" spans="1:13" ht="15.75">
      <c r="A682" s="259" t="s">
        <v>70</v>
      </c>
      <c r="B682" s="260"/>
      <c r="C682" s="261" t="str">
        <f>'Data INPUT'!$B$4</f>
        <v xml:space="preserve"> </v>
      </c>
      <c r="D682" s="262"/>
      <c r="E682" s="262"/>
      <c r="F682" s="262"/>
      <c r="G682" s="262"/>
      <c r="H682" s="262"/>
      <c r="I682" s="263"/>
      <c r="J682" s="264" t="str">
        <f>'Data INPUT'!U19</f>
        <v xml:space="preserve"> </v>
      </c>
      <c r="K682" s="265"/>
      <c r="L682" s="266"/>
      <c r="M682" s="421"/>
    </row>
    <row r="683" spans="1:13" ht="15.75">
      <c r="A683" s="232" t="s">
        <v>71</v>
      </c>
      <c r="B683" s="233"/>
      <c r="C683" s="234" t="str">
        <f>'Data INPUT'!$B$2</f>
        <v xml:space="preserve"> </v>
      </c>
      <c r="D683" s="235"/>
      <c r="E683" s="235"/>
      <c r="F683" s="235"/>
      <c r="G683" s="235"/>
      <c r="H683" s="235"/>
      <c r="I683" s="236"/>
      <c r="J683" s="237" t="str">
        <f>'Data INPUT'!U24</f>
        <v xml:space="preserve"> </v>
      </c>
      <c r="K683" s="238"/>
      <c r="L683" s="239"/>
      <c r="M683" s="421"/>
    </row>
    <row r="684" spans="1:13" ht="16.5" thickBot="1">
      <c r="A684" s="240" t="s">
        <v>0</v>
      </c>
      <c r="B684" s="241"/>
      <c r="C684" s="242" t="str">
        <f>'Data INPUT'!$B$3</f>
        <v xml:space="preserve"> </v>
      </c>
      <c r="D684" s="243"/>
      <c r="E684" s="243"/>
      <c r="F684" s="243"/>
      <c r="G684" s="243"/>
      <c r="H684" s="243"/>
      <c r="I684" s="244"/>
      <c r="J684" s="317" t="str">
        <f>'Data INPUT'!U18</f>
        <v>Curtain 18</v>
      </c>
      <c r="K684" s="318"/>
      <c r="L684" s="319"/>
      <c r="M684" s="421"/>
    </row>
    <row r="685" spans="1:13" ht="15.75">
      <c r="A685" s="245" t="str">
        <f>'Data INPUT'!U21</f>
        <v>Select</v>
      </c>
      <c r="B685" s="247" t="str">
        <f>'Data INPUT'!U25</f>
        <v>Select</v>
      </c>
      <c r="C685" s="248"/>
      <c r="D685" s="313" t="str">
        <f>'Data INPUT'!U20</f>
        <v>Select</v>
      </c>
      <c r="E685" s="313"/>
      <c r="F685" s="314"/>
      <c r="G685" s="365" t="s">
        <v>72</v>
      </c>
      <c r="H685" s="366"/>
      <c r="I685" s="366"/>
      <c r="J685" s="366"/>
      <c r="K685" s="366"/>
      <c r="L685" s="367"/>
      <c r="M685" s="421"/>
    </row>
    <row r="686" spans="1:13" ht="16.5" thickBot="1">
      <c r="A686" s="246"/>
      <c r="B686" s="249"/>
      <c r="C686" s="250"/>
      <c r="D686" s="315"/>
      <c r="E686" s="315"/>
      <c r="F686" s="316"/>
      <c r="G686" s="305" t="str">
        <f>'Data INPUT'!$B$7</f>
        <v xml:space="preserve"> </v>
      </c>
      <c r="H686" s="306"/>
      <c r="I686" s="306"/>
      <c r="J686" s="306"/>
      <c r="K686" s="306"/>
      <c r="L686" s="307"/>
      <c r="M686" s="421"/>
    </row>
    <row r="687" spans="1:13" ht="15.75">
      <c r="A687" s="259" t="s">
        <v>74</v>
      </c>
      <c r="B687" s="260"/>
      <c r="C687" s="308" t="str">
        <f>'Data INPUT'!$B$12</f>
        <v>Select</v>
      </c>
      <c r="D687" s="308"/>
      <c r="E687" s="308"/>
      <c r="F687" s="309"/>
      <c r="G687" s="305" t="str">
        <f>'Data INPUT'!$B$8</f>
        <v xml:space="preserve"> </v>
      </c>
      <c r="H687" s="306"/>
      <c r="I687" s="306"/>
      <c r="J687" s="306"/>
      <c r="K687" s="306"/>
      <c r="L687" s="307"/>
      <c r="M687" s="421"/>
    </row>
    <row r="688" spans="1:13" ht="15.75">
      <c r="A688" s="232" t="s">
        <v>75</v>
      </c>
      <c r="B688" s="233"/>
      <c r="C688" s="310" t="str">
        <f>'Data INPUT'!U23</f>
        <v>Select</v>
      </c>
      <c r="D688" s="311"/>
      <c r="E688" s="311"/>
      <c r="F688" s="312"/>
      <c r="G688" s="305" t="str">
        <f>'Data INPUT'!$B$9</f>
        <v xml:space="preserve"> </v>
      </c>
      <c r="H688" s="306"/>
      <c r="I688" s="306"/>
      <c r="J688" s="306"/>
      <c r="K688" s="306"/>
      <c r="L688" s="307"/>
      <c r="M688" s="421"/>
    </row>
    <row r="689" spans="1:13" ht="15.75">
      <c r="A689" s="270" t="s">
        <v>76</v>
      </c>
      <c r="B689" s="271"/>
      <c r="C689" s="276">
        <v>1</v>
      </c>
      <c r="D689" s="277"/>
      <c r="E689" s="277"/>
      <c r="F689" s="278"/>
      <c r="G689" s="285" t="str">
        <f>'Data INPUT'!$B$10</f>
        <v xml:space="preserve"> </v>
      </c>
      <c r="H689" s="286"/>
      <c r="I689" s="286"/>
      <c r="J689" s="286"/>
      <c r="K689" s="286"/>
      <c r="L689" s="287"/>
      <c r="M689" s="421"/>
    </row>
    <row r="690" spans="1:13" ht="15.75">
      <c r="A690" s="272"/>
      <c r="B690" s="273"/>
      <c r="C690" s="279"/>
      <c r="D690" s="280"/>
      <c r="E690" s="280"/>
      <c r="F690" s="281"/>
      <c r="G690" s="28" t="s">
        <v>77</v>
      </c>
      <c r="H690" s="29"/>
      <c r="I690" s="29"/>
      <c r="J690" s="288" t="str">
        <f>'Data INPUT'!$B$5</f>
        <v xml:space="preserve"> </v>
      </c>
      <c r="K690" s="288"/>
      <c r="L690" s="289"/>
      <c r="M690" s="421"/>
    </row>
    <row r="691" spans="1:13" ht="16.5" thickBot="1">
      <c r="A691" s="274"/>
      <c r="B691" s="275"/>
      <c r="C691" s="282"/>
      <c r="D691" s="283"/>
      <c r="E691" s="283"/>
      <c r="F691" s="284"/>
      <c r="G691" s="31" t="s">
        <v>78</v>
      </c>
      <c r="H691" s="32"/>
      <c r="I691" s="32"/>
      <c r="J691" s="290" t="str">
        <f>'Data INPUT'!$B$6</f>
        <v xml:space="preserve"> </v>
      </c>
      <c r="K691" s="290"/>
      <c r="L691" s="291"/>
      <c r="M691" s="421"/>
    </row>
    <row r="692" spans="1:13" ht="15.75">
      <c r="A692" s="292" t="s">
        <v>79</v>
      </c>
      <c r="B692" s="293"/>
      <c r="C692" s="296" t="str">
        <f>'Data INPUT'!$B$16</f>
        <v xml:space="preserve"> </v>
      </c>
      <c r="D692" s="297"/>
      <c r="E692" s="297"/>
      <c r="F692" s="297"/>
      <c r="G692" s="297"/>
      <c r="H692" s="297"/>
      <c r="I692" s="297"/>
      <c r="J692" s="297"/>
      <c r="K692" s="297"/>
      <c r="L692" s="298"/>
      <c r="M692" s="421"/>
    </row>
    <row r="693" spans="1:13" ht="15.75">
      <c r="A693" s="292"/>
      <c r="B693" s="293"/>
      <c r="C693" s="299" t="str">
        <f>'Data INPUT'!$B$17</f>
        <v xml:space="preserve"> </v>
      </c>
      <c r="D693" s="300"/>
      <c r="E693" s="300"/>
      <c r="F693" s="300"/>
      <c r="G693" s="300"/>
      <c r="H693" s="300"/>
      <c r="I693" s="300"/>
      <c r="J693" s="300"/>
      <c r="K693" s="300"/>
      <c r="L693" s="301"/>
      <c r="M693" s="421"/>
    </row>
    <row r="694" spans="1:13" ht="16.5" thickBot="1">
      <c r="A694" s="294"/>
      <c r="B694" s="295"/>
      <c r="C694" s="302" t="str">
        <f>'Data INPUT'!$B$18</f>
        <v xml:space="preserve"> </v>
      </c>
      <c r="D694" s="303"/>
      <c r="E694" s="303"/>
      <c r="F694" s="303"/>
      <c r="G694" s="303"/>
      <c r="H694" s="303"/>
      <c r="I694" s="303"/>
      <c r="J694" s="303"/>
      <c r="K694" s="303"/>
      <c r="L694" s="304"/>
      <c r="M694" s="421"/>
    </row>
    <row r="695" spans="1:13" ht="16.5" thickBot="1">
      <c r="A695" s="391" t="s">
        <v>80</v>
      </c>
      <c r="B695" s="392"/>
      <c r="C695" s="66" t="s">
        <v>42</v>
      </c>
      <c r="D695" s="66"/>
      <c r="E695" s="69" t="s">
        <v>43</v>
      </c>
      <c r="F695" s="66"/>
      <c r="G695" s="67"/>
      <c r="H695" s="275" t="s">
        <v>230</v>
      </c>
      <c r="I695" s="275"/>
      <c r="J695" s="275"/>
      <c r="K695" s="275"/>
      <c r="L695" s="393"/>
      <c r="M695" s="421"/>
    </row>
    <row r="696" spans="1:13" ht="15.75">
      <c r="A696" s="394" t="s">
        <v>81</v>
      </c>
      <c r="B696" s="395"/>
      <c r="C696" s="71" t="str">
        <f>'Data INPUT'!U26</f>
        <v xml:space="preserve"> </v>
      </c>
      <c r="D696" s="72" t="s">
        <v>82</v>
      </c>
      <c r="E696" s="70" t="str">
        <f>'Data INPUT'!U27</f>
        <v xml:space="preserve"> </v>
      </c>
      <c r="F696" s="73"/>
      <c r="G696" s="33"/>
      <c r="H696" s="396"/>
      <c r="I696" s="397"/>
      <c r="J696" s="397"/>
      <c r="K696" s="397"/>
      <c r="L696" s="398"/>
      <c r="M696" s="421"/>
    </row>
    <row r="697" spans="1:13" ht="15.75">
      <c r="A697" s="34" t="s">
        <v>83</v>
      </c>
      <c r="B697" s="35" t="str">
        <f>D698</f>
        <v>Select</v>
      </c>
      <c r="C697" s="65" t="str">
        <f>C696</f>
        <v xml:space="preserve"> </v>
      </c>
      <c r="D697" s="37"/>
      <c r="E697" s="36"/>
      <c r="F697" s="38"/>
      <c r="G697" s="38"/>
      <c r="H697" s="399" t="s">
        <v>84</v>
      </c>
      <c r="I697" s="400"/>
      <c r="J697" s="400"/>
      <c r="K697" s="400"/>
      <c r="L697" s="401"/>
      <c r="M697" s="421"/>
    </row>
    <row r="698" spans="1:13" ht="15.75">
      <c r="A698" s="39" t="s">
        <v>85</v>
      </c>
      <c r="B698" s="35" t="str">
        <f>D698</f>
        <v>Select</v>
      </c>
      <c r="C698" s="68" t="s">
        <v>33</v>
      </c>
      <c r="D698" s="37" t="str">
        <f>'Data INPUT'!U28</f>
        <v>Select</v>
      </c>
      <c r="E698" s="37"/>
      <c r="F698" s="37"/>
      <c r="G698" s="53"/>
      <c r="H698" s="267" t="s">
        <v>33</v>
      </c>
      <c r="I698" s="268"/>
      <c r="J698" s="268"/>
      <c r="K698" s="268"/>
      <c r="L698" s="269"/>
      <c r="M698" s="421"/>
    </row>
    <row r="699" spans="1:13" ht="16.5" thickBot="1">
      <c r="A699" s="40" t="s">
        <v>86</v>
      </c>
      <c r="B699" s="41" t="str">
        <f>'Data INPUT'!U29</f>
        <v>Standard</v>
      </c>
      <c r="C699" s="72" t="e">
        <f>E696-D698+10</f>
        <v>#VALUE!</v>
      </c>
      <c r="D699" s="42" t="s">
        <v>82</v>
      </c>
      <c r="E699" s="30">
        <v>100</v>
      </c>
      <c r="F699" s="42" t="s">
        <v>82</v>
      </c>
      <c r="G699" s="42">
        <v>53</v>
      </c>
      <c r="H699" s="373"/>
      <c r="I699" s="374"/>
      <c r="J699" s="374"/>
      <c r="K699" s="374"/>
      <c r="L699" s="375"/>
      <c r="M699" s="421"/>
    </row>
    <row r="700" spans="1:13" ht="15.75">
      <c r="A700" s="43" t="s">
        <v>87</v>
      </c>
      <c r="B700" s="44" t="s">
        <v>88</v>
      </c>
      <c r="C700" s="45" t="e">
        <f>C701</f>
        <v>#VALUE!</v>
      </c>
      <c r="D700" s="45" t="s">
        <v>82</v>
      </c>
      <c r="E700" s="140">
        <v>1</v>
      </c>
      <c r="F700" s="46"/>
      <c r="G700" s="46"/>
      <c r="H700" s="376" t="s">
        <v>89</v>
      </c>
      <c r="I700" s="377"/>
      <c r="J700" s="377"/>
      <c r="K700" s="377"/>
      <c r="L700" s="378"/>
      <c r="M700" s="421"/>
    </row>
    <row r="701" spans="1:13" ht="16.5" thickBot="1">
      <c r="A701" s="47" t="s">
        <v>90</v>
      </c>
      <c r="B701" s="48"/>
      <c r="C701" s="49" t="e">
        <f>C696-180</f>
        <v>#VALUE!</v>
      </c>
      <c r="D701" s="49" t="s">
        <v>82</v>
      </c>
      <c r="E701" s="137">
        <v>1</v>
      </c>
      <c r="F701" s="50"/>
      <c r="G701" s="50"/>
      <c r="H701" s="379"/>
      <c r="I701" s="380"/>
      <c r="J701" s="380"/>
      <c r="K701" s="380"/>
      <c r="L701" s="381"/>
      <c r="M701" s="421"/>
    </row>
    <row r="702" spans="1:13" ht="15.75">
      <c r="A702" s="382" t="s">
        <v>91</v>
      </c>
      <c r="B702" s="383"/>
      <c r="C702" s="52" t="e">
        <f>C696-230</f>
        <v>#VALUE!</v>
      </c>
      <c r="D702" s="384" t="s">
        <v>33</v>
      </c>
      <c r="E702" s="384"/>
      <c r="F702" s="384"/>
      <c r="G702" s="385"/>
      <c r="H702" s="386" t="s">
        <v>92</v>
      </c>
      <c r="I702" s="366"/>
      <c r="J702" s="366"/>
      <c r="K702" s="366"/>
      <c r="L702" s="367"/>
      <c r="M702" s="421"/>
    </row>
    <row r="703" spans="1:13" ht="16.5" thickBot="1">
      <c r="A703" s="387" t="s">
        <v>135</v>
      </c>
      <c r="B703" s="388"/>
      <c r="C703" s="37" t="e">
        <f>C704</f>
        <v>#VALUE!</v>
      </c>
      <c r="D703" s="389"/>
      <c r="E703" s="389"/>
      <c r="F703" s="389"/>
      <c r="G703" s="390"/>
      <c r="H703" s="373"/>
      <c r="I703" s="374"/>
      <c r="J703" s="374"/>
      <c r="K703" s="374"/>
      <c r="L703" s="375"/>
      <c r="M703" s="421"/>
    </row>
    <row r="704" spans="1:13" ht="15.75">
      <c r="A704" s="370" t="s">
        <v>73</v>
      </c>
      <c r="B704" s="371"/>
      <c r="C704" s="52" t="e">
        <f>C696-100</f>
        <v>#VALUE!</v>
      </c>
      <c r="D704" s="52" t="s">
        <v>82</v>
      </c>
      <c r="E704" s="51" t="e">
        <f>E696+300</f>
        <v>#VALUE!</v>
      </c>
      <c r="F704" s="52"/>
      <c r="G704" s="54"/>
      <c r="H704" s="351" t="s">
        <v>93</v>
      </c>
      <c r="I704" s="352"/>
      <c r="J704" s="352"/>
      <c r="K704" s="352"/>
      <c r="L704" s="353"/>
      <c r="M704" s="421"/>
    </row>
    <row r="705" spans="1:13" ht="16.5" thickBot="1">
      <c r="A705" s="294"/>
      <c r="B705" s="372"/>
      <c r="C705" s="354" t="s">
        <v>136</v>
      </c>
      <c r="D705" s="355"/>
      <c r="E705" s="355"/>
      <c r="F705" s="355"/>
      <c r="G705" s="356"/>
      <c r="H705" s="357" t="s">
        <v>94</v>
      </c>
      <c r="I705" s="358"/>
      <c r="J705" s="358"/>
      <c r="K705" s="358"/>
      <c r="L705" s="359"/>
      <c r="M705" s="421"/>
    </row>
    <row r="706" spans="1:13" ht="16.5" thickBot="1">
      <c r="A706" s="360" t="s">
        <v>95</v>
      </c>
      <c r="B706" s="361"/>
      <c r="C706" s="55" t="s">
        <v>33</v>
      </c>
      <c r="D706" s="75" t="s">
        <v>96</v>
      </c>
      <c r="E706" s="75" t="s">
        <v>33</v>
      </c>
      <c r="F706" s="75" t="s">
        <v>97</v>
      </c>
      <c r="G706" s="56" t="s">
        <v>33</v>
      </c>
      <c r="H706" s="368" t="s">
        <v>141</v>
      </c>
      <c r="I706" s="369"/>
      <c r="J706" s="369"/>
      <c r="K706" s="57">
        <v>300</v>
      </c>
      <c r="L706" s="144" t="s">
        <v>98</v>
      </c>
      <c r="M706" s="421"/>
    </row>
    <row r="707" spans="1:13" ht="15.75">
      <c r="A707" s="345" t="s">
        <v>99</v>
      </c>
      <c r="B707" s="346"/>
      <c r="C707" s="405" t="str">
        <f>'Data INPUT'!U34</f>
        <v>Select</v>
      </c>
      <c r="D707" s="384"/>
      <c r="E707" s="384"/>
      <c r="F707" s="384"/>
      <c r="G707" s="385"/>
      <c r="H707" s="27" t="s">
        <v>100</v>
      </c>
      <c r="I707" s="265"/>
      <c r="J707" s="265"/>
      <c r="K707" s="265"/>
      <c r="L707" s="266"/>
      <c r="M707" s="421"/>
    </row>
    <row r="708" spans="1:13" ht="16.5" thickBot="1">
      <c r="A708" s="274" t="s">
        <v>62</v>
      </c>
      <c r="B708" s="347"/>
      <c r="C708" s="322" t="str">
        <f>'Data INPUT'!U36</f>
        <v>Select</v>
      </c>
      <c r="D708" s="323"/>
      <c r="E708" s="323"/>
      <c r="F708" s="323"/>
      <c r="G708" s="324"/>
      <c r="H708" s="32"/>
      <c r="I708" s="320"/>
      <c r="J708" s="320"/>
      <c r="K708" s="320"/>
      <c r="L708" s="321"/>
      <c r="M708" s="421"/>
    </row>
    <row r="709" spans="1:13" ht="16.5" thickBot="1">
      <c r="A709" s="348" t="s">
        <v>101</v>
      </c>
      <c r="B709" s="349"/>
      <c r="C709" s="76" t="str">
        <f>'Data INPUT'!U35</f>
        <v>CSV x1</v>
      </c>
      <c r="D709" s="72" t="s">
        <v>33</v>
      </c>
      <c r="E709" s="306" t="s">
        <v>33</v>
      </c>
      <c r="F709" s="306"/>
      <c r="G709" s="350"/>
      <c r="H709" s="32" t="s">
        <v>100</v>
      </c>
      <c r="I709" s="58"/>
      <c r="J709" s="58"/>
      <c r="K709" s="58"/>
      <c r="L709" s="94"/>
      <c r="M709" s="421"/>
    </row>
    <row r="710" spans="1:13" ht="15.75">
      <c r="A710" s="342" t="s">
        <v>137</v>
      </c>
      <c r="B710" s="343"/>
      <c r="C710" s="343"/>
      <c r="D710" s="343"/>
      <c r="E710" s="343"/>
      <c r="F710" s="343"/>
      <c r="G710" s="343"/>
      <c r="H710" s="26" t="s">
        <v>102</v>
      </c>
      <c r="I710" s="59"/>
      <c r="J710" s="24"/>
      <c r="K710" s="24"/>
      <c r="L710" s="145">
        <f>'Data INPUT'!U42</f>
        <v>1</v>
      </c>
      <c r="M710" s="421"/>
    </row>
    <row r="711" spans="1:13" ht="15.75">
      <c r="A711" s="335" t="s">
        <v>65</v>
      </c>
      <c r="B711" s="336"/>
      <c r="C711" s="330" t="str">
        <f>'Data INPUT'!U37</f>
        <v>RAL 9010</v>
      </c>
      <c r="D711" s="331"/>
      <c r="E711" s="331"/>
      <c r="F711" s="331"/>
      <c r="G711" s="332"/>
      <c r="H711" s="333" t="s">
        <v>103</v>
      </c>
      <c r="I711" s="235"/>
      <c r="J711" s="235"/>
      <c r="K711" s="334"/>
      <c r="L711" s="146">
        <f>'Data INPUT'!U43</f>
        <v>0</v>
      </c>
      <c r="M711" s="421"/>
    </row>
    <row r="712" spans="1:13" ht="15.75">
      <c r="A712" s="327" t="s">
        <v>104</v>
      </c>
      <c r="B712" s="329"/>
      <c r="C712" s="330" t="str">
        <f>'Data INPUT'!U38</f>
        <v>RAL 9010</v>
      </c>
      <c r="D712" s="331"/>
      <c r="E712" s="331"/>
      <c r="F712" s="331"/>
      <c r="G712" s="332"/>
      <c r="H712" s="333" t="s">
        <v>105</v>
      </c>
      <c r="I712" s="235"/>
      <c r="J712" s="235"/>
      <c r="K712" s="334"/>
      <c r="L712" s="146">
        <f>'Data INPUT'!U44</f>
        <v>0</v>
      </c>
      <c r="M712" s="421"/>
    </row>
    <row r="713" spans="1:13" ht="15.75">
      <c r="A713" s="327" t="s">
        <v>106</v>
      </c>
      <c r="B713" s="329"/>
      <c r="C713" s="330" t="str">
        <f>'Data INPUT'!U39</f>
        <v>RAL 9010</v>
      </c>
      <c r="D713" s="331"/>
      <c r="E713" s="331"/>
      <c r="F713" s="331"/>
      <c r="G713" s="332"/>
      <c r="H713" s="333" t="s">
        <v>107</v>
      </c>
      <c r="I713" s="235"/>
      <c r="J713" s="235"/>
      <c r="K713" s="334"/>
      <c r="L713" s="146">
        <f>'Data INPUT'!U45</f>
        <v>0</v>
      </c>
      <c r="M713" s="421"/>
    </row>
    <row r="714" spans="1:13" ht="15.75">
      <c r="A714" s="335" t="s">
        <v>108</v>
      </c>
      <c r="B714" s="336"/>
      <c r="C714" s="330" t="str">
        <f>'Data INPUT'!U40</f>
        <v>RAL 9010</v>
      </c>
      <c r="D714" s="331"/>
      <c r="E714" s="331"/>
      <c r="F714" s="331"/>
      <c r="G714" s="332"/>
      <c r="H714" s="60" t="s">
        <v>109</v>
      </c>
      <c r="I714" s="62"/>
      <c r="J714" s="25"/>
      <c r="K714" s="25"/>
      <c r="L714" s="146">
        <f>'Data INPUT'!U46</f>
        <v>0</v>
      </c>
      <c r="M714" s="421"/>
    </row>
    <row r="715" spans="1:13" ht="15.75">
      <c r="A715" s="327" t="s">
        <v>110</v>
      </c>
      <c r="B715" s="329"/>
      <c r="C715" s="330" t="str">
        <f>'Data INPUT'!U41</f>
        <v>Select</v>
      </c>
      <c r="D715" s="331"/>
      <c r="E715" s="331"/>
      <c r="F715" s="331"/>
      <c r="G715" s="332"/>
      <c r="H715" s="60" t="s">
        <v>111</v>
      </c>
      <c r="I715" s="25"/>
      <c r="J715" s="25"/>
      <c r="K715" s="61"/>
      <c r="L715" s="146">
        <f>'Data INPUT'!U47</f>
        <v>0</v>
      </c>
      <c r="M715" s="421"/>
    </row>
    <row r="716" spans="1:13" ht="15.75" customHeight="1">
      <c r="A716" s="406" t="s">
        <v>112</v>
      </c>
      <c r="B716" s="407"/>
      <c r="C716" s="148"/>
      <c r="D716" s="148"/>
      <c r="E716" s="148"/>
      <c r="F716" s="408" t="s">
        <v>115</v>
      </c>
      <c r="G716" s="409"/>
      <c r="H716" s="60" t="s">
        <v>113</v>
      </c>
      <c r="I716" s="62"/>
      <c r="J716" s="25"/>
      <c r="K716" s="25"/>
      <c r="L716" s="146">
        <f>'Data INPUT'!U48</f>
        <v>0</v>
      </c>
      <c r="M716" s="421"/>
    </row>
    <row r="717" spans="1:13" ht="15.75" customHeight="1">
      <c r="A717" s="327" t="s">
        <v>114</v>
      </c>
      <c r="B717" s="328"/>
      <c r="C717" s="328"/>
      <c r="D717" s="87"/>
      <c r="E717" s="87" t="s">
        <v>33</v>
      </c>
      <c r="F717" s="88" t="s">
        <v>33</v>
      </c>
      <c r="G717" s="89" t="s">
        <v>33</v>
      </c>
      <c r="H717" s="325"/>
      <c r="I717" s="326"/>
      <c r="J717" s="326"/>
      <c r="K717" s="74"/>
      <c r="L717" s="146" t="s">
        <v>33</v>
      </c>
      <c r="M717" s="421"/>
    </row>
    <row r="718" spans="1:13" ht="15.75" customHeight="1">
      <c r="A718" s="327" t="s">
        <v>116</v>
      </c>
      <c r="B718" s="328"/>
      <c r="C718" s="328"/>
      <c r="D718" s="328"/>
      <c r="E718" s="329"/>
      <c r="F718" s="88" t="s">
        <v>33</v>
      </c>
      <c r="G718" s="89"/>
      <c r="H718" s="60"/>
      <c r="I718" s="62"/>
      <c r="J718" s="25"/>
      <c r="K718" s="25"/>
      <c r="L718" s="146" t="s">
        <v>33</v>
      </c>
      <c r="M718" s="421"/>
    </row>
    <row r="719" spans="1:13" ht="16.5" customHeight="1" thickBot="1">
      <c r="A719" s="337" t="s">
        <v>117</v>
      </c>
      <c r="B719" s="362"/>
      <c r="C719" s="362"/>
      <c r="D719" s="362"/>
      <c r="E719" s="338"/>
      <c r="F719" s="90" t="s">
        <v>33</v>
      </c>
      <c r="G719" s="91"/>
      <c r="H719" s="363"/>
      <c r="I719" s="364"/>
      <c r="J719" s="364"/>
      <c r="K719" s="364"/>
      <c r="L719" s="147" t="s">
        <v>33</v>
      </c>
      <c r="M719" s="421"/>
    </row>
    <row r="720" spans="1:13" ht="46.5" customHeight="1" thickBot="1">
      <c r="A720" s="92" t="s">
        <v>118</v>
      </c>
      <c r="B720" s="93"/>
      <c r="C720" s="77" t="s">
        <v>119</v>
      </c>
      <c r="D720" s="82"/>
      <c r="E720" s="83"/>
      <c r="F720" s="84"/>
      <c r="G720" s="85"/>
      <c r="H720" s="402"/>
      <c r="I720" s="403"/>
      <c r="J720" s="403"/>
      <c r="K720" s="403"/>
      <c r="L720" s="404"/>
      <c r="M720" s="422"/>
    </row>
    <row r="721" spans="1:13" ht="18.75" customHeight="1" thickBot="1">
      <c r="A721" s="251" t="s">
        <v>69</v>
      </c>
      <c r="B721" s="252"/>
      <c r="C721" s="253">
        <f ca="1">'Data INPUT'!$B$13</f>
        <v>46222</v>
      </c>
      <c r="D721" s="254"/>
      <c r="E721" s="254"/>
      <c r="F721" s="254"/>
      <c r="G721" s="255" t="s">
        <v>7</v>
      </c>
      <c r="H721" s="255"/>
      <c r="I721" s="255"/>
      <c r="J721" s="256" t="str">
        <f>'Data INPUT'!$B$14</f>
        <v xml:space="preserve"> </v>
      </c>
      <c r="K721" s="257"/>
      <c r="L721" s="258"/>
      <c r="M721" s="423" t="s">
        <v>160</v>
      </c>
    </row>
    <row r="722" spans="1:13" ht="15.75">
      <c r="A722" s="259" t="s">
        <v>70</v>
      </c>
      <c r="B722" s="260"/>
      <c r="C722" s="261" t="str">
        <f>'Data INPUT'!$B$4</f>
        <v xml:space="preserve"> </v>
      </c>
      <c r="D722" s="262"/>
      <c r="E722" s="262"/>
      <c r="F722" s="262"/>
      <c r="G722" s="262"/>
      <c r="H722" s="262"/>
      <c r="I722" s="263"/>
      <c r="J722" s="264" t="str">
        <f>'Data INPUT'!V19</f>
        <v xml:space="preserve"> </v>
      </c>
      <c r="K722" s="265"/>
      <c r="L722" s="266"/>
      <c r="M722" s="424"/>
    </row>
    <row r="723" spans="1:13" ht="15.75">
      <c r="A723" s="232" t="s">
        <v>71</v>
      </c>
      <c r="B723" s="233"/>
      <c r="C723" s="234" t="str">
        <f>'Data INPUT'!$B$2</f>
        <v xml:space="preserve"> </v>
      </c>
      <c r="D723" s="235"/>
      <c r="E723" s="235"/>
      <c r="F723" s="235"/>
      <c r="G723" s="235"/>
      <c r="H723" s="235"/>
      <c r="I723" s="236"/>
      <c r="J723" s="237" t="str">
        <f>'Data INPUT'!V24</f>
        <v xml:space="preserve"> </v>
      </c>
      <c r="K723" s="238"/>
      <c r="L723" s="239"/>
      <c r="M723" s="424"/>
    </row>
    <row r="724" spans="1:13" ht="16.5" thickBot="1">
      <c r="A724" s="240" t="s">
        <v>0</v>
      </c>
      <c r="B724" s="241"/>
      <c r="C724" s="242" t="str">
        <f>'Data INPUT'!$B$3</f>
        <v xml:space="preserve"> </v>
      </c>
      <c r="D724" s="243"/>
      <c r="E724" s="243"/>
      <c r="F724" s="243"/>
      <c r="G724" s="243"/>
      <c r="H724" s="243"/>
      <c r="I724" s="244"/>
      <c r="J724" s="317" t="str">
        <f>'Data INPUT'!V18</f>
        <v>Curtain 19</v>
      </c>
      <c r="K724" s="318"/>
      <c r="L724" s="319"/>
      <c r="M724" s="424"/>
    </row>
    <row r="725" spans="1:13" ht="15.75">
      <c r="A725" s="245" t="str">
        <f>'Data INPUT'!V21</f>
        <v>Select</v>
      </c>
      <c r="B725" s="247" t="str">
        <f>'Data INPUT'!V25</f>
        <v>Select</v>
      </c>
      <c r="C725" s="248"/>
      <c r="D725" s="313" t="str">
        <f>'Data INPUT'!V20</f>
        <v>Select</v>
      </c>
      <c r="E725" s="313"/>
      <c r="F725" s="314"/>
      <c r="G725" s="365" t="s">
        <v>72</v>
      </c>
      <c r="H725" s="366"/>
      <c r="I725" s="366"/>
      <c r="J725" s="366"/>
      <c r="K725" s="366"/>
      <c r="L725" s="367"/>
      <c r="M725" s="424"/>
    </row>
    <row r="726" spans="1:13" ht="16.5" thickBot="1">
      <c r="A726" s="246"/>
      <c r="B726" s="249"/>
      <c r="C726" s="250"/>
      <c r="D726" s="315"/>
      <c r="E726" s="315"/>
      <c r="F726" s="316"/>
      <c r="G726" s="305" t="str">
        <f>'Data INPUT'!$B$7</f>
        <v xml:space="preserve"> </v>
      </c>
      <c r="H726" s="306"/>
      <c r="I726" s="306"/>
      <c r="J726" s="306"/>
      <c r="K726" s="306"/>
      <c r="L726" s="307"/>
      <c r="M726" s="424"/>
    </row>
    <row r="727" spans="1:13" ht="15.75">
      <c r="A727" s="259" t="s">
        <v>74</v>
      </c>
      <c r="B727" s="260"/>
      <c r="C727" s="308" t="str">
        <f>'Data INPUT'!$B$12</f>
        <v>Select</v>
      </c>
      <c r="D727" s="308"/>
      <c r="E727" s="308"/>
      <c r="F727" s="309"/>
      <c r="G727" s="305" t="str">
        <f>'Data INPUT'!$B$8</f>
        <v xml:space="preserve"> </v>
      </c>
      <c r="H727" s="306"/>
      <c r="I727" s="306"/>
      <c r="J727" s="306"/>
      <c r="K727" s="306"/>
      <c r="L727" s="307"/>
      <c r="M727" s="424"/>
    </row>
    <row r="728" spans="1:13" ht="15.75">
      <c r="A728" s="232" t="s">
        <v>75</v>
      </c>
      <c r="B728" s="233"/>
      <c r="C728" s="310" t="str">
        <f>'Data INPUT'!V23</f>
        <v>Select</v>
      </c>
      <c r="D728" s="311"/>
      <c r="E728" s="311"/>
      <c r="F728" s="312"/>
      <c r="G728" s="305" t="str">
        <f>'Data INPUT'!$B$9</f>
        <v xml:space="preserve"> </v>
      </c>
      <c r="H728" s="306"/>
      <c r="I728" s="306"/>
      <c r="J728" s="306"/>
      <c r="K728" s="306"/>
      <c r="L728" s="307"/>
      <c r="M728" s="424"/>
    </row>
    <row r="729" spans="1:13" ht="15.75">
      <c r="A729" s="270" t="s">
        <v>76</v>
      </c>
      <c r="B729" s="271"/>
      <c r="C729" s="276">
        <v>1</v>
      </c>
      <c r="D729" s="277"/>
      <c r="E729" s="277"/>
      <c r="F729" s="278"/>
      <c r="G729" s="285" t="str">
        <f>'Data INPUT'!$B$10</f>
        <v xml:space="preserve"> </v>
      </c>
      <c r="H729" s="286"/>
      <c r="I729" s="286"/>
      <c r="J729" s="286"/>
      <c r="K729" s="286"/>
      <c r="L729" s="287"/>
      <c r="M729" s="424"/>
    </row>
    <row r="730" spans="1:13" ht="15.75">
      <c r="A730" s="272"/>
      <c r="B730" s="273"/>
      <c r="C730" s="279"/>
      <c r="D730" s="280"/>
      <c r="E730" s="280"/>
      <c r="F730" s="281"/>
      <c r="G730" s="28" t="s">
        <v>77</v>
      </c>
      <c r="H730" s="29"/>
      <c r="I730" s="29"/>
      <c r="J730" s="288" t="str">
        <f>'Data INPUT'!$B$5</f>
        <v xml:space="preserve"> </v>
      </c>
      <c r="K730" s="288"/>
      <c r="L730" s="289"/>
      <c r="M730" s="424"/>
    </row>
    <row r="731" spans="1:13" ht="16.5" thickBot="1">
      <c r="A731" s="274"/>
      <c r="B731" s="275"/>
      <c r="C731" s="282"/>
      <c r="D731" s="283"/>
      <c r="E731" s="283"/>
      <c r="F731" s="284"/>
      <c r="G731" s="31" t="s">
        <v>78</v>
      </c>
      <c r="H731" s="32"/>
      <c r="I731" s="32"/>
      <c r="J731" s="290" t="str">
        <f>'Data INPUT'!$B$6</f>
        <v xml:space="preserve"> </v>
      </c>
      <c r="K731" s="290"/>
      <c r="L731" s="291"/>
      <c r="M731" s="424"/>
    </row>
    <row r="732" spans="1:13" ht="15.75">
      <c r="A732" s="292" t="s">
        <v>79</v>
      </c>
      <c r="B732" s="293"/>
      <c r="C732" s="296" t="str">
        <f>'Data INPUT'!$B$16</f>
        <v xml:space="preserve"> </v>
      </c>
      <c r="D732" s="297"/>
      <c r="E732" s="297"/>
      <c r="F732" s="297"/>
      <c r="G732" s="297"/>
      <c r="H732" s="297"/>
      <c r="I732" s="297"/>
      <c r="J732" s="297"/>
      <c r="K732" s="297"/>
      <c r="L732" s="298"/>
      <c r="M732" s="424"/>
    </row>
    <row r="733" spans="1:13" ht="15.75">
      <c r="A733" s="292"/>
      <c r="B733" s="293"/>
      <c r="C733" s="299" t="str">
        <f>'Data INPUT'!$B$17</f>
        <v xml:space="preserve"> </v>
      </c>
      <c r="D733" s="300"/>
      <c r="E733" s="300"/>
      <c r="F733" s="300"/>
      <c r="G733" s="300"/>
      <c r="H733" s="300"/>
      <c r="I733" s="300"/>
      <c r="J733" s="300"/>
      <c r="K733" s="300"/>
      <c r="L733" s="301"/>
      <c r="M733" s="424"/>
    </row>
    <row r="734" spans="1:13" ht="16.5" thickBot="1">
      <c r="A734" s="294"/>
      <c r="B734" s="295"/>
      <c r="C734" s="302" t="str">
        <f>'Data INPUT'!$B$18</f>
        <v xml:space="preserve"> </v>
      </c>
      <c r="D734" s="303"/>
      <c r="E734" s="303"/>
      <c r="F734" s="303"/>
      <c r="G734" s="303"/>
      <c r="H734" s="303"/>
      <c r="I734" s="303"/>
      <c r="J734" s="303"/>
      <c r="K734" s="303"/>
      <c r="L734" s="304"/>
      <c r="M734" s="424"/>
    </row>
    <row r="735" spans="1:13" ht="16.5" thickBot="1">
      <c r="A735" s="391" t="s">
        <v>80</v>
      </c>
      <c r="B735" s="392"/>
      <c r="C735" s="66" t="s">
        <v>42</v>
      </c>
      <c r="D735" s="66"/>
      <c r="E735" s="69" t="s">
        <v>43</v>
      </c>
      <c r="F735" s="66"/>
      <c r="G735" s="67"/>
      <c r="H735" s="275" t="s">
        <v>230</v>
      </c>
      <c r="I735" s="275"/>
      <c r="J735" s="275"/>
      <c r="K735" s="275"/>
      <c r="L735" s="393"/>
      <c r="M735" s="424"/>
    </row>
    <row r="736" spans="1:13" ht="15.75">
      <c r="A736" s="394" t="s">
        <v>81</v>
      </c>
      <c r="B736" s="395"/>
      <c r="C736" s="71" t="str">
        <f>'Data INPUT'!V26</f>
        <v xml:space="preserve"> </v>
      </c>
      <c r="D736" s="72" t="s">
        <v>82</v>
      </c>
      <c r="E736" s="70" t="str">
        <f>'Data INPUT'!V27</f>
        <v xml:space="preserve"> </v>
      </c>
      <c r="F736" s="73"/>
      <c r="G736" s="33"/>
      <c r="H736" s="396"/>
      <c r="I736" s="397"/>
      <c r="J736" s="397"/>
      <c r="K736" s="397"/>
      <c r="L736" s="398"/>
      <c r="M736" s="424"/>
    </row>
    <row r="737" spans="1:13" ht="15.75">
      <c r="A737" s="34" t="s">
        <v>83</v>
      </c>
      <c r="B737" s="35" t="str">
        <f>D738</f>
        <v>Select</v>
      </c>
      <c r="C737" s="65" t="str">
        <f>C736</f>
        <v xml:space="preserve"> </v>
      </c>
      <c r="D737" s="37"/>
      <c r="E737" s="36"/>
      <c r="F737" s="38"/>
      <c r="G737" s="38"/>
      <c r="H737" s="399" t="s">
        <v>84</v>
      </c>
      <c r="I737" s="400"/>
      <c r="J737" s="400"/>
      <c r="K737" s="400"/>
      <c r="L737" s="401"/>
      <c r="M737" s="424"/>
    </row>
    <row r="738" spans="1:13" ht="15.75">
      <c r="A738" s="39" t="s">
        <v>85</v>
      </c>
      <c r="B738" s="35" t="str">
        <f>D738</f>
        <v>Select</v>
      </c>
      <c r="C738" s="68" t="s">
        <v>33</v>
      </c>
      <c r="D738" s="37" t="str">
        <f>'Data INPUT'!V28</f>
        <v>Select</v>
      </c>
      <c r="E738" s="37"/>
      <c r="F738" s="37"/>
      <c r="G738" s="53"/>
      <c r="H738" s="267" t="s">
        <v>33</v>
      </c>
      <c r="I738" s="268"/>
      <c r="J738" s="268"/>
      <c r="K738" s="268"/>
      <c r="L738" s="269"/>
      <c r="M738" s="424"/>
    </row>
    <row r="739" spans="1:13" ht="16.5" thickBot="1">
      <c r="A739" s="40" t="s">
        <v>86</v>
      </c>
      <c r="B739" s="41" t="str">
        <f>'Data INPUT'!V29</f>
        <v>Standard</v>
      </c>
      <c r="C739" s="72" t="e">
        <f>E736-D738+10</f>
        <v>#VALUE!</v>
      </c>
      <c r="D739" s="42" t="s">
        <v>82</v>
      </c>
      <c r="E739" s="30">
        <v>100</v>
      </c>
      <c r="F739" s="42" t="s">
        <v>82</v>
      </c>
      <c r="G739" s="42">
        <v>53</v>
      </c>
      <c r="H739" s="373"/>
      <c r="I739" s="374"/>
      <c r="J739" s="374"/>
      <c r="K739" s="374"/>
      <c r="L739" s="375"/>
      <c r="M739" s="424"/>
    </row>
    <row r="740" spans="1:13" ht="15.75">
      <c r="A740" s="43" t="s">
        <v>87</v>
      </c>
      <c r="B740" s="44" t="s">
        <v>88</v>
      </c>
      <c r="C740" s="45" t="e">
        <f>C741</f>
        <v>#VALUE!</v>
      </c>
      <c r="D740" s="45" t="s">
        <v>82</v>
      </c>
      <c r="E740" s="140">
        <v>1</v>
      </c>
      <c r="F740" s="46"/>
      <c r="G740" s="46"/>
      <c r="H740" s="376" t="s">
        <v>89</v>
      </c>
      <c r="I740" s="377"/>
      <c r="J740" s="377"/>
      <c r="K740" s="377"/>
      <c r="L740" s="378"/>
      <c r="M740" s="424"/>
    </row>
    <row r="741" spans="1:13" ht="16.5" thickBot="1">
      <c r="A741" s="47" t="s">
        <v>90</v>
      </c>
      <c r="B741" s="48"/>
      <c r="C741" s="49" t="e">
        <f>C736-180</f>
        <v>#VALUE!</v>
      </c>
      <c r="D741" s="49" t="s">
        <v>82</v>
      </c>
      <c r="E741" s="137">
        <v>1</v>
      </c>
      <c r="F741" s="50"/>
      <c r="G741" s="50"/>
      <c r="H741" s="379"/>
      <c r="I741" s="380"/>
      <c r="J741" s="380"/>
      <c r="K741" s="380"/>
      <c r="L741" s="381"/>
      <c r="M741" s="424"/>
    </row>
    <row r="742" spans="1:13" ht="15.75">
      <c r="A742" s="382" t="s">
        <v>91</v>
      </c>
      <c r="B742" s="383"/>
      <c r="C742" s="52" t="e">
        <f>C736-230</f>
        <v>#VALUE!</v>
      </c>
      <c r="D742" s="384" t="s">
        <v>33</v>
      </c>
      <c r="E742" s="384"/>
      <c r="F742" s="384"/>
      <c r="G742" s="385"/>
      <c r="H742" s="386" t="s">
        <v>92</v>
      </c>
      <c r="I742" s="366"/>
      <c r="J742" s="366"/>
      <c r="K742" s="366"/>
      <c r="L742" s="367"/>
      <c r="M742" s="424"/>
    </row>
    <row r="743" spans="1:13" ht="16.5" thickBot="1">
      <c r="A743" s="387" t="s">
        <v>135</v>
      </c>
      <c r="B743" s="388"/>
      <c r="C743" s="37" t="e">
        <f>C744</f>
        <v>#VALUE!</v>
      </c>
      <c r="D743" s="389"/>
      <c r="E743" s="389"/>
      <c r="F743" s="389"/>
      <c r="G743" s="390"/>
      <c r="H743" s="373"/>
      <c r="I743" s="374"/>
      <c r="J743" s="374"/>
      <c r="K743" s="374"/>
      <c r="L743" s="375"/>
      <c r="M743" s="424"/>
    </row>
    <row r="744" spans="1:13" ht="15.75">
      <c r="A744" s="370" t="s">
        <v>73</v>
      </c>
      <c r="B744" s="371"/>
      <c r="C744" s="52" t="e">
        <f>C736-100</f>
        <v>#VALUE!</v>
      </c>
      <c r="D744" s="52" t="s">
        <v>82</v>
      </c>
      <c r="E744" s="51" t="e">
        <f>E736+300</f>
        <v>#VALUE!</v>
      </c>
      <c r="F744" s="52"/>
      <c r="G744" s="54"/>
      <c r="H744" s="351" t="s">
        <v>93</v>
      </c>
      <c r="I744" s="352"/>
      <c r="J744" s="352"/>
      <c r="K744" s="352"/>
      <c r="L744" s="353"/>
      <c r="M744" s="424"/>
    </row>
    <row r="745" spans="1:13" ht="16.5" thickBot="1">
      <c r="A745" s="294"/>
      <c r="B745" s="372"/>
      <c r="C745" s="354" t="s">
        <v>136</v>
      </c>
      <c r="D745" s="355"/>
      <c r="E745" s="355"/>
      <c r="F745" s="355"/>
      <c r="G745" s="356"/>
      <c r="H745" s="357" t="s">
        <v>94</v>
      </c>
      <c r="I745" s="358"/>
      <c r="J745" s="358"/>
      <c r="K745" s="358"/>
      <c r="L745" s="359"/>
      <c r="M745" s="424"/>
    </row>
    <row r="746" spans="1:13" ht="16.5" thickBot="1">
      <c r="A746" s="360" t="s">
        <v>95</v>
      </c>
      <c r="B746" s="361"/>
      <c r="C746" s="55" t="s">
        <v>33</v>
      </c>
      <c r="D746" s="75" t="s">
        <v>96</v>
      </c>
      <c r="E746" s="75" t="s">
        <v>33</v>
      </c>
      <c r="F746" s="75" t="s">
        <v>97</v>
      </c>
      <c r="G746" s="56" t="s">
        <v>33</v>
      </c>
      <c r="H746" s="368" t="s">
        <v>141</v>
      </c>
      <c r="I746" s="369"/>
      <c r="J746" s="369"/>
      <c r="K746" s="57">
        <v>300</v>
      </c>
      <c r="L746" s="144" t="s">
        <v>98</v>
      </c>
      <c r="M746" s="424"/>
    </row>
    <row r="747" spans="1:13" ht="15.75">
      <c r="A747" s="345" t="s">
        <v>99</v>
      </c>
      <c r="B747" s="346"/>
      <c r="C747" s="405" t="str">
        <f>'Data INPUT'!V34</f>
        <v>Select</v>
      </c>
      <c r="D747" s="384"/>
      <c r="E747" s="384"/>
      <c r="F747" s="384"/>
      <c r="G747" s="385"/>
      <c r="H747" s="27" t="s">
        <v>100</v>
      </c>
      <c r="I747" s="265"/>
      <c r="J747" s="265"/>
      <c r="K747" s="265"/>
      <c r="L747" s="266"/>
      <c r="M747" s="424"/>
    </row>
    <row r="748" spans="1:13" ht="16.5" thickBot="1">
      <c r="A748" s="274" t="s">
        <v>62</v>
      </c>
      <c r="B748" s="347"/>
      <c r="C748" s="322" t="str">
        <f>'Data INPUT'!V36</f>
        <v>Select</v>
      </c>
      <c r="D748" s="323"/>
      <c r="E748" s="323"/>
      <c r="F748" s="323"/>
      <c r="G748" s="324"/>
      <c r="H748" s="32"/>
      <c r="I748" s="320"/>
      <c r="J748" s="320"/>
      <c r="K748" s="320"/>
      <c r="L748" s="321"/>
      <c r="M748" s="424"/>
    </row>
    <row r="749" spans="1:13" ht="16.5" thickBot="1">
      <c r="A749" s="348" t="s">
        <v>101</v>
      </c>
      <c r="B749" s="349"/>
      <c r="C749" s="76" t="str">
        <f>'Data INPUT'!V35</f>
        <v>CSV x1</v>
      </c>
      <c r="D749" s="72" t="s">
        <v>33</v>
      </c>
      <c r="E749" s="306" t="s">
        <v>33</v>
      </c>
      <c r="F749" s="306"/>
      <c r="G749" s="350"/>
      <c r="H749" s="32" t="s">
        <v>100</v>
      </c>
      <c r="I749" s="58"/>
      <c r="J749" s="58"/>
      <c r="K749" s="58"/>
      <c r="L749" s="94"/>
      <c r="M749" s="424"/>
    </row>
    <row r="750" spans="1:13" ht="15.75">
      <c r="A750" s="342" t="s">
        <v>137</v>
      </c>
      <c r="B750" s="343"/>
      <c r="C750" s="343"/>
      <c r="D750" s="343"/>
      <c r="E750" s="343"/>
      <c r="F750" s="343"/>
      <c r="G750" s="343"/>
      <c r="H750" s="26" t="s">
        <v>102</v>
      </c>
      <c r="I750" s="59"/>
      <c r="J750" s="24"/>
      <c r="K750" s="24"/>
      <c r="L750" s="145">
        <f>'Data INPUT'!V42</f>
        <v>1</v>
      </c>
      <c r="M750" s="424"/>
    </row>
    <row r="751" spans="1:13" ht="15.75">
      <c r="A751" s="335" t="s">
        <v>65</v>
      </c>
      <c r="B751" s="336"/>
      <c r="C751" s="330" t="str">
        <f>'Data INPUT'!V37</f>
        <v>RAL 9010</v>
      </c>
      <c r="D751" s="331"/>
      <c r="E751" s="331"/>
      <c r="F751" s="331"/>
      <c r="G751" s="332"/>
      <c r="H751" s="333" t="s">
        <v>103</v>
      </c>
      <c r="I751" s="235"/>
      <c r="J751" s="235"/>
      <c r="K751" s="334"/>
      <c r="L751" s="146">
        <f>'Data INPUT'!V43</f>
        <v>0</v>
      </c>
      <c r="M751" s="424"/>
    </row>
    <row r="752" spans="1:13" ht="15.75">
      <c r="A752" s="327" t="s">
        <v>104</v>
      </c>
      <c r="B752" s="329"/>
      <c r="C752" s="330" t="str">
        <f>'Data INPUT'!V38</f>
        <v>RAL 9010</v>
      </c>
      <c r="D752" s="331"/>
      <c r="E752" s="331"/>
      <c r="F752" s="331"/>
      <c r="G752" s="332"/>
      <c r="H752" s="333" t="s">
        <v>105</v>
      </c>
      <c r="I752" s="235"/>
      <c r="J752" s="235"/>
      <c r="K752" s="334"/>
      <c r="L752" s="146">
        <f>'Data INPUT'!V44</f>
        <v>0</v>
      </c>
      <c r="M752" s="424"/>
    </row>
    <row r="753" spans="1:13" ht="15.75">
      <c r="A753" s="327" t="s">
        <v>106</v>
      </c>
      <c r="B753" s="329"/>
      <c r="C753" s="330" t="str">
        <f>'Data INPUT'!V39</f>
        <v>RAL 9010</v>
      </c>
      <c r="D753" s="331"/>
      <c r="E753" s="331"/>
      <c r="F753" s="331"/>
      <c r="G753" s="332"/>
      <c r="H753" s="333" t="s">
        <v>107</v>
      </c>
      <c r="I753" s="235"/>
      <c r="J753" s="235"/>
      <c r="K753" s="334"/>
      <c r="L753" s="146">
        <f>'Data INPUT'!V45</f>
        <v>0</v>
      </c>
      <c r="M753" s="424"/>
    </row>
    <row r="754" spans="1:13" ht="15.75">
      <c r="A754" s="335" t="s">
        <v>108</v>
      </c>
      <c r="B754" s="336"/>
      <c r="C754" s="330" t="str">
        <f>'Data INPUT'!V40</f>
        <v>RAL 9010</v>
      </c>
      <c r="D754" s="331"/>
      <c r="E754" s="331"/>
      <c r="F754" s="331"/>
      <c r="G754" s="332"/>
      <c r="H754" s="60" t="s">
        <v>109</v>
      </c>
      <c r="I754" s="62"/>
      <c r="J754" s="25"/>
      <c r="K754" s="25"/>
      <c r="L754" s="146">
        <f>'Data INPUT'!V46</f>
        <v>0</v>
      </c>
      <c r="M754" s="424"/>
    </row>
    <row r="755" spans="1:13" ht="15.75">
      <c r="A755" s="327" t="s">
        <v>110</v>
      </c>
      <c r="B755" s="329"/>
      <c r="C755" s="330" t="str">
        <f>'Data INPUT'!V41</f>
        <v>Select</v>
      </c>
      <c r="D755" s="331"/>
      <c r="E755" s="331"/>
      <c r="F755" s="331"/>
      <c r="G755" s="332"/>
      <c r="H755" s="60" t="s">
        <v>111</v>
      </c>
      <c r="I755" s="25"/>
      <c r="J755" s="25"/>
      <c r="K755" s="61"/>
      <c r="L755" s="146">
        <f>'Data INPUT'!V47</f>
        <v>0</v>
      </c>
      <c r="M755" s="424"/>
    </row>
    <row r="756" spans="1:13" ht="15.75" customHeight="1">
      <c r="A756" s="406" t="s">
        <v>112</v>
      </c>
      <c r="B756" s="407"/>
      <c r="C756" s="148"/>
      <c r="D756" s="148"/>
      <c r="E756" s="148"/>
      <c r="F756" s="408" t="s">
        <v>115</v>
      </c>
      <c r="G756" s="409"/>
      <c r="H756" s="60" t="s">
        <v>113</v>
      </c>
      <c r="I756" s="62"/>
      <c r="J756" s="25"/>
      <c r="K756" s="25"/>
      <c r="L756" s="146">
        <f>'Data INPUT'!V48</f>
        <v>0</v>
      </c>
      <c r="M756" s="424"/>
    </row>
    <row r="757" spans="1:13" ht="15.75" customHeight="1">
      <c r="A757" s="327" t="s">
        <v>114</v>
      </c>
      <c r="B757" s="328"/>
      <c r="C757" s="328"/>
      <c r="D757" s="87"/>
      <c r="E757" s="87" t="s">
        <v>33</v>
      </c>
      <c r="F757" s="88" t="s">
        <v>33</v>
      </c>
      <c r="G757" s="89" t="s">
        <v>33</v>
      </c>
      <c r="H757" s="325"/>
      <c r="I757" s="326"/>
      <c r="J757" s="326"/>
      <c r="K757" s="74"/>
      <c r="L757" s="146" t="s">
        <v>33</v>
      </c>
      <c r="M757" s="424"/>
    </row>
    <row r="758" spans="1:13" ht="15.75" customHeight="1">
      <c r="A758" s="327" t="s">
        <v>116</v>
      </c>
      <c r="B758" s="328"/>
      <c r="C758" s="328"/>
      <c r="D758" s="328"/>
      <c r="E758" s="329"/>
      <c r="F758" s="88" t="s">
        <v>33</v>
      </c>
      <c r="G758" s="89"/>
      <c r="H758" s="60"/>
      <c r="I758" s="62"/>
      <c r="J758" s="25"/>
      <c r="K758" s="25"/>
      <c r="L758" s="146" t="s">
        <v>33</v>
      </c>
      <c r="M758" s="424"/>
    </row>
    <row r="759" spans="1:13" ht="16.5" customHeight="1" thickBot="1">
      <c r="A759" s="337" t="s">
        <v>117</v>
      </c>
      <c r="B759" s="362"/>
      <c r="C759" s="362"/>
      <c r="D759" s="362"/>
      <c r="E759" s="338"/>
      <c r="F759" s="90" t="s">
        <v>33</v>
      </c>
      <c r="G759" s="91"/>
      <c r="H759" s="363"/>
      <c r="I759" s="364"/>
      <c r="J759" s="364"/>
      <c r="K759" s="364"/>
      <c r="L759" s="147" t="s">
        <v>33</v>
      </c>
      <c r="M759" s="424"/>
    </row>
    <row r="760" spans="1:13" ht="50.25" customHeight="1" thickBot="1">
      <c r="A760" s="92" t="s">
        <v>118</v>
      </c>
      <c r="B760" s="93"/>
      <c r="C760" s="77" t="s">
        <v>119</v>
      </c>
      <c r="D760" s="82"/>
      <c r="E760" s="83"/>
      <c r="F760" s="84"/>
      <c r="G760" s="85"/>
      <c r="H760" s="402"/>
      <c r="I760" s="403"/>
      <c r="J760" s="403"/>
      <c r="K760" s="403"/>
      <c r="L760" s="404"/>
      <c r="M760" s="425"/>
    </row>
    <row r="761" spans="1:13" ht="18.75" customHeight="1" thickBot="1">
      <c r="A761" s="251" t="s">
        <v>69</v>
      </c>
      <c r="B761" s="252"/>
      <c r="C761" s="253">
        <f ca="1">'Data INPUT'!$B$13</f>
        <v>46222</v>
      </c>
      <c r="D761" s="254"/>
      <c r="E761" s="254"/>
      <c r="F761" s="254"/>
      <c r="G761" s="255" t="s">
        <v>7</v>
      </c>
      <c r="H761" s="255"/>
      <c r="I761" s="255"/>
      <c r="J761" s="256" t="str">
        <f>'Data INPUT'!$B$14</f>
        <v xml:space="preserve"> </v>
      </c>
      <c r="K761" s="257"/>
      <c r="L761" s="258"/>
      <c r="M761" s="420" t="s">
        <v>161</v>
      </c>
    </row>
    <row r="762" spans="1:13" ht="15.75">
      <c r="A762" s="259" t="s">
        <v>70</v>
      </c>
      <c r="B762" s="260"/>
      <c r="C762" s="261" t="str">
        <f>'Data INPUT'!$B$4</f>
        <v xml:space="preserve"> </v>
      </c>
      <c r="D762" s="262"/>
      <c r="E762" s="262"/>
      <c r="F762" s="262"/>
      <c r="G762" s="262"/>
      <c r="H762" s="262"/>
      <c r="I762" s="263"/>
      <c r="J762" s="264" t="str">
        <f>'Data INPUT'!W19</f>
        <v xml:space="preserve"> </v>
      </c>
      <c r="K762" s="265"/>
      <c r="L762" s="266"/>
      <c r="M762" s="421"/>
    </row>
    <row r="763" spans="1:13" ht="15.75">
      <c r="A763" s="232" t="s">
        <v>71</v>
      </c>
      <c r="B763" s="233"/>
      <c r="C763" s="234" t="str">
        <f>'Data INPUT'!$B$2</f>
        <v xml:space="preserve"> </v>
      </c>
      <c r="D763" s="235"/>
      <c r="E763" s="235"/>
      <c r="F763" s="235"/>
      <c r="G763" s="235"/>
      <c r="H763" s="235"/>
      <c r="I763" s="236"/>
      <c r="J763" s="237" t="str">
        <f>'Data INPUT'!W24</f>
        <v xml:space="preserve"> </v>
      </c>
      <c r="K763" s="238"/>
      <c r="L763" s="239"/>
      <c r="M763" s="421"/>
    </row>
    <row r="764" spans="1:13" ht="16.5" thickBot="1">
      <c r="A764" s="240" t="s">
        <v>0</v>
      </c>
      <c r="B764" s="241"/>
      <c r="C764" s="242" t="str">
        <f>'Data INPUT'!$B$3</f>
        <v xml:space="preserve"> </v>
      </c>
      <c r="D764" s="243"/>
      <c r="E764" s="243"/>
      <c r="F764" s="243"/>
      <c r="G764" s="243"/>
      <c r="H764" s="243"/>
      <c r="I764" s="244"/>
      <c r="J764" s="417" t="str">
        <f>'Data INPUT'!W18</f>
        <v>Curtain 20</v>
      </c>
      <c r="K764" s="418"/>
      <c r="L764" s="419"/>
      <c r="M764" s="421"/>
    </row>
    <row r="765" spans="1:13" ht="15.75">
      <c r="A765" s="245" t="str">
        <f>'Data INPUT'!W21</f>
        <v>Select</v>
      </c>
      <c r="B765" s="247" t="str">
        <f>'Data INPUT'!W25</f>
        <v>Select</v>
      </c>
      <c r="C765" s="248"/>
      <c r="D765" s="313" t="str">
        <f>'Data INPUT'!W20</f>
        <v>Select</v>
      </c>
      <c r="E765" s="313"/>
      <c r="F765" s="314"/>
      <c r="G765" s="365" t="s">
        <v>72</v>
      </c>
      <c r="H765" s="366"/>
      <c r="I765" s="366"/>
      <c r="J765" s="366"/>
      <c r="K765" s="366"/>
      <c r="L765" s="367"/>
      <c r="M765" s="421"/>
    </row>
    <row r="766" spans="1:13" ht="16.5" thickBot="1">
      <c r="A766" s="246"/>
      <c r="B766" s="249"/>
      <c r="C766" s="250"/>
      <c r="D766" s="315"/>
      <c r="E766" s="315"/>
      <c r="F766" s="316"/>
      <c r="G766" s="305" t="str">
        <f>'Data INPUT'!$B$7</f>
        <v xml:space="preserve"> </v>
      </c>
      <c r="H766" s="306"/>
      <c r="I766" s="306"/>
      <c r="J766" s="306"/>
      <c r="K766" s="306"/>
      <c r="L766" s="307"/>
      <c r="M766" s="421"/>
    </row>
    <row r="767" spans="1:13" ht="15.75">
      <c r="A767" s="259" t="s">
        <v>74</v>
      </c>
      <c r="B767" s="260"/>
      <c r="C767" s="308" t="str">
        <f>'Data INPUT'!$B$12</f>
        <v>Select</v>
      </c>
      <c r="D767" s="308"/>
      <c r="E767" s="308"/>
      <c r="F767" s="309"/>
      <c r="G767" s="305" t="str">
        <f>'Data INPUT'!$B$8</f>
        <v xml:space="preserve"> </v>
      </c>
      <c r="H767" s="306"/>
      <c r="I767" s="306"/>
      <c r="J767" s="306"/>
      <c r="K767" s="306"/>
      <c r="L767" s="307"/>
      <c r="M767" s="421"/>
    </row>
    <row r="768" spans="1:13" ht="15.75">
      <c r="A768" s="232" t="s">
        <v>75</v>
      </c>
      <c r="B768" s="233"/>
      <c r="C768" s="310" t="str">
        <f>'Data INPUT'!W23</f>
        <v>Select</v>
      </c>
      <c r="D768" s="311"/>
      <c r="E768" s="311"/>
      <c r="F768" s="312"/>
      <c r="G768" s="305" t="str">
        <f>'Data INPUT'!$B$9</f>
        <v xml:space="preserve"> </v>
      </c>
      <c r="H768" s="306"/>
      <c r="I768" s="306"/>
      <c r="J768" s="306"/>
      <c r="K768" s="306"/>
      <c r="L768" s="307"/>
      <c r="M768" s="421"/>
    </row>
    <row r="769" spans="1:13" ht="15.75">
      <c r="A769" s="270" t="s">
        <v>76</v>
      </c>
      <c r="B769" s="271"/>
      <c r="C769" s="276">
        <v>1</v>
      </c>
      <c r="D769" s="277"/>
      <c r="E769" s="277"/>
      <c r="F769" s="278"/>
      <c r="G769" s="285" t="str">
        <f>'Data INPUT'!$B$10</f>
        <v xml:space="preserve"> </v>
      </c>
      <c r="H769" s="286"/>
      <c r="I769" s="286"/>
      <c r="J769" s="286"/>
      <c r="K769" s="286"/>
      <c r="L769" s="287"/>
      <c r="M769" s="421"/>
    </row>
    <row r="770" spans="1:13" ht="15.75">
      <c r="A770" s="272"/>
      <c r="B770" s="273"/>
      <c r="C770" s="279"/>
      <c r="D770" s="280"/>
      <c r="E770" s="280"/>
      <c r="F770" s="281"/>
      <c r="G770" s="28" t="s">
        <v>77</v>
      </c>
      <c r="H770" s="29"/>
      <c r="I770" s="29"/>
      <c r="J770" s="288" t="str">
        <f>'Data INPUT'!$B$5</f>
        <v xml:space="preserve"> </v>
      </c>
      <c r="K770" s="288"/>
      <c r="L770" s="289"/>
      <c r="M770" s="421"/>
    </row>
    <row r="771" spans="1:13" ht="16.5" thickBot="1">
      <c r="A771" s="274"/>
      <c r="B771" s="275"/>
      <c r="C771" s="282"/>
      <c r="D771" s="283"/>
      <c r="E771" s="283"/>
      <c r="F771" s="284"/>
      <c r="G771" s="31" t="s">
        <v>78</v>
      </c>
      <c r="H771" s="32"/>
      <c r="I771" s="32"/>
      <c r="J771" s="290" t="str">
        <f>'Data INPUT'!$B$6</f>
        <v xml:space="preserve"> </v>
      </c>
      <c r="K771" s="290"/>
      <c r="L771" s="291"/>
      <c r="M771" s="421"/>
    </row>
    <row r="772" spans="1:13" ht="15.75">
      <c r="A772" s="292" t="s">
        <v>79</v>
      </c>
      <c r="B772" s="293"/>
      <c r="C772" s="296" t="str">
        <f>'Data INPUT'!$B$16</f>
        <v xml:space="preserve"> </v>
      </c>
      <c r="D772" s="297"/>
      <c r="E772" s="297"/>
      <c r="F772" s="297"/>
      <c r="G772" s="297"/>
      <c r="H772" s="297"/>
      <c r="I772" s="297"/>
      <c r="J772" s="297"/>
      <c r="K772" s="297"/>
      <c r="L772" s="298"/>
      <c r="M772" s="421"/>
    </row>
    <row r="773" spans="1:13" ht="15.75">
      <c r="A773" s="292"/>
      <c r="B773" s="293"/>
      <c r="C773" s="299" t="str">
        <f>'Data INPUT'!$B$17</f>
        <v xml:space="preserve"> </v>
      </c>
      <c r="D773" s="300"/>
      <c r="E773" s="300"/>
      <c r="F773" s="300"/>
      <c r="G773" s="300"/>
      <c r="H773" s="300"/>
      <c r="I773" s="300"/>
      <c r="J773" s="300"/>
      <c r="K773" s="300"/>
      <c r="L773" s="301"/>
      <c r="M773" s="421"/>
    </row>
    <row r="774" spans="1:13" ht="16.5" thickBot="1">
      <c r="A774" s="294"/>
      <c r="B774" s="295"/>
      <c r="C774" s="302" t="str">
        <f>'Data INPUT'!$B$18</f>
        <v xml:space="preserve"> </v>
      </c>
      <c r="D774" s="303"/>
      <c r="E774" s="303"/>
      <c r="F774" s="303"/>
      <c r="G774" s="303"/>
      <c r="H774" s="303"/>
      <c r="I774" s="303"/>
      <c r="J774" s="303"/>
      <c r="K774" s="303"/>
      <c r="L774" s="304"/>
      <c r="M774" s="421"/>
    </row>
    <row r="775" spans="1:13" ht="16.5" thickBot="1">
      <c r="A775" s="391" t="s">
        <v>80</v>
      </c>
      <c r="B775" s="392"/>
      <c r="C775" s="66" t="s">
        <v>42</v>
      </c>
      <c r="D775" s="66"/>
      <c r="E775" s="69" t="s">
        <v>43</v>
      </c>
      <c r="F775" s="66"/>
      <c r="G775" s="67"/>
      <c r="H775" s="275" t="s">
        <v>230</v>
      </c>
      <c r="I775" s="275"/>
      <c r="J775" s="275"/>
      <c r="K775" s="275"/>
      <c r="L775" s="393"/>
      <c r="M775" s="421"/>
    </row>
    <row r="776" spans="1:13" ht="15.75">
      <c r="A776" s="394" t="s">
        <v>81</v>
      </c>
      <c r="B776" s="395"/>
      <c r="C776" s="71" t="str">
        <f>'Data INPUT'!W26</f>
        <v xml:space="preserve"> </v>
      </c>
      <c r="D776" s="72" t="s">
        <v>82</v>
      </c>
      <c r="E776" s="70" t="str">
        <f>'Data INPUT'!W27</f>
        <v xml:space="preserve"> </v>
      </c>
      <c r="F776" s="73"/>
      <c r="G776" s="33"/>
      <c r="H776" s="396"/>
      <c r="I776" s="397"/>
      <c r="J776" s="397"/>
      <c r="K776" s="397"/>
      <c r="L776" s="398"/>
      <c r="M776" s="421"/>
    </row>
    <row r="777" spans="1:13" ht="15.75">
      <c r="A777" s="34" t="s">
        <v>83</v>
      </c>
      <c r="B777" s="35" t="str">
        <f>D778</f>
        <v>Select</v>
      </c>
      <c r="C777" s="65" t="str">
        <f>C776</f>
        <v xml:space="preserve"> </v>
      </c>
      <c r="D777" s="37"/>
      <c r="E777" s="36"/>
      <c r="F777" s="38"/>
      <c r="G777" s="38"/>
      <c r="H777" s="399" t="s">
        <v>84</v>
      </c>
      <c r="I777" s="400"/>
      <c r="J777" s="400"/>
      <c r="K777" s="400"/>
      <c r="L777" s="401"/>
      <c r="M777" s="421"/>
    </row>
    <row r="778" spans="1:13" ht="15.75">
      <c r="A778" s="39" t="s">
        <v>85</v>
      </c>
      <c r="B778" s="35" t="str">
        <f>D778</f>
        <v>Select</v>
      </c>
      <c r="C778" s="68" t="s">
        <v>33</v>
      </c>
      <c r="D778" s="37" t="str">
        <f>'Data INPUT'!W28</f>
        <v>Select</v>
      </c>
      <c r="E778" s="37"/>
      <c r="F778" s="37"/>
      <c r="G778" s="53"/>
      <c r="H778" s="267" t="s">
        <v>33</v>
      </c>
      <c r="I778" s="268"/>
      <c r="J778" s="268"/>
      <c r="K778" s="268"/>
      <c r="L778" s="269"/>
      <c r="M778" s="421"/>
    </row>
    <row r="779" spans="1:13" ht="16.5" thickBot="1">
      <c r="A779" s="40" t="s">
        <v>86</v>
      </c>
      <c r="B779" s="41" t="str">
        <f>'Data INPUT'!W29</f>
        <v>Standard</v>
      </c>
      <c r="C779" s="72" t="e">
        <f>E776-D778+10</f>
        <v>#VALUE!</v>
      </c>
      <c r="D779" s="42" t="s">
        <v>82</v>
      </c>
      <c r="E779" s="30">
        <v>100</v>
      </c>
      <c r="F779" s="42" t="s">
        <v>82</v>
      </c>
      <c r="G779" s="42">
        <v>53</v>
      </c>
      <c r="H779" s="373"/>
      <c r="I779" s="374"/>
      <c r="J779" s="374"/>
      <c r="K779" s="374"/>
      <c r="L779" s="375"/>
      <c r="M779" s="421"/>
    </row>
    <row r="780" spans="1:13" ht="15.75">
      <c r="A780" s="43" t="s">
        <v>87</v>
      </c>
      <c r="B780" s="44" t="s">
        <v>88</v>
      </c>
      <c r="C780" s="45" t="e">
        <f>C781</f>
        <v>#VALUE!</v>
      </c>
      <c r="D780" s="45" t="s">
        <v>82</v>
      </c>
      <c r="E780" s="140">
        <v>1</v>
      </c>
      <c r="F780" s="46"/>
      <c r="G780" s="46"/>
      <c r="H780" s="376" t="s">
        <v>89</v>
      </c>
      <c r="I780" s="377"/>
      <c r="J780" s="377"/>
      <c r="K780" s="377"/>
      <c r="L780" s="378"/>
      <c r="M780" s="421"/>
    </row>
    <row r="781" spans="1:13" ht="16.5" thickBot="1">
      <c r="A781" s="47" t="s">
        <v>90</v>
      </c>
      <c r="B781" s="48"/>
      <c r="C781" s="49" t="e">
        <f>C776-180</f>
        <v>#VALUE!</v>
      </c>
      <c r="D781" s="49" t="s">
        <v>82</v>
      </c>
      <c r="E781" s="137">
        <v>1</v>
      </c>
      <c r="F781" s="50"/>
      <c r="G781" s="50"/>
      <c r="H781" s="379"/>
      <c r="I781" s="380"/>
      <c r="J781" s="380"/>
      <c r="K781" s="380"/>
      <c r="L781" s="381"/>
      <c r="M781" s="421"/>
    </row>
    <row r="782" spans="1:13" ht="15.75">
      <c r="A782" s="382" t="s">
        <v>91</v>
      </c>
      <c r="B782" s="383"/>
      <c r="C782" s="52" t="e">
        <f>C776-230</f>
        <v>#VALUE!</v>
      </c>
      <c r="D782" s="384" t="s">
        <v>33</v>
      </c>
      <c r="E782" s="384"/>
      <c r="F782" s="384"/>
      <c r="G782" s="385"/>
      <c r="H782" s="386" t="s">
        <v>92</v>
      </c>
      <c r="I782" s="366"/>
      <c r="J782" s="366"/>
      <c r="K782" s="366"/>
      <c r="L782" s="367"/>
      <c r="M782" s="421"/>
    </row>
    <row r="783" spans="1:13" ht="16.5" thickBot="1">
      <c r="A783" s="387" t="s">
        <v>135</v>
      </c>
      <c r="B783" s="388"/>
      <c r="C783" s="37" t="e">
        <f>C784</f>
        <v>#VALUE!</v>
      </c>
      <c r="D783" s="389"/>
      <c r="E783" s="389"/>
      <c r="F783" s="389"/>
      <c r="G783" s="390"/>
      <c r="H783" s="373"/>
      <c r="I783" s="374"/>
      <c r="J783" s="374"/>
      <c r="K783" s="374"/>
      <c r="L783" s="375"/>
      <c r="M783" s="421"/>
    </row>
    <row r="784" spans="1:13" ht="15.75">
      <c r="A784" s="370" t="s">
        <v>73</v>
      </c>
      <c r="B784" s="371"/>
      <c r="C784" s="52" t="e">
        <f>C776-100</f>
        <v>#VALUE!</v>
      </c>
      <c r="D784" s="52" t="s">
        <v>82</v>
      </c>
      <c r="E784" s="51" t="e">
        <f>E776+300</f>
        <v>#VALUE!</v>
      </c>
      <c r="F784" s="52"/>
      <c r="G784" s="54"/>
      <c r="H784" s="351" t="s">
        <v>93</v>
      </c>
      <c r="I784" s="352"/>
      <c r="J784" s="352"/>
      <c r="K784" s="352"/>
      <c r="L784" s="353"/>
      <c r="M784" s="421"/>
    </row>
    <row r="785" spans="1:13" ht="16.5" thickBot="1">
      <c r="A785" s="294"/>
      <c r="B785" s="372"/>
      <c r="C785" s="354" t="s">
        <v>136</v>
      </c>
      <c r="D785" s="355"/>
      <c r="E785" s="355"/>
      <c r="F785" s="355"/>
      <c r="G785" s="356"/>
      <c r="H785" s="357" t="s">
        <v>94</v>
      </c>
      <c r="I785" s="358"/>
      <c r="J785" s="358"/>
      <c r="K785" s="358"/>
      <c r="L785" s="359"/>
      <c r="M785" s="421"/>
    </row>
    <row r="786" spans="1:13" ht="16.5" thickBot="1">
      <c r="A786" s="360" t="s">
        <v>95</v>
      </c>
      <c r="B786" s="361"/>
      <c r="C786" s="55" t="s">
        <v>33</v>
      </c>
      <c r="D786" s="75" t="s">
        <v>96</v>
      </c>
      <c r="E786" s="75" t="s">
        <v>33</v>
      </c>
      <c r="F786" s="75" t="s">
        <v>97</v>
      </c>
      <c r="G786" s="56" t="s">
        <v>33</v>
      </c>
      <c r="H786" s="368" t="s">
        <v>141</v>
      </c>
      <c r="I786" s="369"/>
      <c r="J786" s="369"/>
      <c r="K786" s="57">
        <v>300</v>
      </c>
      <c r="L786" s="144" t="s">
        <v>98</v>
      </c>
      <c r="M786" s="421"/>
    </row>
    <row r="787" spans="1:13" ht="15.75">
      <c r="A787" s="345" t="s">
        <v>99</v>
      </c>
      <c r="B787" s="346"/>
      <c r="C787" s="405" t="str">
        <f>'Data INPUT'!W34</f>
        <v>Select</v>
      </c>
      <c r="D787" s="384"/>
      <c r="E787" s="384"/>
      <c r="F787" s="384"/>
      <c r="G787" s="385"/>
      <c r="H787" s="27" t="s">
        <v>100</v>
      </c>
      <c r="I787" s="265"/>
      <c r="J787" s="265"/>
      <c r="K787" s="265"/>
      <c r="L787" s="266"/>
      <c r="M787" s="421"/>
    </row>
    <row r="788" spans="1:13" ht="16.5" thickBot="1">
      <c r="A788" s="274" t="s">
        <v>62</v>
      </c>
      <c r="B788" s="347"/>
      <c r="C788" s="322" t="str">
        <f>'Data INPUT'!W36</f>
        <v>Select</v>
      </c>
      <c r="D788" s="323"/>
      <c r="E788" s="323"/>
      <c r="F788" s="323"/>
      <c r="G788" s="324"/>
      <c r="H788" s="32"/>
      <c r="I788" s="320"/>
      <c r="J788" s="320"/>
      <c r="K788" s="320"/>
      <c r="L788" s="321"/>
      <c r="M788" s="421"/>
    </row>
    <row r="789" spans="1:13" ht="16.5" thickBot="1">
      <c r="A789" s="348" t="s">
        <v>101</v>
      </c>
      <c r="B789" s="349"/>
      <c r="C789" s="76" t="str">
        <f>'Data INPUT'!W35</f>
        <v>CSV x2</v>
      </c>
      <c r="D789" s="72" t="s">
        <v>33</v>
      </c>
      <c r="E789" s="306" t="s">
        <v>33</v>
      </c>
      <c r="F789" s="306"/>
      <c r="G789" s="350"/>
      <c r="H789" s="32" t="s">
        <v>100</v>
      </c>
      <c r="I789" s="58"/>
      <c r="J789" s="58"/>
      <c r="K789" s="58"/>
      <c r="L789" s="94"/>
      <c r="M789" s="421"/>
    </row>
    <row r="790" spans="1:13" ht="15.75">
      <c r="A790" s="342" t="s">
        <v>137</v>
      </c>
      <c r="B790" s="343"/>
      <c r="C790" s="343"/>
      <c r="D790" s="343"/>
      <c r="E790" s="343"/>
      <c r="F790" s="343"/>
      <c r="G790" s="343"/>
      <c r="H790" s="26" t="s">
        <v>102</v>
      </c>
      <c r="I790" s="59"/>
      <c r="J790" s="24"/>
      <c r="K790" s="24"/>
      <c r="L790" s="145">
        <f>'Data INPUT'!W42</f>
        <v>1</v>
      </c>
      <c r="M790" s="421"/>
    </row>
    <row r="791" spans="1:13" ht="15.75">
      <c r="A791" s="335" t="s">
        <v>65</v>
      </c>
      <c r="B791" s="336"/>
      <c r="C791" s="330" t="str">
        <f>'Data INPUT'!W37</f>
        <v>RAL 9010</v>
      </c>
      <c r="D791" s="331"/>
      <c r="E791" s="331"/>
      <c r="F791" s="331"/>
      <c r="G791" s="332"/>
      <c r="H791" s="333" t="s">
        <v>103</v>
      </c>
      <c r="I791" s="235"/>
      <c r="J791" s="235"/>
      <c r="K791" s="334"/>
      <c r="L791" s="146">
        <f>'Data INPUT'!W43</f>
        <v>0</v>
      </c>
      <c r="M791" s="421"/>
    </row>
    <row r="792" spans="1:13" ht="15.75">
      <c r="A792" s="327" t="s">
        <v>104</v>
      </c>
      <c r="B792" s="329"/>
      <c r="C792" s="330" t="str">
        <f>'Data INPUT'!W38</f>
        <v>RAL 9010</v>
      </c>
      <c r="D792" s="331"/>
      <c r="E792" s="331"/>
      <c r="F792" s="331"/>
      <c r="G792" s="332"/>
      <c r="H792" s="333" t="s">
        <v>105</v>
      </c>
      <c r="I792" s="235"/>
      <c r="J792" s="235"/>
      <c r="K792" s="334"/>
      <c r="L792" s="146">
        <f>'Data INPUT'!W44</f>
        <v>0</v>
      </c>
      <c r="M792" s="421"/>
    </row>
    <row r="793" spans="1:13" ht="15.75">
      <c r="A793" s="327" t="s">
        <v>106</v>
      </c>
      <c r="B793" s="329"/>
      <c r="C793" s="330" t="str">
        <f>'Data INPUT'!W39</f>
        <v>RAL 9010</v>
      </c>
      <c r="D793" s="331"/>
      <c r="E793" s="331"/>
      <c r="F793" s="331"/>
      <c r="G793" s="332"/>
      <c r="H793" s="333" t="s">
        <v>107</v>
      </c>
      <c r="I793" s="235"/>
      <c r="J793" s="235"/>
      <c r="K793" s="334"/>
      <c r="L793" s="146">
        <f>'Data INPUT'!W45</f>
        <v>0</v>
      </c>
      <c r="M793" s="421"/>
    </row>
    <row r="794" spans="1:13" ht="15.75">
      <c r="A794" s="335" t="s">
        <v>108</v>
      </c>
      <c r="B794" s="336"/>
      <c r="C794" s="330" t="str">
        <f>'Data INPUT'!W40</f>
        <v>RAL 9010</v>
      </c>
      <c r="D794" s="331"/>
      <c r="E794" s="331"/>
      <c r="F794" s="331"/>
      <c r="G794" s="332"/>
      <c r="H794" s="60" t="s">
        <v>109</v>
      </c>
      <c r="I794" s="62"/>
      <c r="J794" s="25"/>
      <c r="K794" s="25"/>
      <c r="L794" s="146">
        <f>'Data INPUT'!W46</f>
        <v>0</v>
      </c>
      <c r="M794" s="421"/>
    </row>
    <row r="795" spans="1:13" ht="15.75">
      <c r="A795" s="327" t="s">
        <v>110</v>
      </c>
      <c r="B795" s="329"/>
      <c r="C795" s="330" t="str">
        <f>'Data INPUT'!W41</f>
        <v>Select</v>
      </c>
      <c r="D795" s="331"/>
      <c r="E795" s="331"/>
      <c r="F795" s="331"/>
      <c r="G795" s="332"/>
      <c r="H795" s="60" t="s">
        <v>111</v>
      </c>
      <c r="I795" s="25"/>
      <c r="J795" s="25"/>
      <c r="K795" s="61"/>
      <c r="L795" s="146">
        <f>'Data INPUT'!W47</f>
        <v>0</v>
      </c>
      <c r="M795" s="421"/>
    </row>
    <row r="796" spans="1:13" ht="15.75" customHeight="1">
      <c r="A796" s="406" t="s">
        <v>112</v>
      </c>
      <c r="B796" s="407"/>
      <c r="C796" s="148"/>
      <c r="D796" s="148"/>
      <c r="E796" s="148"/>
      <c r="F796" s="408" t="s">
        <v>115</v>
      </c>
      <c r="G796" s="409"/>
      <c r="H796" s="60" t="s">
        <v>113</v>
      </c>
      <c r="I796" s="62"/>
      <c r="J796" s="25"/>
      <c r="K796" s="25"/>
      <c r="L796" s="146">
        <f>'Data INPUT'!W48</f>
        <v>0</v>
      </c>
      <c r="M796" s="421"/>
    </row>
    <row r="797" spans="1:13" ht="15.75" customHeight="1">
      <c r="A797" s="327" t="s">
        <v>114</v>
      </c>
      <c r="B797" s="328"/>
      <c r="C797" s="328"/>
      <c r="D797" s="87"/>
      <c r="E797" s="87" t="s">
        <v>33</v>
      </c>
      <c r="F797" s="88" t="s">
        <v>33</v>
      </c>
      <c r="G797" s="89" t="s">
        <v>33</v>
      </c>
      <c r="H797" s="325"/>
      <c r="I797" s="326"/>
      <c r="J797" s="326"/>
      <c r="K797" s="74"/>
      <c r="L797" s="146" t="s">
        <v>33</v>
      </c>
      <c r="M797" s="421"/>
    </row>
    <row r="798" spans="1:13" ht="15.75" customHeight="1">
      <c r="A798" s="327" t="s">
        <v>116</v>
      </c>
      <c r="B798" s="328"/>
      <c r="C798" s="328"/>
      <c r="D798" s="328"/>
      <c r="E798" s="329"/>
      <c r="F798" s="88" t="s">
        <v>33</v>
      </c>
      <c r="G798" s="89"/>
      <c r="H798" s="60"/>
      <c r="I798" s="62"/>
      <c r="J798" s="25"/>
      <c r="K798" s="25"/>
      <c r="L798" s="146" t="s">
        <v>33</v>
      </c>
      <c r="M798" s="421"/>
    </row>
    <row r="799" spans="1:13" ht="16.5" customHeight="1" thickBot="1">
      <c r="A799" s="337" t="s">
        <v>117</v>
      </c>
      <c r="B799" s="362"/>
      <c r="C799" s="362"/>
      <c r="D799" s="362"/>
      <c r="E799" s="338"/>
      <c r="F799" s="90" t="s">
        <v>33</v>
      </c>
      <c r="G799" s="91"/>
      <c r="H799" s="363"/>
      <c r="I799" s="364"/>
      <c r="J799" s="364"/>
      <c r="K799" s="364"/>
      <c r="L799" s="147" t="s">
        <v>33</v>
      </c>
      <c r="M799" s="421"/>
    </row>
    <row r="800" spans="1:13" ht="48.75" customHeight="1" thickBot="1">
      <c r="A800" s="92" t="s">
        <v>118</v>
      </c>
      <c r="B800" s="93"/>
      <c r="C800" s="77" t="s">
        <v>119</v>
      </c>
      <c r="D800" s="82"/>
      <c r="E800" s="83"/>
      <c r="F800" s="84"/>
      <c r="G800" s="85"/>
      <c r="H800" s="402"/>
      <c r="I800" s="403"/>
      <c r="J800" s="403"/>
      <c r="K800" s="403"/>
      <c r="L800" s="404"/>
      <c r="M800" s="422"/>
    </row>
  </sheetData>
  <mergeCells count="1680">
    <mergeCell ref="A207:B207"/>
    <mergeCell ref="C207:F207"/>
    <mergeCell ref="C774:L774"/>
    <mergeCell ref="G765:L765"/>
    <mergeCell ref="G766:L766"/>
    <mergeCell ref="A762:B762"/>
    <mergeCell ref="M721:M760"/>
    <mergeCell ref="M761:M800"/>
    <mergeCell ref="M241:M280"/>
    <mergeCell ref="A37:C37"/>
    <mergeCell ref="A276:B276"/>
    <mergeCell ref="F276:G276"/>
    <mergeCell ref="A277:C277"/>
    <mergeCell ref="A316:B316"/>
    <mergeCell ref="F316:G316"/>
    <mergeCell ref="A317:C317"/>
    <mergeCell ref="A356:B356"/>
    <mergeCell ref="F356:G356"/>
    <mergeCell ref="A357:C357"/>
    <mergeCell ref="M1:M40"/>
    <mergeCell ref="M41:M80"/>
    <mergeCell ref="M81:M120"/>
    <mergeCell ref="M121:M160"/>
    <mergeCell ref="M161:M200"/>
    <mergeCell ref="M201:M240"/>
    <mergeCell ref="F156:G156"/>
    <mergeCell ref="A156:B156"/>
    <mergeCell ref="A157:C157"/>
    <mergeCell ref="A196:B196"/>
    <mergeCell ref="F196:G196"/>
    <mergeCell ref="M681:M720"/>
    <mergeCell ref="A442:B442"/>
    <mergeCell ref="C442:I442"/>
    <mergeCell ref="J442:L442"/>
    <mergeCell ref="A443:B443"/>
    <mergeCell ref="C443:I443"/>
    <mergeCell ref="J443:L443"/>
    <mergeCell ref="F236:G236"/>
    <mergeCell ref="A237:C237"/>
    <mergeCell ref="H680:L680"/>
    <mergeCell ref="D685:F686"/>
    <mergeCell ref="C625:G625"/>
    <mergeCell ref="C627:G627"/>
    <mergeCell ref="H800:L800"/>
    <mergeCell ref="C745:G745"/>
    <mergeCell ref="C747:G747"/>
    <mergeCell ref="H760:L760"/>
    <mergeCell ref="D765:F766"/>
    <mergeCell ref="C705:G705"/>
    <mergeCell ref="C707:G707"/>
    <mergeCell ref="H720:L720"/>
    <mergeCell ref="D725:F726"/>
    <mergeCell ref="H783:L783"/>
    <mergeCell ref="H757:J757"/>
    <mergeCell ref="A758:E758"/>
    <mergeCell ref="A753:B753"/>
    <mergeCell ref="C753:G753"/>
    <mergeCell ref="H753:K753"/>
    <mergeCell ref="A754:B754"/>
    <mergeCell ref="C754:G754"/>
    <mergeCell ref="A755:B755"/>
    <mergeCell ref="C755:G755"/>
    <mergeCell ref="A799:E799"/>
    <mergeCell ref="H799:K799"/>
    <mergeCell ref="G207:L207"/>
    <mergeCell ref="A208:B208"/>
    <mergeCell ref="C208:F208"/>
    <mergeCell ref="G208:L208"/>
    <mergeCell ref="M281:M320"/>
    <mergeCell ref="M321:M360"/>
    <mergeCell ref="M361:M400"/>
    <mergeCell ref="M401:M440"/>
    <mergeCell ref="M441:M480"/>
    <mergeCell ref="M481:M520"/>
    <mergeCell ref="M521:M560"/>
    <mergeCell ref="M561:M600"/>
    <mergeCell ref="M601:M640"/>
    <mergeCell ref="M641:M680"/>
    <mergeCell ref="A676:B676"/>
    <mergeCell ref="F676:G676"/>
    <mergeCell ref="A677:C677"/>
    <mergeCell ref="A236:B236"/>
    <mergeCell ref="A668:B668"/>
    <mergeCell ref="C668:G668"/>
    <mergeCell ref="I668:L668"/>
    <mergeCell ref="A669:B669"/>
    <mergeCell ref="E669:G669"/>
    <mergeCell ref="A670:G670"/>
    <mergeCell ref="H664:L664"/>
    <mergeCell ref="H665:L665"/>
    <mergeCell ref="A666:B666"/>
    <mergeCell ref="H666:J666"/>
    <mergeCell ref="A667:B667"/>
    <mergeCell ref="I667:L667"/>
    <mergeCell ref="A664:B665"/>
    <mergeCell ref="H659:L659"/>
    <mergeCell ref="H784:L784"/>
    <mergeCell ref="H785:L785"/>
    <mergeCell ref="A786:B786"/>
    <mergeCell ref="H786:J786"/>
    <mergeCell ref="A787:B787"/>
    <mergeCell ref="I787:L787"/>
    <mergeCell ref="A784:B785"/>
    <mergeCell ref="H779:L779"/>
    <mergeCell ref="H780:L781"/>
    <mergeCell ref="A782:B782"/>
    <mergeCell ref="D782:G782"/>
    <mergeCell ref="H782:L782"/>
    <mergeCell ref="A783:B783"/>
    <mergeCell ref="D783:G783"/>
    <mergeCell ref="H797:J797"/>
    <mergeCell ref="A796:B796"/>
    <mergeCell ref="F796:G796"/>
    <mergeCell ref="A797:C797"/>
    <mergeCell ref="C785:G785"/>
    <mergeCell ref="C787:G787"/>
    <mergeCell ref="A798:E798"/>
    <mergeCell ref="A793:B793"/>
    <mergeCell ref="C793:G793"/>
    <mergeCell ref="H793:K793"/>
    <mergeCell ref="A794:B794"/>
    <mergeCell ref="C794:G794"/>
    <mergeCell ref="A795:B795"/>
    <mergeCell ref="C795:G795"/>
    <mergeCell ref="A791:B791"/>
    <mergeCell ref="C791:G791"/>
    <mergeCell ref="C147:G147"/>
    <mergeCell ref="C187:G187"/>
    <mergeCell ref="H240:L240"/>
    <mergeCell ref="H319:K319"/>
    <mergeCell ref="A321:B321"/>
    <mergeCell ref="A767:B767"/>
    <mergeCell ref="C767:F767"/>
    <mergeCell ref="G767:L767"/>
    <mergeCell ref="A768:B768"/>
    <mergeCell ref="C768:F768"/>
    <mergeCell ref="G768:L768"/>
    <mergeCell ref="A764:B764"/>
    <mergeCell ref="C764:I764"/>
    <mergeCell ref="J764:L764"/>
    <mergeCell ref="A765:A766"/>
    <mergeCell ref="B765:C766"/>
    <mergeCell ref="D605:F606"/>
    <mergeCell ref="A679:E679"/>
    <mergeCell ref="H679:K679"/>
    <mergeCell ref="A681:B681"/>
    <mergeCell ref="C681:F681"/>
    <mergeCell ref="G681:I681"/>
    <mergeCell ref="J681:L681"/>
    <mergeCell ref="H677:J677"/>
    <mergeCell ref="A678:E678"/>
    <mergeCell ref="A763:B763"/>
    <mergeCell ref="C763:I763"/>
    <mergeCell ref="J763:L763"/>
    <mergeCell ref="A759:E759"/>
    <mergeCell ref="C751:G751"/>
    <mergeCell ref="A439:E439"/>
    <mergeCell ref="H439:K439"/>
    <mergeCell ref="H791:K791"/>
    <mergeCell ref="A792:B792"/>
    <mergeCell ref="C792:G792"/>
    <mergeCell ref="H792:K792"/>
    <mergeCell ref="A788:B788"/>
    <mergeCell ref="C788:G788"/>
    <mergeCell ref="I788:L788"/>
    <mergeCell ref="A789:B789"/>
    <mergeCell ref="E789:G789"/>
    <mergeCell ref="A790:G790"/>
    <mergeCell ref="H759:K759"/>
    <mergeCell ref="A761:B761"/>
    <mergeCell ref="C761:F761"/>
    <mergeCell ref="G761:I761"/>
    <mergeCell ref="J761:L761"/>
    <mergeCell ref="J771:L771"/>
    <mergeCell ref="C772:L772"/>
    <mergeCell ref="C773:L773"/>
    <mergeCell ref="A769:B771"/>
    <mergeCell ref="C769:F771"/>
    <mergeCell ref="G769:L769"/>
    <mergeCell ref="J770:L770"/>
    <mergeCell ref="C762:I762"/>
    <mergeCell ref="J762:L762"/>
    <mergeCell ref="A775:B775"/>
    <mergeCell ref="H775:L775"/>
    <mergeCell ref="A776:B776"/>
    <mergeCell ref="H776:L776"/>
    <mergeCell ref="H777:L777"/>
    <mergeCell ref="H778:L778"/>
    <mergeCell ref="A772:B774"/>
    <mergeCell ref="H751:K751"/>
    <mergeCell ref="A752:B752"/>
    <mergeCell ref="C752:G752"/>
    <mergeCell ref="H752:K752"/>
    <mergeCell ref="A748:B748"/>
    <mergeCell ref="C748:G748"/>
    <mergeCell ref="I748:L748"/>
    <mergeCell ref="A749:B749"/>
    <mergeCell ref="E749:G749"/>
    <mergeCell ref="A750:G750"/>
    <mergeCell ref="A751:B751"/>
    <mergeCell ref="A756:B756"/>
    <mergeCell ref="F756:G756"/>
    <mergeCell ref="A757:C757"/>
    <mergeCell ref="H744:L744"/>
    <mergeCell ref="H745:L745"/>
    <mergeCell ref="A746:B746"/>
    <mergeCell ref="H746:J746"/>
    <mergeCell ref="A747:B747"/>
    <mergeCell ref="I747:L747"/>
    <mergeCell ref="A744:B745"/>
    <mergeCell ref="H739:L739"/>
    <mergeCell ref="H740:L741"/>
    <mergeCell ref="A742:B742"/>
    <mergeCell ref="D742:G742"/>
    <mergeCell ref="H742:L742"/>
    <mergeCell ref="A743:B743"/>
    <mergeCell ref="D743:G743"/>
    <mergeCell ref="H743:L743"/>
    <mergeCell ref="A735:B735"/>
    <mergeCell ref="H735:L735"/>
    <mergeCell ref="A736:B736"/>
    <mergeCell ref="H736:L736"/>
    <mergeCell ref="H737:L737"/>
    <mergeCell ref="H738:L738"/>
    <mergeCell ref="A729:B731"/>
    <mergeCell ref="C729:F731"/>
    <mergeCell ref="G729:L729"/>
    <mergeCell ref="J730:L730"/>
    <mergeCell ref="J731:L731"/>
    <mergeCell ref="A732:B734"/>
    <mergeCell ref="C732:L732"/>
    <mergeCell ref="C733:L733"/>
    <mergeCell ref="C734:L734"/>
    <mergeCell ref="A727:B727"/>
    <mergeCell ref="C727:F727"/>
    <mergeCell ref="G727:L727"/>
    <mergeCell ref="A728:B728"/>
    <mergeCell ref="C728:F728"/>
    <mergeCell ref="G728:L728"/>
    <mergeCell ref="A724:B724"/>
    <mergeCell ref="C724:I724"/>
    <mergeCell ref="J724:L724"/>
    <mergeCell ref="A725:A726"/>
    <mergeCell ref="B725:C726"/>
    <mergeCell ref="G725:L725"/>
    <mergeCell ref="G726:L726"/>
    <mergeCell ref="A722:B722"/>
    <mergeCell ref="C722:I722"/>
    <mergeCell ref="J722:L722"/>
    <mergeCell ref="A723:B723"/>
    <mergeCell ref="C723:I723"/>
    <mergeCell ref="J723:L723"/>
    <mergeCell ref="A719:E719"/>
    <mergeCell ref="H719:K719"/>
    <mergeCell ref="A721:B721"/>
    <mergeCell ref="C721:F721"/>
    <mergeCell ref="G721:I721"/>
    <mergeCell ref="J721:L721"/>
    <mergeCell ref="H717:J717"/>
    <mergeCell ref="A718:E718"/>
    <mergeCell ref="A713:B713"/>
    <mergeCell ref="C713:G713"/>
    <mergeCell ref="H713:K713"/>
    <mergeCell ref="A714:B714"/>
    <mergeCell ref="C714:G714"/>
    <mergeCell ref="A715:B715"/>
    <mergeCell ref="C715:G715"/>
    <mergeCell ref="F716:G716"/>
    <mergeCell ref="A717:C717"/>
    <mergeCell ref="A716:B716"/>
    <mergeCell ref="A711:B711"/>
    <mergeCell ref="C711:G711"/>
    <mergeCell ref="H711:K711"/>
    <mergeCell ref="A712:B712"/>
    <mergeCell ref="C712:G712"/>
    <mergeCell ref="H712:K712"/>
    <mergeCell ref="A708:B708"/>
    <mergeCell ref="C708:G708"/>
    <mergeCell ref="I708:L708"/>
    <mergeCell ref="A709:B709"/>
    <mergeCell ref="E709:G709"/>
    <mergeCell ref="A710:G710"/>
    <mergeCell ref="H704:L704"/>
    <mergeCell ref="H705:L705"/>
    <mergeCell ref="A706:B706"/>
    <mergeCell ref="H706:J706"/>
    <mergeCell ref="A707:B707"/>
    <mergeCell ref="I707:L707"/>
    <mergeCell ref="A704:B705"/>
    <mergeCell ref="H699:L699"/>
    <mergeCell ref="H700:L701"/>
    <mergeCell ref="A702:B702"/>
    <mergeCell ref="D702:G702"/>
    <mergeCell ref="H702:L702"/>
    <mergeCell ref="A703:B703"/>
    <mergeCell ref="D703:G703"/>
    <mergeCell ref="H703:L703"/>
    <mergeCell ref="A695:B695"/>
    <mergeCell ref="H695:L695"/>
    <mergeCell ref="A696:B696"/>
    <mergeCell ref="H696:L696"/>
    <mergeCell ref="H697:L697"/>
    <mergeCell ref="H698:L698"/>
    <mergeCell ref="A689:B691"/>
    <mergeCell ref="C689:F691"/>
    <mergeCell ref="G689:L689"/>
    <mergeCell ref="J690:L690"/>
    <mergeCell ref="J691:L691"/>
    <mergeCell ref="A692:B694"/>
    <mergeCell ref="C692:L692"/>
    <mergeCell ref="C693:L693"/>
    <mergeCell ref="C694:L694"/>
    <mergeCell ref="A687:B687"/>
    <mergeCell ref="C687:F687"/>
    <mergeCell ref="G687:L687"/>
    <mergeCell ref="A688:B688"/>
    <mergeCell ref="C688:F688"/>
    <mergeCell ref="G688:L688"/>
    <mergeCell ref="A684:B684"/>
    <mergeCell ref="C684:I684"/>
    <mergeCell ref="J684:L684"/>
    <mergeCell ref="A685:A686"/>
    <mergeCell ref="B685:C686"/>
    <mergeCell ref="G685:L685"/>
    <mergeCell ref="G686:L686"/>
    <mergeCell ref="C671:G671"/>
    <mergeCell ref="H671:K671"/>
    <mergeCell ref="A672:B672"/>
    <mergeCell ref="C672:G672"/>
    <mergeCell ref="H672:K672"/>
    <mergeCell ref="A673:B673"/>
    <mergeCell ref="C673:G673"/>
    <mergeCell ref="A682:B682"/>
    <mergeCell ref="C682:I682"/>
    <mergeCell ref="J682:L682"/>
    <mergeCell ref="A683:B683"/>
    <mergeCell ref="A671:B671"/>
    <mergeCell ref="C683:I683"/>
    <mergeCell ref="J683:L683"/>
    <mergeCell ref="H673:K673"/>
    <mergeCell ref="A674:B674"/>
    <mergeCell ref="C674:G674"/>
    <mergeCell ref="A675:B675"/>
    <mergeCell ref="C675:G675"/>
    <mergeCell ref="H660:L661"/>
    <mergeCell ref="A662:B662"/>
    <mergeCell ref="D662:G662"/>
    <mergeCell ref="H662:L662"/>
    <mergeCell ref="A663:B663"/>
    <mergeCell ref="D663:G663"/>
    <mergeCell ref="H663:L663"/>
    <mergeCell ref="A655:B655"/>
    <mergeCell ref="H655:L655"/>
    <mergeCell ref="A656:B656"/>
    <mergeCell ref="H656:L656"/>
    <mergeCell ref="H657:L657"/>
    <mergeCell ref="H658:L658"/>
    <mergeCell ref="C665:G665"/>
    <mergeCell ref="C667:G667"/>
    <mergeCell ref="A649:B651"/>
    <mergeCell ref="C649:F651"/>
    <mergeCell ref="G649:L649"/>
    <mergeCell ref="J650:L650"/>
    <mergeCell ref="J651:L651"/>
    <mergeCell ref="A652:B654"/>
    <mergeCell ref="C652:L652"/>
    <mergeCell ref="C653:L653"/>
    <mergeCell ref="C654:L654"/>
    <mergeCell ref="A647:B647"/>
    <mergeCell ref="C647:F647"/>
    <mergeCell ref="G647:L647"/>
    <mergeCell ref="A648:B648"/>
    <mergeCell ref="C648:F648"/>
    <mergeCell ref="G648:L648"/>
    <mergeCell ref="A644:B644"/>
    <mergeCell ref="C644:I644"/>
    <mergeCell ref="J644:L644"/>
    <mergeCell ref="A645:A646"/>
    <mergeCell ref="B645:C646"/>
    <mergeCell ref="G645:L645"/>
    <mergeCell ref="G646:L646"/>
    <mergeCell ref="A642:B642"/>
    <mergeCell ref="C642:I642"/>
    <mergeCell ref="J642:L642"/>
    <mergeCell ref="A643:B643"/>
    <mergeCell ref="C643:I643"/>
    <mergeCell ref="J643:L643"/>
    <mergeCell ref="D645:F646"/>
    <mergeCell ref="A639:E639"/>
    <mergeCell ref="H639:K639"/>
    <mergeCell ref="A641:B641"/>
    <mergeCell ref="C641:F641"/>
    <mergeCell ref="G641:I641"/>
    <mergeCell ref="J641:L641"/>
    <mergeCell ref="H637:J637"/>
    <mergeCell ref="A638:E638"/>
    <mergeCell ref="A636:B636"/>
    <mergeCell ref="F636:G636"/>
    <mergeCell ref="A637:C637"/>
    <mergeCell ref="A633:B633"/>
    <mergeCell ref="C633:G633"/>
    <mergeCell ref="H633:K633"/>
    <mergeCell ref="A634:B634"/>
    <mergeCell ref="C634:G634"/>
    <mergeCell ref="A635:B635"/>
    <mergeCell ref="C635:G635"/>
    <mergeCell ref="H640:L640"/>
    <mergeCell ref="A631:B631"/>
    <mergeCell ref="C631:G631"/>
    <mergeCell ref="H631:K631"/>
    <mergeCell ref="A632:B632"/>
    <mergeCell ref="C632:G632"/>
    <mergeCell ref="H632:K632"/>
    <mergeCell ref="A628:B628"/>
    <mergeCell ref="C628:G628"/>
    <mergeCell ref="I628:L628"/>
    <mergeCell ref="A629:B629"/>
    <mergeCell ref="E629:G629"/>
    <mergeCell ref="A630:G630"/>
    <mergeCell ref="H624:L624"/>
    <mergeCell ref="H625:L625"/>
    <mergeCell ref="A626:B626"/>
    <mergeCell ref="H626:J626"/>
    <mergeCell ref="A627:B627"/>
    <mergeCell ref="I627:L627"/>
    <mergeCell ref="A624:B625"/>
    <mergeCell ref="H619:L619"/>
    <mergeCell ref="H620:L621"/>
    <mergeCell ref="A622:B622"/>
    <mergeCell ref="D622:G622"/>
    <mergeCell ref="H622:L622"/>
    <mergeCell ref="A623:B623"/>
    <mergeCell ref="D623:G623"/>
    <mergeCell ref="H623:L623"/>
    <mergeCell ref="A615:B615"/>
    <mergeCell ref="H615:L615"/>
    <mergeCell ref="A616:B616"/>
    <mergeCell ref="H616:L616"/>
    <mergeCell ref="H617:L617"/>
    <mergeCell ref="H618:L618"/>
    <mergeCell ref="A609:B611"/>
    <mergeCell ref="C609:F611"/>
    <mergeCell ref="G609:L609"/>
    <mergeCell ref="J610:L610"/>
    <mergeCell ref="J611:L611"/>
    <mergeCell ref="A612:B614"/>
    <mergeCell ref="C612:L612"/>
    <mergeCell ref="C613:L613"/>
    <mergeCell ref="C614:L614"/>
    <mergeCell ref="A607:B607"/>
    <mergeCell ref="C607:F607"/>
    <mergeCell ref="G607:L607"/>
    <mergeCell ref="A608:B608"/>
    <mergeCell ref="C608:F608"/>
    <mergeCell ref="G608:L608"/>
    <mergeCell ref="A604:B604"/>
    <mergeCell ref="C604:I604"/>
    <mergeCell ref="J604:L604"/>
    <mergeCell ref="A605:A606"/>
    <mergeCell ref="B605:C606"/>
    <mergeCell ref="G605:L605"/>
    <mergeCell ref="G606:L606"/>
    <mergeCell ref="A602:B602"/>
    <mergeCell ref="C602:I602"/>
    <mergeCell ref="J602:L602"/>
    <mergeCell ref="A603:B603"/>
    <mergeCell ref="C603:I603"/>
    <mergeCell ref="J603:L603"/>
    <mergeCell ref="A599:E599"/>
    <mergeCell ref="H599:K599"/>
    <mergeCell ref="A601:B601"/>
    <mergeCell ref="C601:F601"/>
    <mergeCell ref="G601:I601"/>
    <mergeCell ref="J601:L601"/>
    <mergeCell ref="H597:J597"/>
    <mergeCell ref="A598:E598"/>
    <mergeCell ref="A596:B596"/>
    <mergeCell ref="F596:G596"/>
    <mergeCell ref="A597:C597"/>
    <mergeCell ref="A593:B593"/>
    <mergeCell ref="C593:G593"/>
    <mergeCell ref="H593:K593"/>
    <mergeCell ref="A594:B594"/>
    <mergeCell ref="C594:G594"/>
    <mergeCell ref="A595:B595"/>
    <mergeCell ref="C595:G595"/>
    <mergeCell ref="H600:L600"/>
    <mergeCell ref="A591:B591"/>
    <mergeCell ref="C591:G591"/>
    <mergeCell ref="H591:K591"/>
    <mergeCell ref="A592:B592"/>
    <mergeCell ref="C592:G592"/>
    <mergeCell ref="H592:K592"/>
    <mergeCell ref="A588:B588"/>
    <mergeCell ref="C588:G588"/>
    <mergeCell ref="I588:L588"/>
    <mergeCell ref="A589:B589"/>
    <mergeCell ref="E589:G589"/>
    <mergeCell ref="A590:G590"/>
    <mergeCell ref="H584:L584"/>
    <mergeCell ref="H585:L585"/>
    <mergeCell ref="A586:B586"/>
    <mergeCell ref="H586:J586"/>
    <mergeCell ref="A587:B587"/>
    <mergeCell ref="I587:L587"/>
    <mergeCell ref="A584:B585"/>
    <mergeCell ref="C585:G585"/>
    <mergeCell ref="C587:G587"/>
    <mergeCell ref="H579:L579"/>
    <mergeCell ref="H580:L581"/>
    <mergeCell ref="A582:B582"/>
    <mergeCell ref="D582:G582"/>
    <mergeCell ref="H582:L582"/>
    <mergeCell ref="A583:B583"/>
    <mergeCell ref="D583:G583"/>
    <mergeCell ref="H583:L583"/>
    <mergeCell ref="A575:B575"/>
    <mergeCell ref="H575:L575"/>
    <mergeCell ref="A576:B576"/>
    <mergeCell ref="H576:L576"/>
    <mergeCell ref="H577:L577"/>
    <mergeCell ref="H578:L578"/>
    <mergeCell ref="A569:B571"/>
    <mergeCell ref="C569:F571"/>
    <mergeCell ref="G569:L569"/>
    <mergeCell ref="J570:L570"/>
    <mergeCell ref="J571:L571"/>
    <mergeCell ref="A572:B574"/>
    <mergeCell ref="C572:L572"/>
    <mergeCell ref="C573:L573"/>
    <mergeCell ref="C574:L574"/>
    <mergeCell ref="A567:B567"/>
    <mergeCell ref="C567:F567"/>
    <mergeCell ref="G567:L567"/>
    <mergeCell ref="A568:B568"/>
    <mergeCell ref="C568:F568"/>
    <mergeCell ref="G568:L568"/>
    <mergeCell ref="A564:B564"/>
    <mergeCell ref="C564:I564"/>
    <mergeCell ref="J564:L564"/>
    <mergeCell ref="A565:A566"/>
    <mergeCell ref="B565:C566"/>
    <mergeCell ref="G565:L565"/>
    <mergeCell ref="G566:L566"/>
    <mergeCell ref="D565:F566"/>
    <mergeCell ref="A562:B562"/>
    <mergeCell ref="C562:I562"/>
    <mergeCell ref="J562:L562"/>
    <mergeCell ref="A563:B563"/>
    <mergeCell ref="C563:I563"/>
    <mergeCell ref="J563:L563"/>
    <mergeCell ref="A559:E559"/>
    <mergeCell ref="H559:K559"/>
    <mergeCell ref="A561:B561"/>
    <mergeCell ref="C561:F561"/>
    <mergeCell ref="G561:I561"/>
    <mergeCell ref="J561:L561"/>
    <mergeCell ref="H557:J557"/>
    <mergeCell ref="A558:E558"/>
    <mergeCell ref="H560:L560"/>
    <mergeCell ref="A556:B556"/>
    <mergeCell ref="F556:G556"/>
    <mergeCell ref="A557:C557"/>
    <mergeCell ref="A553:B553"/>
    <mergeCell ref="C553:G553"/>
    <mergeCell ref="H553:K553"/>
    <mergeCell ref="A554:B554"/>
    <mergeCell ref="C554:G554"/>
    <mergeCell ref="A555:B555"/>
    <mergeCell ref="C555:G555"/>
    <mergeCell ref="A551:B551"/>
    <mergeCell ref="C551:G551"/>
    <mergeCell ref="H551:K551"/>
    <mergeCell ref="A552:B552"/>
    <mergeCell ref="C552:G552"/>
    <mergeCell ref="H552:K552"/>
    <mergeCell ref="A548:B548"/>
    <mergeCell ref="C548:G548"/>
    <mergeCell ref="I548:L548"/>
    <mergeCell ref="A549:B549"/>
    <mergeCell ref="E549:G549"/>
    <mergeCell ref="A550:G550"/>
    <mergeCell ref="A546:B546"/>
    <mergeCell ref="H546:J546"/>
    <mergeCell ref="A547:B547"/>
    <mergeCell ref="I547:L547"/>
    <mergeCell ref="A544:B545"/>
    <mergeCell ref="H539:L539"/>
    <mergeCell ref="H540:L541"/>
    <mergeCell ref="A542:B542"/>
    <mergeCell ref="D542:G542"/>
    <mergeCell ref="H542:L542"/>
    <mergeCell ref="A543:B543"/>
    <mergeCell ref="D543:G543"/>
    <mergeCell ref="H543:L543"/>
    <mergeCell ref="A535:B535"/>
    <mergeCell ref="H535:L535"/>
    <mergeCell ref="A536:B536"/>
    <mergeCell ref="H536:L536"/>
    <mergeCell ref="H537:L537"/>
    <mergeCell ref="H538:L538"/>
    <mergeCell ref="C545:G545"/>
    <mergeCell ref="C547:G547"/>
    <mergeCell ref="H544:L544"/>
    <mergeCell ref="H545:L545"/>
    <mergeCell ref="A529:B531"/>
    <mergeCell ref="C529:F531"/>
    <mergeCell ref="G529:L529"/>
    <mergeCell ref="J530:L530"/>
    <mergeCell ref="J531:L531"/>
    <mergeCell ref="A532:B534"/>
    <mergeCell ref="C532:L532"/>
    <mergeCell ref="C533:L533"/>
    <mergeCell ref="C534:L534"/>
    <mergeCell ref="A527:B527"/>
    <mergeCell ref="C527:F527"/>
    <mergeCell ref="G527:L527"/>
    <mergeCell ref="A528:B528"/>
    <mergeCell ref="C528:F528"/>
    <mergeCell ref="G528:L528"/>
    <mergeCell ref="A524:B524"/>
    <mergeCell ref="C524:I524"/>
    <mergeCell ref="J524:L524"/>
    <mergeCell ref="A525:A526"/>
    <mergeCell ref="B525:C526"/>
    <mergeCell ref="G525:L525"/>
    <mergeCell ref="G526:L526"/>
    <mergeCell ref="D525:F526"/>
    <mergeCell ref="A522:B522"/>
    <mergeCell ref="C522:I522"/>
    <mergeCell ref="J522:L522"/>
    <mergeCell ref="A523:B523"/>
    <mergeCell ref="C523:I523"/>
    <mergeCell ref="J523:L523"/>
    <mergeCell ref="A519:E519"/>
    <mergeCell ref="H519:K519"/>
    <mergeCell ref="A521:B521"/>
    <mergeCell ref="C521:F521"/>
    <mergeCell ref="G521:I521"/>
    <mergeCell ref="J521:L521"/>
    <mergeCell ref="H517:J517"/>
    <mergeCell ref="A518:E518"/>
    <mergeCell ref="H520:L520"/>
    <mergeCell ref="A516:B516"/>
    <mergeCell ref="F516:G516"/>
    <mergeCell ref="A517:C517"/>
    <mergeCell ref="A513:B513"/>
    <mergeCell ref="C513:G513"/>
    <mergeCell ref="H513:K513"/>
    <mergeCell ref="A514:B514"/>
    <mergeCell ref="C514:G514"/>
    <mergeCell ref="A515:B515"/>
    <mergeCell ref="C515:G515"/>
    <mergeCell ref="A511:B511"/>
    <mergeCell ref="C511:G511"/>
    <mergeCell ref="H511:K511"/>
    <mergeCell ref="A512:B512"/>
    <mergeCell ref="C512:G512"/>
    <mergeCell ref="H512:K512"/>
    <mergeCell ref="A508:B508"/>
    <mergeCell ref="C508:G508"/>
    <mergeCell ref="I508:L508"/>
    <mergeCell ref="A509:B509"/>
    <mergeCell ref="E509:G509"/>
    <mergeCell ref="A510:G510"/>
    <mergeCell ref="A506:B506"/>
    <mergeCell ref="H506:J506"/>
    <mergeCell ref="A507:B507"/>
    <mergeCell ref="I507:L507"/>
    <mergeCell ref="A504:B505"/>
    <mergeCell ref="H499:L499"/>
    <mergeCell ref="H500:L501"/>
    <mergeCell ref="A502:B502"/>
    <mergeCell ref="D502:G502"/>
    <mergeCell ref="H502:L502"/>
    <mergeCell ref="A503:B503"/>
    <mergeCell ref="D503:G503"/>
    <mergeCell ref="H503:L503"/>
    <mergeCell ref="A495:B495"/>
    <mergeCell ref="H495:L495"/>
    <mergeCell ref="A496:B496"/>
    <mergeCell ref="H496:L496"/>
    <mergeCell ref="H497:L497"/>
    <mergeCell ref="H498:L498"/>
    <mergeCell ref="C505:G505"/>
    <mergeCell ref="C507:G507"/>
    <mergeCell ref="H504:L504"/>
    <mergeCell ref="H505:L505"/>
    <mergeCell ref="A489:B491"/>
    <mergeCell ref="C489:F491"/>
    <mergeCell ref="G489:L489"/>
    <mergeCell ref="J490:L490"/>
    <mergeCell ref="J491:L491"/>
    <mergeCell ref="A492:B494"/>
    <mergeCell ref="C492:L492"/>
    <mergeCell ref="C493:L493"/>
    <mergeCell ref="C494:L494"/>
    <mergeCell ref="A487:B487"/>
    <mergeCell ref="C487:F487"/>
    <mergeCell ref="G487:L487"/>
    <mergeCell ref="A488:B488"/>
    <mergeCell ref="C488:F488"/>
    <mergeCell ref="G488:L488"/>
    <mergeCell ref="A484:B484"/>
    <mergeCell ref="C484:I484"/>
    <mergeCell ref="J484:L484"/>
    <mergeCell ref="A485:A486"/>
    <mergeCell ref="B485:C486"/>
    <mergeCell ref="G485:L485"/>
    <mergeCell ref="G486:L486"/>
    <mergeCell ref="D485:F486"/>
    <mergeCell ref="A482:B482"/>
    <mergeCell ref="C482:I482"/>
    <mergeCell ref="J482:L482"/>
    <mergeCell ref="A483:B483"/>
    <mergeCell ref="C483:I483"/>
    <mergeCell ref="J483:L483"/>
    <mergeCell ref="A479:E479"/>
    <mergeCell ref="H479:K479"/>
    <mergeCell ref="A481:B481"/>
    <mergeCell ref="C481:F481"/>
    <mergeCell ref="G481:I481"/>
    <mergeCell ref="J481:L481"/>
    <mergeCell ref="H477:J477"/>
    <mergeCell ref="A478:E478"/>
    <mergeCell ref="H480:L480"/>
    <mergeCell ref="A476:B476"/>
    <mergeCell ref="F476:G476"/>
    <mergeCell ref="A477:C477"/>
    <mergeCell ref="A473:B473"/>
    <mergeCell ref="C473:G473"/>
    <mergeCell ref="H473:K473"/>
    <mergeCell ref="A474:B474"/>
    <mergeCell ref="C474:G474"/>
    <mergeCell ref="A475:B475"/>
    <mergeCell ref="C475:G475"/>
    <mergeCell ref="A471:B471"/>
    <mergeCell ref="C471:G471"/>
    <mergeCell ref="H471:K471"/>
    <mergeCell ref="A472:B472"/>
    <mergeCell ref="C472:G472"/>
    <mergeCell ref="H472:K472"/>
    <mergeCell ref="A468:B468"/>
    <mergeCell ref="C468:G468"/>
    <mergeCell ref="I468:L468"/>
    <mergeCell ref="A469:B469"/>
    <mergeCell ref="E469:G469"/>
    <mergeCell ref="A470:G470"/>
    <mergeCell ref="H464:L464"/>
    <mergeCell ref="H465:L465"/>
    <mergeCell ref="A466:B466"/>
    <mergeCell ref="H466:J466"/>
    <mergeCell ref="A467:B467"/>
    <mergeCell ref="I467:L467"/>
    <mergeCell ref="A464:B465"/>
    <mergeCell ref="H459:L459"/>
    <mergeCell ref="H460:L461"/>
    <mergeCell ref="A462:B462"/>
    <mergeCell ref="D462:G462"/>
    <mergeCell ref="H462:L462"/>
    <mergeCell ref="A463:B463"/>
    <mergeCell ref="D463:G463"/>
    <mergeCell ref="H463:L463"/>
    <mergeCell ref="A455:B455"/>
    <mergeCell ref="H455:L455"/>
    <mergeCell ref="A456:B456"/>
    <mergeCell ref="H456:L456"/>
    <mergeCell ref="H457:L457"/>
    <mergeCell ref="H458:L458"/>
    <mergeCell ref="C465:G465"/>
    <mergeCell ref="C467:G467"/>
    <mergeCell ref="A449:B451"/>
    <mergeCell ref="C449:F451"/>
    <mergeCell ref="G449:L449"/>
    <mergeCell ref="J450:L450"/>
    <mergeCell ref="J451:L451"/>
    <mergeCell ref="A452:B454"/>
    <mergeCell ref="C452:L452"/>
    <mergeCell ref="C453:L453"/>
    <mergeCell ref="C454:L454"/>
    <mergeCell ref="A447:B447"/>
    <mergeCell ref="C447:F447"/>
    <mergeCell ref="G447:L447"/>
    <mergeCell ref="A448:B448"/>
    <mergeCell ref="C448:F448"/>
    <mergeCell ref="G448:L448"/>
    <mergeCell ref="A444:B444"/>
    <mergeCell ref="C444:I444"/>
    <mergeCell ref="J444:L444"/>
    <mergeCell ref="A445:A446"/>
    <mergeCell ref="B445:C446"/>
    <mergeCell ref="G445:L445"/>
    <mergeCell ref="G446:L446"/>
    <mergeCell ref="D445:F446"/>
    <mergeCell ref="A441:B441"/>
    <mergeCell ref="C441:F441"/>
    <mergeCell ref="G441:I441"/>
    <mergeCell ref="J441:L441"/>
    <mergeCell ref="H437:J437"/>
    <mergeCell ref="A438:E438"/>
    <mergeCell ref="A437:C437"/>
    <mergeCell ref="A433:B433"/>
    <mergeCell ref="C433:G433"/>
    <mergeCell ref="H433:K433"/>
    <mergeCell ref="A434:B434"/>
    <mergeCell ref="C434:G434"/>
    <mergeCell ref="A435:B435"/>
    <mergeCell ref="C435:G435"/>
    <mergeCell ref="A431:B431"/>
    <mergeCell ref="C431:G431"/>
    <mergeCell ref="H431:K431"/>
    <mergeCell ref="A432:B432"/>
    <mergeCell ref="C432:G432"/>
    <mergeCell ref="H432:K432"/>
    <mergeCell ref="H440:L440"/>
    <mergeCell ref="A436:B436"/>
    <mergeCell ref="F436:G436"/>
    <mergeCell ref="A428:B428"/>
    <mergeCell ref="C428:G428"/>
    <mergeCell ref="I428:L428"/>
    <mergeCell ref="A429:B429"/>
    <mergeCell ref="E429:G429"/>
    <mergeCell ref="A430:G430"/>
    <mergeCell ref="A426:B426"/>
    <mergeCell ref="H426:J426"/>
    <mergeCell ref="A427:B427"/>
    <mergeCell ref="I427:L427"/>
    <mergeCell ref="A424:B425"/>
    <mergeCell ref="H419:L419"/>
    <mergeCell ref="H420:L421"/>
    <mergeCell ref="A422:B422"/>
    <mergeCell ref="D422:G422"/>
    <mergeCell ref="H422:L422"/>
    <mergeCell ref="A423:B423"/>
    <mergeCell ref="D423:G423"/>
    <mergeCell ref="H423:L423"/>
    <mergeCell ref="C425:G425"/>
    <mergeCell ref="C427:G427"/>
    <mergeCell ref="H424:L424"/>
    <mergeCell ref="H425:L425"/>
    <mergeCell ref="A415:B415"/>
    <mergeCell ref="H415:L415"/>
    <mergeCell ref="A416:B416"/>
    <mergeCell ref="H416:L416"/>
    <mergeCell ref="H417:L417"/>
    <mergeCell ref="H418:L418"/>
    <mergeCell ref="A409:B411"/>
    <mergeCell ref="C409:F411"/>
    <mergeCell ref="G409:L409"/>
    <mergeCell ref="J410:L410"/>
    <mergeCell ref="J411:L411"/>
    <mergeCell ref="A412:B414"/>
    <mergeCell ref="C412:L412"/>
    <mergeCell ref="C413:L413"/>
    <mergeCell ref="C414:L414"/>
    <mergeCell ref="A407:B407"/>
    <mergeCell ref="C407:F407"/>
    <mergeCell ref="G407:L407"/>
    <mergeCell ref="A408:B408"/>
    <mergeCell ref="C408:F408"/>
    <mergeCell ref="G408:L408"/>
    <mergeCell ref="A404:B404"/>
    <mergeCell ref="C404:I404"/>
    <mergeCell ref="J404:L404"/>
    <mergeCell ref="A405:A406"/>
    <mergeCell ref="B405:C406"/>
    <mergeCell ref="G405:L405"/>
    <mergeCell ref="G406:L406"/>
    <mergeCell ref="A402:B402"/>
    <mergeCell ref="C402:I402"/>
    <mergeCell ref="J402:L402"/>
    <mergeCell ref="A403:B403"/>
    <mergeCell ref="C403:I403"/>
    <mergeCell ref="J403:L403"/>
    <mergeCell ref="A399:E399"/>
    <mergeCell ref="H399:K399"/>
    <mergeCell ref="A401:B401"/>
    <mergeCell ref="C401:F401"/>
    <mergeCell ref="G401:I401"/>
    <mergeCell ref="J401:L401"/>
    <mergeCell ref="H400:L400"/>
    <mergeCell ref="D405:F406"/>
    <mergeCell ref="H397:J397"/>
    <mergeCell ref="A398:E398"/>
    <mergeCell ref="A393:B393"/>
    <mergeCell ref="C393:G393"/>
    <mergeCell ref="H393:K393"/>
    <mergeCell ref="A394:B394"/>
    <mergeCell ref="C394:G394"/>
    <mergeCell ref="A395:B395"/>
    <mergeCell ref="C395:G395"/>
    <mergeCell ref="A391:B391"/>
    <mergeCell ref="C391:G391"/>
    <mergeCell ref="H391:K391"/>
    <mergeCell ref="A392:B392"/>
    <mergeCell ref="C392:G392"/>
    <mergeCell ref="H392:K392"/>
    <mergeCell ref="A388:B388"/>
    <mergeCell ref="C388:G388"/>
    <mergeCell ref="I388:L388"/>
    <mergeCell ref="A389:B389"/>
    <mergeCell ref="E389:G389"/>
    <mergeCell ref="A390:G390"/>
    <mergeCell ref="A396:B396"/>
    <mergeCell ref="F396:G396"/>
    <mergeCell ref="A397:C397"/>
    <mergeCell ref="A386:B386"/>
    <mergeCell ref="H386:J386"/>
    <mergeCell ref="A387:B387"/>
    <mergeCell ref="I387:L387"/>
    <mergeCell ref="A384:B385"/>
    <mergeCell ref="H379:L379"/>
    <mergeCell ref="H380:L381"/>
    <mergeCell ref="A382:B382"/>
    <mergeCell ref="D382:G382"/>
    <mergeCell ref="H382:L382"/>
    <mergeCell ref="A383:B383"/>
    <mergeCell ref="D383:G383"/>
    <mergeCell ref="H383:L383"/>
    <mergeCell ref="A375:B375"/>
    <mergeCell ref="H375:L375"/>
    <mergeCell ref="A376:B376"/>
    <mergeCell ref="H376:L376"/>
    <mergeCell ref="H377:L377"/>
    <mergeCell ref="H378:L378"/>
    <mergeCell ref="H385:L385"/>
    <mergeCell ref="C385:G385"/>
    <mergeCell ref="C387:G387"/>
    <mergeCell ref="H384:L384"/>
    <mergeCell ref="A369:B371"/>
    <mergeCell ref="C369:F371"/>
    <mergeCell ref="G369:L369"/>
    <mergeCell ref="J370:L370"/>
    <mergeCell ref="J371:L371"/>
    <mergeCell ref="A372:B374"/>
    <mergeCell ref="C372:L372"/>
    <mergeCell ref="C373:L373"/>
    <mergeCell ref="C374:L374"/>
    <mergeCell ref="A367:B367"/>
    <mergeCell ref="C367:F367"/>
    <mergeCell ref="G367:L367"/>
    <mergeCell ref="A368:B368"/>
    <mergeCell ref="C368:F368"/>
    <mergeCell ref="G368:L368"/>
    <mergeCell ref="A364:B364"/>
    <mergeCell ref="C364:I364"/>
    <mergeCell ref="J364:L364"/>
    <mergeCell ref="A365:A366"/>
    <mergeCell ref="B365:C366"/>
    <mergeCell ref="G365:L365"/>
    <mergeCell ref="G366:L366"/>
    <mergeCell ref="D365:F366"/>
    <mergeCell ref="A362:B362"/>
    <mergeCell ref="C362:I362"/>
    <mergeCell ref="J362:L362"/>
    <mergeCell ref="A363:B363"/>
    <mergeCell ref="C363:I363"/>
    <mergeCell ref="J363:L363"/>
    <mergeCell ref="A359:E359"/>
    <mergeCell ref="H359:K359"/>
    <mergeCell ref="A361:B361"/>
    <mergeCell ref="C361:F361"/>
    <mergeCell ref="G361:I361"/>
    <mergeCell ref="J361:L361"/>
    <mergeCell ref="H357:J357"/>
    <mergeCell ref="A358:E358"/>
    <mergeCell ref="A353:B353"/>
    <mergeCell ref="C353:G353"/>
    <mergeCell ref="H353:K353"/>
    <mergeCell ref="A354:B354"/>
    <mergeCell ref="C354:G354"/>
    <mergeCell ref="A355:B355"/>
    <mergeCell ref="C355:G355"/>
    <mergeCell ref="H360:L360"/>
    <mergeCell ref="A351:B351"/>
    <mergeCell ref="C351:G351"/>
    <mergeCell ref="H351:K351"/>
    <mergeCell ref="A352:B352"/>
    <mergeCell ref="C352:G352"/>
    <mergeCell ref="H352:K352"/>
    <mergeCell ref="A348:B348"/>
    <mergeCell ref="C348:G348"/>
    <mergeCell ref="I348:L348"/>
    <mergeCell ref="A349:B349"/>
    <mergeCell ref="E349:G349"/>
    <mergeCell ref="A350:G350"/>
    <mergeCell ref="H344:L344"/>
    <mergeCell ref="H345:L345"/>
    <mergeCell ref="A346:B346"/>
    <mergeCell ref="H346:J346"/>
    <mergeCell ref="A347:B347"/>
    <mergeCell ref="I347:L347"/>
    <mergeCell ref="A344:B345"/>
    <mergeCell ref="C345:G345"/>
    <mergeCell ref="C347:G347"/>
    <mergeCell ref="H339:L339"/>
    <mergeCell ref="H340:L341"/>
    <mergeCell ref="A342:B342"/>
    <mergeCell ref="D342:G342"/>
    <mergeCell ref="H342:L342"/>
    <mergeCell ref="A343:B343"/>
    <mergeCell ref="D343:G343"/>
    <mergeCell ref="H343:L343"/>
    <mergeCell ref="A335:B335"/>
    <mergeCell ref="H335:L335"/>
    <mergeCell ref="A336:B336"/>
    <mergeCell ref="H336:L336"/>
    <mergeCell ref="H337:L337"/>
    <mergeCell ref="H338:L338"/>
    <mergeCell ref="A329:B331"/>
    <mergeCell ref="C329:F331"/>
    <mergeCell ref="G329:L329"/>
    <mergeCell ref="J330:L330"/>
    <mergeCell ref="J331:L331"/>
    <mergeCell ref="A332:B334"/>
    <mergeCell ref="C332:L332"/>
    <mergeCell ref="C333:L333"/>
    <mergeCell ref="C334:L334"/>
    <mergeCell ref="A327:B327"/>
    <mergeCell ref="C327:F327"/>
    <mergeCell ref="G327:L327"/>
    <mergeCell ref="A328:B328"/>
    <mergeCell ref="C328:F328"/>
    <mergeCell ref="G328:L328"/>
    <mergeCell ref="A324:B324"/>
    <mergeCell ref="C324:I324"/>
    <mergeCell ref="J324:L324"/>
    <mergeCell ref="A325:A326"/>
    <mergeCell ref="B325:C326"/>
    <mergeCell ref="G325:L325"/>
    <mergeCell ref="G326:L326"/>
    <mergeCell ref="C321:F321"/>
    <mergeCell ref="G321:I321"/>
    <mergeCell ref="J321:L321"/>
    <mergeCell ref="H317:J317"/>
    <mergeCell ref="A318:E318"/>
    <mergeCell ref="H320:L320"/>
    <mergeCell ref="D325:F326"/>
    <mergeCell ref="A322:B322"/>
    <mergeCell ref="C322:I322"/>
    <mergeCell ref="J322:L322"/>
    <mergeCell ref="A323:B323"/>
    <mergeCell ref="C323:I323"/>
    <mergeCell ref="J323:L323"/>
    <mergeCell ref="A319:E319"/>
    <mergeCell ref="A313:B313"/>
    <mergeCell ref="C313:G313"/>
    <mergeCell ref="H313:K313"/>
    <mergeCell ref="A314:B314"/>
    <mergeCell ref="C314:G314"/>
    <mergeCell ref="A315:B315"/>
    <mergeCell ref="C315:G315"/>
    <mergeCell ref="A311:B311"/>
    <mergeCell ref="C311:G311"/>
    <mergeCell ref="H311:K311"/>
    <mergeCell ref="A312:B312"/>
    <mergeCell ref="C312:G312"/>
    <mergeCell ref="H312:K312"/>
    <mergeCell ref="A308:B308"/>
    <mergeCell ref="C308:G308"/>
    <mergeCell ref="I308:L308"/>
    <mergeCell ref="A309:B309"/>
    <mergeCell ref="E309:G309"/>
    <mergeCell ref="A310:G310"/>
    <mergeCell ref="H304:L304"/>
    <mergeCell ref="H305:L305"/>
    <mergeCell ref="A306:B306"/>
    <mergeCell ref="H306:J306"/>
    <mergeCell ref="A307:B307"/>
    <mergeCell ref="I307:L307"/>
    <mergeCell ref="A304:B305"/>
    <mergeCell ref="H299:L299"/>
    <mergeCell ref="H300:L301"/>
    <mergeCell ref="A302:B302"/>
    <mergeCell ref="D302:G302"/>
    <mergeCell ref="H302:L302"/>
    <mergeCell ref="A303:B303"/>
    <mergeCell ref="D303:G303"/>
    <mergeCell ref="H303:L303"/>
    <mergeCell ref="A295:B295"/>
    <mergeCell ref="H295:L295"/>
    <mergeCell ref="A296:B296"/>
    <mergeCell ref="H296:L296"/>
    <mergeCell ref="H297:L297"/>
    <mergeCell ref="H298:L298"/>
    <mergeCell ref="C305:G305"/>
    <mergeCell ref="C307:G307"/>
    <mergeCell ref="A289:B291"/>
    <mergeCell ref="C289:F291"/>
    <mergeCell ref="G289:L289"/>
    <mergeCell ref="J290:L290"/>
    <mergeCell ref="J291:L291"/>
    <mergeCell ref="A292:B294"/>
    <mergeCell ref="C292:L292"/>
    <mergeCell ref="C293:L293"/>
    <mergeCell ref="C294:L294"/>
    <mergeCell ref="A287:B287"/>
    <mergeCell ref="C287:F287"/>
    <mergeCell ref="G287:L287"/>
    <mergeCell ref="A288:B288"/>
    <mergeCell ref="C288:F288"/>
    <mergeCell ref="G288:L288"/>
    <mergeCell ref="A284:B284"/>
    <mergeCell ref="C284:I284"/>
    <mergeCell ref="J284:L284"/>
    <mergeCell ref="A285:A286"/>
    <mergeCell ref="B285:C286"/>
    <mergeCell ref="G285:L285"/>
    <mergeCell ref="G286:L286"/>
    <mergeCell ref="D285:F286"/>
    <mergeCell ref="A282:B282"/>
    <mergeCell ref="C282:I282"/>
    <mergeCell ref="J282:L282"/>
    <mergeCell ref="A283:B283"/>
    <mergeCell ref="C283:I283"/>
    <mergeCell ref="J283:L283"/>
    <mergeCell ref="A279:E279"/>
    <mergeCell ref="H279:K279"/>
    <mergeCell ref="A281:B281"/>
    <mergeCell ref="C281:F281"/>
    <mergeCell ref="G281:I281"/>
    <mergeCell ref="J281:L281"/>
    <mergeCell ref="H280:L280"/>
    <mergeCell ref="H277:J277"/>
    <mergeCell ref="A278:E278"/>
    <mergeCell ref="A273:B273"/>
    <mergeCell ref="C273:G273"/>
    <mergeCell ref="H273:K273"/>
    <mergeCell ref="A274:B274"/>
    <mergeCell ref="C274:G274"/>
    <mergeCell ref="A275:B275"/>
    <mergeCell ref="C275:G275"/>
    <mergeCell ref="A271:B271"/>
    <mergeCell ref="C271:G271"/>
    <mergeCell ref="H271:K271"/>
    <mergeCell ref="A272:B272"/>
    <mergeCell ref="C272:G272"/>
    <mergeCell ref="H272:K272"/>
    <mergeCell ref="A268:B268"/>
    <mergeCell ref="C268:G268"/>
    <mergeCell ref="I268:L268"/>
    <mergeCell ref="A269:B269"/>
    <mergeCell ref="E269:G269"/>
    <mergeCell ref="A270:G270"/>
    <mergeCell ref="H264:L264"/>
    <mergeCell ref="H265:L265"/>
    <mergeCell ref="A266:B266"/>
    <mergeCell ref="H266:J266"/>
    <mergeCell ref="A267:B267"/>
    <mergeCell ref="I267:L267"/>
    <mergeCell ref="H259:L259"/>
    <mergeCell ref="H260:L261"/>
    <mergeCell ref="A262:B262"/>
    <mergeCell ref="D262:G262"/>
    <mergeCell ref="H262:L262"/>
    <mergeCell ref="A263:B263"/>
    <mergeCell ref="D263:G263"/>
    <mergeCell ref="H263:L263"/>
    <mergeCell ref="A264:B265"/>
    <mergeCell ref="C265:G265"/>
    <mergeCell ref="C267:G267"/>
    <mergeCell ref="A255:B255"/>
    <mergeCell ref="H255:L255"/>
    <mergeCell ref="A256:B256"/>
    <mergeCell ref="H256:L256"/>
    <mergeCell ref="H257:L257"/>
    <mergeCell ref="H258:L258"/>
    <mergeCell ref="A249:B251"/>
    <mergeCell ref="C249:F251"/>
    <mergeCell ref="G249:L249"/>
    <mergeCell ref="J250:L250"/>
    <mergeCell ref="J251:L251"/>
    <mergeCell ref="A252:B254"/>
    <mergeCell ref="C252:L252"/>
    <mergeCell ref="C253:L253"/>
    <mergeCell ref="C254:L254"/>
    <mergeCell ref="A247:B247"/>
    <mergeCell ref="C247:F247"/>
    <mergeCell ref="G247:L247"/>
    <mergeCell ref="A248:B248"/>
    <mergeCell ref="C248:F248"/>
    <mergeCell ref="G248:L248"/>
    <mergeCell ref="A244:B244"/>
    <mergeCell ref="C244:I244"/>
    <mergeCell ref="J244:L244"/>
    <mergeCell ref="A245:A246"/>
    <mergeCell ref="B245:C246"/>
    <mergeCell ref="G245:L245"/>
    <mergeCell ref="G246:L246"/>
    <mergeCell ref="A242:B242"/>
    <mergeCell ref="C242:I242"/>
    <mergeCell ref="J242:L242"/>
    <mergeCell ref="A243:B243"/>
    <mergeCell ref="C243:I243"/>
    <mergeCell ref="J243:L243"/>
    <mergeCell ref="A239:E239"/>
    <mergeCell ref="H239:K239"/>
    <mergeCell ref="A241:B241"/>
    <mergeCell ref="C241:F241"/>
    <mergeCell ref="G241:I241"/>
    <mergeCell ref="J241:L241"/>
    <mergeCell ref="D245:F246"/>
    <mergeCell ref="H237:J237"/>
    <mergeCell ref="A238:E238"/>
    <mergeCell ref="A233:B233"/>
    <mergeCell ref="C233:G233"/>
    <mergeCell ref="H233:K233"/>
    <mergeCell ref="A234:B234"/>
    <mergeCell ref="C234:G234"/>
    <mergeCell ref="A235:B235"/>
    <mergeCell ref="C235:G235"/>
    <mergeCell ref="H231:K231"/>
    <mergeCell ref="A232:B232"/>
    <mergeCell ref="C232:G232"/>
    <mergeCell ref="H232:K232"/>
    <mergeCell ref="A228:B228"/>
    <mergeCell ref="C228:G228"/>
    <mergeCell ref="I228:L228"/>
    <mergeCell ref="A229:B229"/>
    <mergeCell ref="E229:G229"/>
    <mergeCell ref="A230:G230"/>
    <mergeCell ref="H224:L224"/>
    <mergeCell ref="H225:L225"/>
    <mergeCell ref="A226:B226"/>
    <mergeCell ref="H226:J226"/>
    <mergeCell ref="A227:B227"/>
    <mergeCell ref="I227:L227"/>
    <mergeCell ref="C227:G227"/>
    <mergeCell ref="A231:B231"/>
    <mergeCell ref="C231:G231"/>
    <mergeCell ref="H219:L219"/>
    <mergeCell ref="H220:L221"/>
    <mergeCell ref="A222:B222"/>
    <mergeCell ref="D222:G222"/>
    <mergeCell ref="H222:L222"/>
    <mergeCell ref="A223:B223"/>
    <mergeCell ref="D223:G223"/>
    <mergeCell ref="H223:L223"/>
    <mergeCell ref="A224:B225"/>
    <mergeCell ref="C225:G225"/>
    <mergeCell ref="A215:B215"/>
    <mergeCell ref="H215:L215"/>
    <mergeCell ref="A216:B216"/>
    <mergeCell ref="H216:L216"/>
    <mergeCell ref="H217:L217"/>
    <mergeCell ref="H218:L218"/>
    <mergeCell ref="A209:B211"/>
    <mergeCell ref="C209:F211"/>
    <mergeCell ref="G209:L209"/>
    <mergeCell ref="J210:L210"/>
    <mergeCell ref="J211:L211"/>
    <mergeCell ref="A212:B214"/>
    <mergeCell ref="C212:L212"/>
    <mergeCell ref="C213:L213"/>
    <mergeCell ref="C214:L214"/>
    <mergeCell ref="A202:B202"/>
    <mergeCell ref="C202:I202"/>
    <mergeCell ref="J202:L202"/>
    <mergeCell ref="A203:B203"/>
    <mergeCell ref="C203:I203"/>
    <mergeCell ref="J203:L203"/>
    <mergeCell ref="A199:E199"/>
    <mergeCell ref="H199:K199"/>
    <mergeCell ref="A201:B201"/>
    <mergeCell ref="C201:F201"/>
    <mergeCell ref="G201:I201"/>
    <mergeCell ref="J201:L201"/>
    <mergeCell ref="H200:L200"/>
    <mergeCell ref="D205:F206"/>
    <mergeCell ref="H197:J197"/>
    <mergeCell ref="A198:E198"/>
    <mergeCell ref="A193:B193"/>
    <mergeCell ref="C193:G193"/>
    <mergeCell ref="H193:K193"/>
    <mergeCell ref="A194:B194"/>
    <mergeCell ref="C194:G194"/>
    <mergeCell ref="A195:B195"/>
    <mergeCell ref="C195:G195"/>
    <mergeCell ref="A204:B204"/>
    <mergeCell ref="C204:I204"/>
    <mergeCell ref="J204:L204"/>
    <mergeCell ref="A205:A206"/>
    <mergeCell ref="B205:C206"/>
    <mergeCell ref="G205:L205"/>
    <mergeCell ref="G206:L206"/>
    <mergeCell ref="A197:C197"/>
    <mergeCell ref="A191:B191"/>
    <mergeCell ref="C191:G191"/>
    <mergeCell ref="H191:K191"/>
    <mergeCell ref="A192:B192"/>
    <mergeCell ref="C192:G192"/>
    <mergeCell ref="H192:K192"/>
    <mergeCell ref="A188:B188"/>
    <mergeCell ref="C188:G188"/>
    <mergeCell ref="I188:L188"/>
    <mergeCell ref="A189:B189"/>
    <mergeCell ref="E189:G189"/>
    <mergeCell ref="A190:G190"/>
    <mergeCell ref="H184:L184"/>
    <mergeCell ref="H185:L185"/>
    <mergeCell ref="A186:B186"/>
    <mergeCell ref="H186:J186"/>
    <mergeCell ref="A187:B187"/>
    <mergeCell ref="I187:L187"/>
    <mergeCell ref="A184:B185"/>
    <mergeCell ref="A161:B161"/>
    <mergeCell ref="H179:L179"/>
    <mergeCell ref="H180:L181"/>
    <mergeCell ref="A182:B182"/>
    <mergeCell ref="D182:G182"/>
    <mergeCell ref="H182:L182"/>
    <mergeCell ref="A183:B183"/>
    <mergeCell ref="D183:G183"/>
    <mergeCell ref="H183:L183"/>
    <mergeCell ref="C185:G185"/>
    <mergeCell ref="A175:B175"/>
    <mergeCell ref="H175:L175"/>
    <mergeCell ref="A176:B176"/>
    <mergeCell ref="H176:L176"/>
    <mergeCell ref="H177:L177"/>
    <mergeCell ref="H178:L178"/>
    <mergeCell ref="A169:B171"/>
    <mergeCell ref="C169:F171"/>
    <mergeCell ref="G169:L169"/>
    <mergeCell ref="J170:L170"/>
    <mergeCell ref="J171:L171"/>
    <mergeCell ref="A172:B174"/>
    <mergeCell ref="C172:L172"/>
    <mergeCell ref="C173:L173"/>
    <mergeCell ref="C174:L174"/>
    <mergeCell ref="E149:G149"/>
    <mergeCell ref="A167:B167"/>
    <mergeCell ref="C167:F167"/>
    <mergeCell ref="G167:L167"/>
    <mergeCell ref="A168:B168"/>
    <mergeCell ref="C168:F168"/>
    <mergeCell ref="G168:L168"/>
    <mergeCell ref="H135:L135"/>
    <mergeCell ref="A136:B136"/>
    <mergeCell ref="H136:L136"/>
    <mergeCell ref="A164:B164"/>
    <mergeCell ref="C164:I164"/>
    <mergeCell ref="J164:L164"/>
    <mergeCell ref="A165:A166"/>
    <mergeCell ref="B165:C166"/>
    <mergeCell ref="G165:L165"/>
    <mergeCell ref="G166:L166"/>
    <mergeCell ref="D165:F166"/>
    <mergeCell ref="A162:B162"/>
    <mergeCell ref="C162:I162"/>
    <mergeCell ref="J162:L162"/>
    <mergeCell ref="A163:B163"/>
    <mergeCell ref="C163:I163"/>
    <mergeCell ref="J163:L163"/>
    <mergeCell ref="H157:J157"/>
    <mergeCell ref="A158:E158"/>
    <mergeCell ref="H159:K159"/>
    <mergeCell ref="C161:F161"/>
    <mergeCell ref="G161:I161"/>
    <mergeCell ref="J161:L161"/>
    <mergeCell ref="A144:B145"/>
    <mergeCell ref="C145:G145"/>
    <mergeCell ref="A127:B127"/>
    <mergeCell ref="C127:F127"/>
    <mergeCell ref="A128:B128"/>
    <mergeCell ref="C128:F128"/>
    <mergeCell ref="A129:B131"/>
    <mergeCell ref="C129:F131"/>
    <mergeCell ref="J130:L130"/>
    <mergeCell ref="J131:L131"/>
    <mergeCell ref="D143:G143"/>
    <mergeCell ref="H143:L143"/>
    <mergeCell ref="A147:B147"/>
    <mergeCell ref="A148:B148"/>
    <mergeCell ref="A159:E159"/>
    <mergeCell ref="H160:L160"/>
    <mergeCell ref="A155:B155"/>
    <mergeCell ref="C155:G155"/>
    <mergeCell ref="A153:B153"/>
    <mergeCell ref="C153:G153"/>
    <mergeCell ref="H153:K153"/>
    <mergeCell ref="A154:B154"/>
    <mergeCell ref="C154:G154"/>
    <mergeCell ref="A151:B151"/>
    <mergeCell ref="A152:B152"/>
    <mergeCell ref="C152:G152"/>
    <mergeCell ref="I147:L147"/>
    <mergeCell ref="C148:G148"/>
    <mergeCell ref="I148:L148"/>
    <mergeCell ref="A150:G150"/>
    <mergeCell ref="C151:G151"/>
    <mergeCell ref="H151:K151"/>
    <mergeCell ref="H152:K152"/>
    <mergeCell ref="A149:B149"/>
    <mergeCell ref="A146:B146"/>
    <mergeCell ref="H146:J146"/>
    <mergeCell ref="C132:L132"/>
    <mergeCell ref="C133:L133"/>
    <mergeCell ref="A135:B135"/>
    <mergeCell ref="D142:G142"/>
    <mergeCell ref="H142:L142"/>
    <mergeCell ref="A143:B143"/>
    <mergeCell ref="A125:A126"/>
    <mergeCell ref="A124:B124"/>
    <mergeCell ref="C124:I124"/>
    <mergeCell ref="J124:L124"/>
    <mergeCell ref="B125:C126"/>
    <mergeCell ref="G125:L125"/>
    <mergeCell ref="A119:E119"/>
    <mergeCell ref="H119:K119"/>
    <mergeCell ref="A123:B123"/>
    <mergeCell ref="J123:L123"/>
    <mergeCell ref="J122:L122"/>
    <mergeCell ref="C123:I123"/>
    <mergeCell ref="H144:L144"/>
    <mergeCell ref="H145:L145"/>
    <mergeCell ref="H140:L141"/>
    <mergeCell ref="A142:B142"/>
    <mergeCell ref="H137:L137"/>
    <mergeCell ref="H138:L138"/>
    <mergeCell ref="H139:L139"/>
    <mergeCell ref="A132:B134"/>
    <mergeCell ref="C134:L134"/>
    <mergeCell ref="G129:L129"/>
    <mergeCell ref="G127:L127"/>
    <mergeCell ref="G128:L128"/>
    <mergeCell ref="H117:J117"/>
    <mergeCell ref="A118:E118"/>
    <mergeCell ref="G126:L126"/>
    <mergeCell ref="H120:L120"/>
    <mergeCell ref="D125:F126"/>
    <mergeCell ref="A121:B121"/>
    <mergeCell ref="C121:F121"/>
    <mergeCell ref="G121:I121"/>
    <mergeCell ref="J121:L121"/>
    <mergeCell ref="A122:B122"/>
    <mergeCell ref="C122:I122"/>
    <mergeCell ref="A113:B113"/>
    <mergeCell ref="C113:G113"/>
    <mergeCell ref="H113:K113"/>
    <mergeCell ref="A114:B114"/>
    <mergeCell ref="C114:G114"/>
    <mergeCell ref="A115:B115"/>
    <mergeCell ref="C115:G115"/>
    <mergeCell ref="A116:B116"/>
    <mergeCell ref="F116:G116"/>
    <mergeCell ref="A117:C117"/>
    <mergeCell ref="A111:B111"/>
    <mergeCell ref="C111:G111"/>
    <mergeCell ref="H111:K111"/>
    <mergeCell ref="A112:B112"/>
    <mergeCell ref="C112:G112"/>
    <mergeCell ref="H112:K112"/>
    <mergeCell ref="A108:B108"/>
    <mergeCell ref="C108:G108"/>
    <mergeCell ref="I108:L108"/>
    <mergeCell ref="A109:B109"/>
    <mergeCell ref="E109:G109"/>
    <mergeCell ref="A110:G110"/>
    <mergeCell ref="H104:L104"/>
    <mergeCell ref="H105:L105"/>
    <mergeCell ref="A106:B106"/>
    <mergeCell ref="H106:J106"/>
    <mergeCell ref="A107:B107"/>
    <mergeCell ref="I107:L107"/>
    <mergeCell ref="A104:B105"/>
    <mergeCell ref="C107:G107"/>
    <mergeCell ref="H99:L99"/>
    <mergeCell ref="H100:L101"/>
    <mergeCell ref="A102:B102"/>
    <mergeCell ref="D102:G102"/>
    <mergeCell ref="H102:L102"/>
    <mergeCell ref="A103:B103"/>
    <mergeCell ref="D103:G103"/>
    <mergeCell ref="H103:L103"/>
    <mergeCell ref="A95:B95"/>
    <mergeCell ref="H95:L95"/>
    <mergeCell ref="A96:B96"/>
    <mergeCell ref="H96:L96"/>
    <mergeCell ref="H97:L97"/>
    <mergeCell ref="H98:L98"/>
    <mergeCell ref="C105:G105"/>
    <mergeCell ref="A89:B91"/>
    <mergeCell ref="C89:F91"/>
    <mergeCell ref="G89:L89"/>
    <mergeCell ref="J90:L90"/>
    <mergeCell ref="J91:L91"/>
    <mergeCell ref="A92:B94"/>
    <mergeCell ref="C92:L92"/>
    <mergeCell ref="C93:L93"/>
    <mergeCell ref="C94:L94"/>
    <mergeCell ref="A87:B87"/>
    <mergeCell ref="C87:F87"/>
    <mergeCell ref="G87:L87"/>
    <mergeCell ref="A88:B88"/>
    <mergeCell ref="C88:F88"/>
    <mergeCell ref="G88:L88"/>
    <mergeCell ref="A84:B84"/>
    <mergeCell ref="C84:I84"/>
    <mergeCell ref="J84:L84"/>
    <mergeCell ref="A85:A86"/>
    <mergeCell ref="B85:C86"/>
    <mergeCell ref="G85:L85"/>
    <mergeCell ref="G86:L86"/>
    <mergeCell ref="D85:F86"/>
    <mergeCell ref="A82:B82"/>
    <mergeCell ref="C82:I82"/>
    <mergeCell ref="J82:L82"/>
    <mergeCell ref="A83:B83"/>
    <mergeCell ref="C83:I83"/>
    <mergeCell ref="J83:L83"/>
    <mergeCell ref="A79:E79"/>
    <mergeCell ref="H79:K79"/>
    <mergeCell ref="A81:B81"/>
    <mergeCell ref="C81:F81"/>
    <mergeCell ref="G81:I81"/>
    <mergeCell ref="J81:L81"/>
    <mergeCell ref="D63:G63"/>
    <mergeCell ref="H65:L65"/>
    <mergeCell ref="H66:J66"/>
    <mergeCell ref="C68:G68"/>
    <mergeCell ref="I68:L68"/>
    <mergeCell ref="A70:G70"/>
    <mergeCell ref="A67:B67"/>
    <mergeCell ref="I67:L67"/>
    <mergeCell ref="A68:B68"/>
    <mergeCell ref="E69:G69"/>
    <mergeCell ref="A69:B69"/>
    <mergeCell ref="H63:L63"/>
    <mergeCell ref="H64:L64"/>
    <mergeCell ref="A66:B66"/>
    <mergeCell ref="A63:B63"/>
    <mergeCell ref="A78:E78"/>
    <mergeCell ref="A64:B65"/>
    <mergeCell ref="C67:G67"/>
    <mergeCell ref="H80:L80"/>
    <mergeCell ref="A76:B76"/>
    <mergeCell ref="A77:C77"/>
    <mergeCell ref="F76:G76"/>
    <mergeCell ref="A44:B44"/>
    <mergeCell ref="C44:I44"/>
    <mergeCell ref="J44:L44"/>
    <mergeCell ref="A45:A46"/>
    <mergeCell ref="H77:J77"/>
    <mergeCell ref="A75:B75"/>
    <mergeCell ref="C75:G75"/>
    <mergeCell ref="A72:B72"/>
    <mergeCell ref="C72:G72"/>
    <mergeCell ref="H72:K72"/>
    <mergeCell ref="A73:B73"/>
    <mergeCell ref="C73:G73"/>
    <mergeCell ref="A74:B74"/>
    <mergeCell ref="C74:G74"/>
    <mergeCell ref="H73:K73"/>
    <mergeCell ref="A71:B71"/>
    <mergeCell ref="C71:G71"/>
    <mergeCell ref="H71:K71"/>
    <mergeCell ref="H58:L58"/>
    <mergeCell ref="H60:L61"/>
    <mergeCell ref="A62:B62"/>
    <mergeCell ref="D62:G62"/>
    <mergeCell ref="H62:L62"/>
    <mergeCell ref="H59:L59"/>
    <mergeCell ref="A55:B55"/>
    <mergeCell ref="H55:L55"/>
    <mergeCell ref="H56:L56"/>
    <mergeCell ref="D45:F46"/>
    <mergeCell ref="C65:G65"/>
    <mergeCell ref="H57:L57"/>
    <mergeCell ref="A56:B56"/>
    <mergeCell ref="G48:L48"/>
    <mergeCell ref="J50:L50"/>
    <mergeCell ref="C52:L52"/>
    <mergeCell ref="C53:L53"/>
    <mergeCell ref="A48:B48"/>
    <mergeCell ref="A47:B47"/>
    <mergeCell ref="C47:F47"/>
    <mergeCell ref="C48:F48"/>
    <mergeCell ref="A49:B51"/>
    <mergeCell ref="C49:F51"/>
    <mergeCell ref="G49:L49"/>
    <mergeCell ref="J51:L51"/>
    <mergeCell ref="A52:B54"/>
    <mergeCell ref="C54:L54"/>
    <mergeCell ref="G46:L46"/>
    <mergeCell ref="G47:L47"/>
    <mergeCell ref="B45:C46"/>
    <mergeCell ref="G45:L45"/>
    <mergeCell ref="A42:B42"/>
    <mergeCell ref="C42:I42"/>
    <mergeCell ref="J42:L42"/>
    <mergeCell ref="A43:B43"/>
    <mergeCell ref="C43:I43"/>
    <mergeCell ref="J43:L43"/>
    <mergeCell ref="A41:B41"/>
    <mergeCell ref="J41:L41"/>
    <mergeCell ref="A39:E39"/>
    <mergeCell ref="H39:K39"/>
    <mergeCell ref="G5:L5"/>
    <mergeCell ref="H26:J26"/>
    <mergeCell ref="A24:B25"/>
    <mergeCell ref="H19:L19"/>
    <mergeCell ref="H20:L21"/>
    <mergeCell ref="A22:B22"/>
    <mergeCell ref="D22:G22"/>
    <mergeCell ref="H22:L22"/>
    <mergeCell ref="A23:B23"/>
    <mergeCell ref="D23:G23"/>
    <mergeCell ref="H23:L23"/>
    <mergeCell ref="A15:B15"/>
    <mergeCell ref="H15:L15"/>
    <mergeCell ref="A16:B16"/>
    <mergeCell ref="H16:L16"/>
    <mergeCell ref="H17:L17"/>
    <mergeCell ref="C41:F41"/>
    <mergeCell ref="G41:I41"/>
    <mergeCell ref="H40:L40"/>
    <mergeCell ref="C27:G27"/>
    <mergeCell ref="A36:B36"/>
    <mergeCell ref="F36:G36"/>
    <mergeCell ref="J4:L4"/>
    <mergeCell ref="I27:L27"/>
    <mergeCell ref="I28:L28"/>
    <mergeCell ref="C28:G28"/>
    <mergeCell ref="H37:J37"/>
    <mergeCell ref="A38:E38"/>
    <mergeCell ref="A33:B33"/>
    <mergeCell ref="C33:G33"/>
    <mergeCell ref="H33:K33"/>
    <mergeCell ref="A34:B34"/>
    <mergeCell ref="C34:G34"/>
    <mergeCell ref="A35:B35"/>
    <mergeCell ref="C35:G35"/>
    <mergeCell ref="A30:G30"/>
    <mergeCell ref="A31:B31"/>
    <mergeCell ref="C31:G31"/>
    <mergeCell ref="H31:K31"/>
    <mergeCell ref="A32:B32"/>
    <mergeCell ref="C32:G32"/>
    <mergeCell ref="H32:K32"/>
    <mergeCell ref="A27:B27"/>
    <mergeCell ref="A28:B28"/>
    <mergeCell ref="A29:B29"/>
    <mergeCell ref="E29:G29"/>
    <mergeCell ref="H24:L24"/>
    <mergeCell ref="C25:G25"/>
    <mergeCell ref="H25:L25"/>
    <mergeCell ref="A26:B26"/>
    <mergeCell ref="A3:B3"/>
    <mergeCell ref="C3:I3"/>
    <mergeCell ref="J3:L3"/>
    <mergeCell ref="A4:B4"/>
    <mergeCell ref="C4:I4"/>
    <mergeCell ref="A5:A6"/>
    <mergeCell ref="B5:C6"/>
    <mergeCell ref="A1:B1"/>
    <mergeCell ref="C1:F1"/>
    <mergeCell ref="G1:I1"/>
    <mergeCell ref="J1:L1"/>
    <mergeCell ref="A2:B2"/>
    <mergeCell ref="C2:I2"/>
    <mergeCell ref="J2:L2"/>
    <mergeCell ref="H18:L18"/>
    <mergeCell ref="A9:B11"/>
    <mergeCell ref="C9:F11"/>
    <mergeCell ref="G9:L9"/>
    <mergeCell ref="J10:L10"/>
    <mergeCell ref="J11:L11"/>
    <mergeCell ref="A12:B14"/>
    <mergeCell ref="C12:L12"/>
    <mergeCell ref="C13:L13"/>
    <mergeCell ref="C14:L14"/>
    <mergeCell ref="G6:L6"/>
    <mergeCell ref="A7:B7"/>
    <mergeCell ref="C7:F7"/>
    <mergeCell ref="G7:L7"/>
    <mergeCell ref="A8:B8"/>
    <mergeCell ref="C8:F8"/>
    <mergeCell ref="G8:L8"/>
    <mergeCell ref="D5:F6"/>
  </mergeCells>
  <pageMargins left="0.7" right="0.7" top="0.75" bottom="0.75" header="0.3" footer="0.3"/>
  <pageSetup scale="88" fitToHeight="0" orientation="portrait" r:id="rId1"/>
  <headerFooter>
    <oddHeader>&amp;C&amp;A</oddHeader>
    <oddFooter>&amp;CPage &amp;P of &amp;N</oddFooter>
  </headerFooter>
  <rowBreaks count="19" manualBreakCount="19">
    <brk id="40" max="16383" man="1"/>
    <brk id="80" max="16383" man="1"/>
    <brk id="120" max="16383" man="1"/>
    <brk id="160" max="16383" man="1"/>
    <brk id="200" max="16383" man="1"/>
    <brk id="240" max="16383" man="1"/>
    <brk id="280" max="16383" man="1"/>
    <brk id="320" max="16383" man="1"/>
    <brk id="360" max="16383" man="1"/>
    <brk id="400" max="16383" man="1"/>
    <brk id="440" max="16383" man="1"/>
    <brk id="480" max="16383" man="1"/>
    <brk id="520" max="16383" man="1"/>
    <brk id="560" max="16383" man="1"/>
    <brk id="600" max="16383" man="1"/>
    <brk id="640" max="16383" man="1"/>
    <brk id="680" max="16383" man="1"/>
    <brk id="720" max="16383" man="1"/>
    <brk id="76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D670-E951-4013-81E8-E3F8B99B3136}">
  <sheetPr>
    <tabColor rgb="FF002060"/>
  </sheetPr>
  <dimension ref="A1:Q390"/>
  <sheetViews>
    <sheetView zoomScaleNormal="100" workbookViewId="0">
      <selection activeCell="R15" sqref="R15"/>
    </sheetView>
  </sheetViews>
  <sheetFormatPr defaultRowHeight="15"/>
  <cols>
    <col min="1" max="1" width="12" customWidth="1"/>
    <col min="2" max="2" width="15.5703125" customWidth="1"/>
    <col min="3" max="3" width="11.28515625" customWidth="1"/>
    <col min="5" max="5" width="8.140625" customWidth="1"/>
    <col min="6" max="6" width="2.140625" customWidth="1"/>
    <col min="7" max="7" width="7.7109375" customWidth="1"/>
    <col min="9" max="9" width="7.28515625" customWidth="1"/>
    <col min="10" max="10" width="5.28515625" customWidth="1"/>
    <col min="11" max="11" width="4.140625" customWidth="1"/>
    <col min="12" max="12" width="10.85546875" style="136" customWidth="1"/>
    <col min="13" max="13" width="9" style="5" customWidth="1"/>
    <col min="15" max="15" width="23.140625" customWidth="1"/>
    <col min="16" max="16" width="39.5703125" customWidth="1"/>
    <col min="17" max="17" width="42.85546875" customWidth="1"/>
    <col min="18" max="18" width="15" customWidth="1"/>
  </cols>
  <sheetData>
    <row r="1" spans="1:17" ht="16.5" thickBot="1">
      <c r="A1" s="251" t="s">
        <v>69</v>
      </c>
      <c r="B1" s="252"/>
      <c r="C1" s="253">
        <f ca="1">'Data INPUT'!$B$13</f>
        <v>46222</v>
      </c>
      <c r="D1" s="254"/>
      <c r="E1" s="254"/>
      <c r="F1" s="254"/>
      <c r="G1" s="255" t="s">
        <v>7</v>
      </c>
      <c r="H1" s="255"/>
      <c r="I1" s="255"/>
      <c r="J1" s="256" t="str">
        <f>'Data INPUT'!$B$14</f>
        <v xml:space="preserve"> </v>
      </c>
      <c r="K1" s="257"/>
      <c r="L1" s="258"/>
      <c r="M1" s="423" t="s">
        <v>142</v>
      </c>
    </row>
    <row r="2" spans="1:17" ht="15.75">
      <c r="A2" s="259" t="s">
        <v>70</v>
      </c>
      <c r="B2" s="260"/>
      <c r="C2" s="261" t="str">
        <f>'Data INPUT'!$B$4</f>
        <v xml:space="preserve"> </v>
      </c>
      <c r="D2" s="262"/>
      <c r="E2" s="262"/>
      <c r="F2" s="262"/>
      <c r="G2" s="262"/>
      <c r="H2" s="262"/>
      <c r="I2" s="263"/>
      <c r="J2" s="264">
        <f>'Data INPUT'!X19</f>
        <v>1</v>
      </c>
      <c r="K2" s="265"/>
      <c r="L2" s="266"/>
      <c r="M2" s="424"/>
      <c r="O2" s="100" t="s">
        <v>218</v>
      </c>
      <c r="P2" s="101" t="s">
        <v>231</v>
      </c>
      <c r="Q2" s="98" t="s">
        <v>246</v>
      </c>
    </row>
    <row r="3" spans="1:17" ht="15.75">
      <c r="A3" s="232" t="s">
        <v>71</v>
      </c>
      <c r="B3" s="233"/>
      <c r="C3" s="234" t="str">
        <f>'Data INPUT'!$B$2</f>
        <v xml:space="preserve"> </v>
      </c>
      <c r="D3" s="235"/>
      <c r="E3" s="235"/>
      <c r="F3" s="235"/>
      <c r="G3" s="235"/>
      <c r="H3" s="235"/>
      <c r="I3" s="236"/>
      <c r="J3" s="237" t="str">
        <f>'Data INPUT'!X24</f>
        <v xml:space="preserve"> </v>
      </c>
      <c r="K3" s="238"/>
      <c r="L3" s="239"/>
      <c r="M3" s="424"/>
      <c r="O3" s="102" t="s">
        <v>219</v>
      </c>
      <c r="P3" s="103" t="s">
        <v>220</v>
      </c>
    </row>
    <row r="4" spans="1:17" ht="16.5" thickBot="1">
      <c r="A4" s="240" t="s">
        <v>0</v>
      </c>
      <c r="B4" s="241"/>
      <c r="C4" s="242" t="str">
        <f>'Data INPUT'!$B$3</f>
        <v xml:space="preserve"> </v>
      </c>
      <c r="D4" s="243"/>
      <c r="E4" s="243"/>
      <c r="F4" s="243"/>
      <c r="G4" s="243"/>
      <c r="H4" s="243"/>
      <c r="I4" s="244"/>
      <c r="J4" s="317" t="str">
        <f>'Data INPUT'!X18</f>
        <v>Curtain 1</v>
      </c>
      <c r="K4" s="318"/>
      <c r="L4" s="319"/>
      <c r="M4" s="424"/>
      <c r="O4" s="102" t="s">
        <v>85</v>
      </c>
      <c r="P4" s="103" t="s">
        <v>221</v>
      </c>
    </row>
    <row r="5" spans="1:17" ht="15.75" customHeight="1" thickBot="1">
      <c r="A5" s="78" t="str">
        <f>'Data INPUT'!D21</f>
        <v>Select</v>
      </c>
      <c r="B5" s="247" t="str">
        <f>'Data INPUT'!D25</f>
        <v>Select</v>
      </c>
      <c r="C5" s="248"/>
      <c r="D5" s="313" t="str">
        <f>'Data INPUT'!D20</f>
        <v>Select</v>
      </c>
      <c r="E5" s="313"/>
      <c r="F5" s="314"/>
      <c r="G5" s="365" t="s">
        <v>72</v>
      </c>
      <c r="H5" s="366"/>
      <c r="I5" s="366"/>
      <c r="J5" s="366"/>
      <c r="K5" s="366"/>
      <c r="L5" s="367"/>
      <c r="M5" s="424"/>
      <c r="O5" s="102" t="s">
        <v>86</v>
      </c>
      <c r="P5" s="103" t="s">
        <v>227</v>
      </c>
    </row>
    <row r="6" spans="1:17" ht="15.75">
      <c r="A6" s="259" t="s">
        <v>74</v>
      </c>
      <c r="B6" s="260"/>
      <c r="C6" s="308" t="str">
        <f>'Data INPUT'!$B$12</f>
        <v>Select</v>
      </c>
      <c r="D6" s="308"/>
      <c r="E6" s="308"/>
      <c r="F6" s="309"/>
      <c r="G6" s="305" t="str">
        <f>'Data INPUT'!$B$8</f>
        <v xml:space="preserve"> </v>
      </c>
      <c r="H6" s="306"/>
      <c r="I6" s="306"/>
      <c r="J6" s="306"/>
      <c r="K6" s="306"/>
      <c r="L6" s="307"/>
      <c r="M6" s="424"/>
      <c r="O6" s="102" t="s">
        <v>455</v>
      </c>
      <c r="P6" s="103" t="s">
        <v>245</v>
      </c>
    </row>
    <row r="7" spans="1:17" ht="15.75">
      <c r="A7" s="232" t="s">
        <v>75</v>
      </c>
      <c r="B7" s="233"/>
      <c r="C7" s="310" t="str">
        <f>'Data INPUT'!D23</f>
        <v>Select</v>
      </c>
      <c r="D7" s="311"/>
      <c r="E7" s="311"/>
      <c r="F7" s="312"/>
      <c r="G7" s="305" t="str">
        <f>'Data INPUT'!$B$9</f>
        <v xml:space="preserve"> </v>
      </c>
      <c r="H7" s="306"/>
      <c r="I7" s="306"/>
      <c r="J7" s="306"/>
      <c r="K7" s="306"/>
      <c r="L7" s="307"/>
      <c r="M7" s="424"/>
      <c r="O7" s="102" t="s">
        <v>243</v>
      </c>
      <c r="P7" s="103" t="s">
        <v>244</v>
      </c>
    </row>
    <row r="8" spans="1:17" ht="15.75">
      <c r="A8" s="270" t="s">
        <v>76</v>
      </c>
      <c r="B8" s="271"/>
      <c r="C8" s="276">
        <v>1</v>
      </c>
      <c r="D8" s="277"/>
      <c r="E8" s="277"/>
      <c r="F8" s="278"/>
      <c r="G8" s="285" t="str">
        <f>'Data INPUT'!$B$10</f>
        <v xml:space="preserve"> </v>
      </c>
      <c r="H8" s="286"/>
      <c r="I8" s="286"/>
      <c r="J8" s="286"/>
      <c r="K8" s="286"/>
      <c r="L8" s="287"/>
      <c r="M8" s="424"/>
      <c r="O8" s="102" t="s">
        <v>223</v>
      </c>
      <c r="P8" s="103" t="s">
        <v>224</v>
      </c>
    </row>
    <row r="9" spans="1:17" ht="15.75">
      <c r="A9" s="272"/>
      <c r="B9" s="273"/>
      <c r="C9" s="279"/>
      <c r="D9" s="280"/>
      <c r="E9" s="280"/>
      <c r="F9" s="281"/>
      <c r="G9" s="28" t="s">
        <v>77</v>
      </c>
      <c r="H9" s="29"/>
      <c r="I9" s="29"/>
      <c r="J9" s="288" t="str">
        <f>'Data INPUT'!$B$5</f>
        <v xml:space="preserve"> </v>
      </c>
      <c r="K9" s="288"/>
      <c r="L9" s="289"/>
      <c r="M9" s="424"/>
      <c r="O9" s="102" t="s">
        <v>225</v>
      </c>
      <c r="P9" s="103" t="s">
        <v>228</v>
      </c>
    </row>
    <row r="10" spans="1:17" ht="16.5" thickBot="1">
      <c r="A10" s="274"/>
      <c r="B10" s="275"/>
      <c r="C10" s="282"/>
      <c r="D10" s="283"/>
      <c r="E10" s="283"/>
      <c r="F10" s="284"/>
      <c r="G10" s="31" t="s">
        <v>78</v>
      </c>
      <c r="H10" s="32"/>
      <c r="I10" s="32"/>
      <c r="J10" s="290" t="str">
        <f>'Data INPUT'!$B$6</f>
        <v xml:space="preserve"> </v>
      </c>
      <c r="K10" s="290"/>
      <c r="L10" s="291"/>
      <c r="M10" s="424"/>
      <c r="O10" s="104" t="s">
        <v>108</v>
      </c>
      <c r="P10" s="105" t="s">
        <v>226</v>
      </c>
    </row>
    <row r="11" spans="1:17" ht="15.75">
      <c r="A11" s="292" t="s">
        <v>79</v>
      </c>
      <c r="B11" s="293"/>
      <c r="C11" s="296" t="str">
        <f>'Data INPUT'!$B$16</f>
        <v xml:space="preserve"> </v>
      </c>
      <c r="D11" s="297"/>
      <c r="E11" s="297"/>
      <c r="F11" s="297"/>
      <c r="G11" s="297"/>
      <c r="H11" s="297"/>
      <c r="I11" s="297"/>
      <c r="J11" s="297"/>
      <c r="K11" s="297"/>
      <c r="L11" s="298"/>
      <c r="M11" s="424"/>
    </row>
    <row r="12" spans="1:17" ht="16.5" thickBot="1">
      <c r="A12" s="292"/>
      <c r="B12" s="293"/>
      <c r="C12" s="299" t="str">
        <f>'Data INPUT'!$B$17</f>
        <v xml:space="preserve"> </v>
      </c>
      <c r="D12" s="300"/>
      <c r="E12" s="300"/>
      <c r="F12" s="300"/>
      <c r="G12" s="300"/>
      <c r="H12" s="300"/>
      <c r="I12" s="300"/>
      <c r="J12" s="300"/>
      <c r="K12" s="300"/>
      <c r="L12" s="301"/>
      <c r="M12" s="424"/>
    </row>
    <row r="13" spans="1:17" ht="16.5" thickBot="1">
      <c r="A13" s="294"/>
      <c r="B13" s="295"/>
      <c r="C13" s="302" t="str">
        <f>'Data INPUT'!$B$18</f>
        <v xml:space="preserve"> </v>
      </c>
      <c r="D13" s="303"/>
      <c r="E13" s="303"/>
      <c r="F13" s="303"/>
      <c r="G13" s="303"/>
      <c r="H13" s="303"/>
      <c r="I13" s="303"/>
      <c r="J13" s="303"/>
      <c r="K13" s="303"/>
      <c r="L13" s="304"/>
      <c r="M13" s="424"/>
      <c r="O13" s="112"/>
      <c r="P13" s="113" t="s">
        <v>59</v>
      </c>
    </row>
    <row r="14" spans="1:17" ht="16.5" thickBot="1">
      <c r="A14" s="391" t="s">
        <v>80</v>
      </c>
      <c r="B14" s="392"/>
      <c r="C14" s="66" t="s">
        <v>42</v>
      </c>
      <c r="D14" s="66"/>
      <c r="E14" s="69" t="s">
        <v>43</v>
      </c>
      <c r="F14" s="66"/>
      <c r="G14" s="67"/>
      <c r="H14" s="275" t="s">
        <v>229</v>
      </c>
      <c r="I14" s="275"/>
      <c r="J14" s="275"/>
      <c r="K14" s="275"/>
      <c r="L14" s="393"/>
      <c r="M14" s="424"/>
      <c r="O14" s="106" t="s">
        <v>54</v>
      </c>
      <c r="P14" s="107" t="s">
        <v>162</v>
      </c>
    </row>
    <row r="15" spans="1:17" ht="15.75">
      <c r="A15" s="394" t="s">
        <v>81</v>
      </c>
      <c r="B15" s="395"/>
      <c r="C15" s="71">
        <f>'Data INPUT'!X26</f>
        <v>10000</v>
      </c>
      <c r="D15" s="72" t="s">
        <v>82</v>
      </c>
      <c r="E15" s="70">
        <f>'Data INPUT'!X27</f>
        <v>5000</v>
      </c>
      <c r="F15" s="73"/>
      <c r="G15" s="33"/>
      <c r="H15" s="396"/>
      <c r="I15" s="397"/>
      <c r="J15" s="397"/>
      <c r="K15" s="397"/>
      <c r="L15" s="398"/>
      <c r="M15" s="424"/>
      <c r="O15" s="108" t="s">
        <v>53</v>
      </c>
      <c r="P15" s="109" t="s">
        <v>163</v>
      </c>
    </row>
    <row r="16" spans="1:17" ht="16.5" thickBot="1">
      <c r="A16" s="34" t="s">
        <v>83</v>
      </c>
      <c r="B16" s="35" t="str">
        <f>E17</f>
        <v>200 x 400</v>
      </c>
      <c r="C16" s="65">
        <f>C15</f>
        <v>10000</v>
      </c>
      <c r="D16" s="37"/>
      <c r="E16" s="123"/>
      <c r="F16" s="124"/>
      <c r="G16" s="124"/>
      <c r="H16" s="399" t="s">
        <v>84</v>
      </c>
      <c r="I16" s="400"/>
      <c r="J16" s="400"/>
      <c r="K16" s="400"/>
      <c r="L16" s="401"/>
      <c r="M16" s="424"/>
      <c r="O16" s="108" t="s">
        <v>55</v>
      </c>
      <c r="P16" s="109" t="s">
        <v>164</v>
      </c>
    </row>
    <row r="17" spans="1:16" ht="16.5" thickBot="1">
      <c r="A17" s="39" t="s">
        <v>85</v>
      </c>
      <c r="B17" s="35">
        <f>'Data INPUT'!X28</f>
        <v>400</v>
      </c>
      <c r="C17" s="68">
        <f>'Data INPUT'!X28</f>
        <v>400</v>
      </c>
      <c r="D17" s="126"/>
      <c r="E17" s="430" t="s">
        <v>236</v>
      </c>
      <c r="F17" s="431"/>
      <c r="G17" s="432"/>
      <c r="H17" s="268" t="s">
        <v>33</v>
      </c>
      <c r="I17" s="268"/>
      <c r="J17" s="268"/>
      <c r="K17" s="268"/>
      <c r="L17" s="269"/>
      <c r="M17" s="424"/>
      <c r="O17" s="108" t="s">
        <v>56</v>
      </c>
      <c r="P17" s="109" t="s">
        <v>165</v>
      </c>
    </row>
    <row r="18" spans="1:16" ht="16.5" thickBot="1">
      <c r="A18" s="40" t="s">
        <v>86</v>
      </c>
      <c r="B18" s="41" t="str">
        <f>'Data INPUT'!D29</f>
        <v>Standard</v>
      </c>
      <c r="C18" s="72">
        <f>E15-C17+10</f>
        <v>4610</v>
      </c>
      <c r="D18" s="42" t="s">
        <v>82</v>
      </c>
      <c r="E18" s="70">
        <v>100</v>
      </c>
      <c r="F18" s="72" t="s">
        <v>82</v>
      </c>
      <c r="G18" s="72">
        <v>53</v>
      </c>
      <c r="H18" s="373"/>
      <c r="I18" s="374"/>
      <c r="J18" s="374"/>
      <c r="K18" s="374"/>
      <c r="L18" s="375"/>
      <c r="M18" s="424"/>
      <c r="O18" s="108" t="s">
        <v>57</v>
      </c>
      <c r="P18" s="109" t="s">
        <v>166</v>
      </c>
    </row>
    <row r="19" spans="1:16" ht="16.5" thickBot="1">
      <c r="A19" s="118" t="s">
        <v>87</v>
      </c>
      <c r="B19" s="119" t="s">
        <v>170</v>
      </c>
      <c r="C19" s="81">
        <f>D20</f>
        <v>5820</v>
      </c>
      <c r="D19" s="52" t="s">
        <v>82</v>
      </c>
      <c r="E19" s="79">
        <f>C20</f>
        <v>2</v>
      </c>
      <c r="F19" s="79"/>
      <c r="G19" s="128"/>
      <c r="H19" s="376" t="s">
        <v>120</v>
      </c>
      <c r="I19" s="377"/>
      <c r="J19" s="377"/>
      <c r="K19" s="377"/>
      <c r="L19" s="378"/>
      <c r="M19" s="424"/>
      <c r="O19" s="110" t="s">
        <v>58</v>
      </c>
      <c r="P19" s="111" t="s">
        <v>167</v>
      </c>
    </row>
    <row r="20" spans="1:16" ht="16.5" thickBot="1">
      <c r="A20" s="120" t="s">
        <v>90</v>
      </c>
      <c r="B20" s="121" t="s">
        <v>82</v>
      </c>
      <c r="C20" s="122">
        <f>'Data INPUT'!X32</f>
        <v>2</v>
      </c>
      <c r="D20" s="433">
        <f>(C15+(2*B24)-360)/2</f>
        <v>5820</v>
      </c>
      <c r="E20" s="433"/>
      <c r="F20" s="433"/>
      <c r="G20" s="434"/>
      <c r="H20" s="379"/>
      <c r="I20" s="380"/>
      <c r="J20" s="380"/>
      <c r="K20" s="380"/>
      <c r="L20" s="381"/>
      <c r="M20" s="424"/>
    </row>
    <row r="21" spans="1:16" ht="16.5" thickBot="1">
      <c r="A21" s="382" t="s">
        <v>91</v>
      </c>
      <c r="B21" s="383"/>
      <c r="C21" s="52">
        <f>C15-230</f>
        <v>9770</v>
      </c>
      <c r="D21" s="384" t="s">
        <v>33</v>
      </c>
      <c r="E21" s="384"/>
      <c r="F21" s="384"/>
      <c r="G21" s="385"/>
      <c r="H21" s="386" t="s">
        <v>92</v>
      </c>
      <c r="I21" s="366"/>
      <c r="J21" s="366"/>
      <c r="K21" s="366"/>
      <c r="L21" s="367"/>
      <c r="M21" s="424"/>
    </row>
    <row r="22" spans="1:16" ht="16.5" thickBot="1">
      <c r="A22" s="387" t="s">
        <v>171</v>
      </c>
      <c r="B22" s="388"/>
      <c r="C22" s="37">
        <f>C21</f>
        <v>9770</v>
      </c>
      <c r="D22" s="389" t="s">
        <v>303</v>
      </c>
      <c r="E22" s="389"/>
      <c r="F22" s="389"/>
      <c r="G22" s="390"/>
      <c r="H22" s="373"/>
      <c r="I22" s="374"/>
      <c r="J22" s="374"/>
      <c r="K22" s="374"/>
      <c r="L22" s="375"/>
      <c r="M22" s="424"/>
      <c r="O22" s="114" t="s">
        <v>234</v>
      </c>
    </row>
    <row r="23" spans="1:16" ht="16.5" thickBot="1">
      <c r="A23" s="435" t="s">
        <v>73</v>
      </c>
      <c r="B23" s="436"/>
      <c r="C23" s="52">
        <f>((C15-100)/2)+B24</f>
        <v>5950</v>
      </c>
      <c r="D23" s="52" t="s">
        <v>82</v>
      </c>
      <c r="E23" s="52">
        <f>E15+300</f>
        <v>5300</v>
      </c>
      <c r="F23" s="52" t="s">
        <v>82</v>
      </c>
      <c r="G23" s="80">
        <f>C20</f>
        <v>2</v>
      </c>
      <c r="H23" s="351" t="s">
        <v>93</v>
      </c>
      <c r="I23" s="352"/>
      <c r="J23" s="352"/>
      <c r="K23" s="352"/>
      <c r="L23" s="353"/>
      <c r="M23" s="424"/>
      <c r="O23" s="115" t="s">
        <v>235</v>
      </c>
    </row>
    <row r="24" spans="1:16" ht="16.5" thickBot="1">
      <c r="A24" s="125" t="s">
        <v>242</v>
      </c>
      <c r="B24" s="127">
        <f>'Data INPUT'!X22</f>
        <v>1000</v>
      </c>
      <c r="C24" s="437" t="s">
        <v>136</v>
      </c>
      <c r="D24" s="437"/>
      <c r="E24" s="437"/>
      <c r="F24" s="437"/>
      <c r="G24" s="438"/>
      <c r="H24" s="357" t="s">
        <v>94</v>
      </c>
      <c r="I24" s="358"/>
      <c r="J24" s="358"/>
      <c r="K24" s="358"/>
      <c r="L24" s="359"/>
      <c r="M24" s="424"/>
      <c r="O24" s="117" t="s">
        <v>236</v>
      </c>
    </row>
    <row r="25" spans="1:16" ht="16.5" thickBot="1">
      <c r="A25" s="360" t="s">
        <v>95</v>
      </c>
      <c r="B25" s="361"/>
      <c r="C25" s="55" t="s">
        <v>33</v>
      </c>
      <c r="D25" s="75" t="s">
        <v>96</v>
      </c>
      <c r="E25" s="75" t="s">
        <v>33</v>
      </c>
      <c r="F25" s="75" t="s">
        <v>97</v>
      </c>
      <c r="G25" s="56" t="s">
        <v>33</v>
      </c>
      <c r="H25" s="368" t="s">
        <v>140</v>
      </c>
      <c r="I25" s="369"/>
      <c r="J25" s="369"/>
      <c r="K25" s="57">
        <v>300</v>
      </c>
      <c r="L25" s="144" t="s">
        <v>98</v>
      </c>
      <c r="M25" s="424"/>
    </row>
    <row r="26" spans="1:16" ht="15.75">
      <c r="A26" s="345" t="s">
        <v>99</v>
      </c>
      <c r="B26" s="346"/>
      <c r="C26" s="405"/>
      <c r="D26" s="384"/>
      <c r="E26" s="384"/>
      <c r="F26" s="384"/>
      <c r="G26" s="385"/>
      <c r="H26" s="27" t="s">
        <v>100</v>
      </c>
      <c r="I26" s="265"/>
      <c r="J26" s="265"/>
      <c r="K26" s="265"/>
      <c r="L26" s="266"/>
      <c r="M26" s="424"/>
    </row>
    <row r="27" spans="1:16" ht="16.5" thickBot="1">
      <c r="A27" s="274" t="s">
        <v>62</v>
      </c>
      <c r="B27" s="347"/>
      <c r="C27" s="322" t="s">
        <v>33</v>
      </c>
      <c r="D27" s="323"/>
      <c r="E27" s="323"/>
      <c r="F27" s="323"/>
      <c r="G27" s="324"/>
      <c r="H27" s="32"/>
      <c r="I27" s="320"/>
      <c r="J27" s="320"/>
      <c r="K27" s="320"/>
      <c r="L27" s="321"/>
      <c r="M27" s="424"/>
    </row>
    <row r="28" spans="1:16" ht="16.5" thickBot="1">
      <c r="A28" s="348" t="s">
        <v>101</v>
      </c>
      <c r="B28" s="349"/>
      <c r="C28" s="76" t="str">
        <f>'Data INPUT'!X35</f>
        <v>CSV x 2</v>
      </c>
      <c r="D28" s="72" t="s">
        <v>33</v>
      </c>
      <c r="E28" s="306" t="s">
        <v>33</v>
      </c>
      <c r="F28" s="306"/>
      <c r="G28" s="350"/>
      <c r="H28" s="32" t="s">
        <v>100</v>
      </c>
      <c r="I28" s="58"/>
      <c r="J28" s="58"/>
      <c r="K28" s="58"/>
      <c r="L28" s="94"/>
      <c r="M28" s="424"/>
    </row>
    <row r="29" spans="1:16" ht="15.75">
      <c r="A29" s="342" t="s">
        <v>137</v>
      </c>
      <c r="B29" s="343"/>
      <c r="C29" s="343"/>
      <c r="D29" s="343"/>
      <c r="E29" s="343"/>
      <c r="F29" s="343"/>
      <c r="G29" s="343"/>
      <c r="H29" s="26" t="s">
        <v>102</v>
      </c>
      <c r="I29" s="59"/>
      <c r="J29" s="24"/>
      <c r="K29" s="24"/>
      <c r="L29" s="145">
        <f>'Data INPUT'!D42</f>
        <v>1</v>
      </c>
      <c r="M29" s="424"/>
    </row>
    <row r="30" spans="1:16" ht="15.75">
      <c r="A30" s="335" t="s">
        <v>65</v>
      </c>
      <c r="B30" s="336"/>
      <c r="C30" s="330" t="str">
        <f>'Data INPUT'!D37</f>
        <v xml:space="preserve"> </v>
      </c>
      <c r="D30" s="331"/>
      <c r="E30" s="331"/>
      <c r="F30" s="331"/>
      <c r="G30" s="332"/>
      <c r="H30" s="333" t="s">
        <v>103</v>
      </c>
      <c r="I30" s="235"/>
      <c r="J30" s="235"/>
      <c r="K30" s="334"/>
      <c r="L30" s="146">
        <f>'Data INPUT'!D43</f>
        <v>0</v>
      </c>
      <c r="M30" s="424"/>
    </row>
    <row r="31" spans="1:16" ht="15.75">
      <c r="A31" s="327" t="s">
        <v>104</v>
      </c>
      <c r="B31" s="329"/>
      <c r="C31" s="330" t="str">
        <f>'Data INPUT'!D38</f>
        <v xml:space="preserve"> </v>
      </c>
      <c r="D31" s="331"/>
      <c r="E31" s="331"/>
      <c r="F31" s="331"/>
      <c r="G31" s="332"/>
      <c r="H31" s="333" t="s">
        <v>105</v>
      </c>
      <c r="I31" s="235"/>
      <c r="J31" s="235"/>
      <c r="K31" s="334"/>
      <c r="L31" s="146">
        <f>'Data INPUT'!D44</f>
        <v>0</v>
      </c>
      <c r="M31" s="424"/>
    </row>
    <row r="32" spans="1:16" ht="15.75">
      <c r="A32" s="327" t="s">
        <v>106</v>
      </c>
      <c r="B32" s="329"/>
      <c r="C32" s="330" t="str">
        <f>'Data INPUT'!D40</f>
        <v xml:space="preserve"> </v>
      </c>
      <c r="D32" s="331"/>
      <c r="E32" s="331"/>
      <c r="F32" s="331"/>
      <c r="G32" s="332"/>
      <c r="H32" s="333" t="s">
        <v>107</v>
      </c>
      <c r="I32" s="235"/>
      <c r="J32" s="235"/>
      <c r="K32" s="334"/>
      <c r="L32" s="146">
        <f>'Data INPUT'!D45</f>
        <v>0</v>
      </c>
      <c r="M32" s="424"/>
    </row>
    <row r="33" spans="1:16" ht="15.75">
      <c r="A33" s="335" t="s">
        <v>108</v>
      </c>
      <c r="B33" s="336"/>
      <c r="C33" s="330" t="e">
        <f>'Data INPUT'!#REF!</f>
        <v>#REF!</v>
      </c>
      <c r="D33" s="331"/>
      <c r="E33" s="331"/>
      <c r="F33" s="331"/>
      <c r="G33" s="332"/>
      <c r="H33" s="60" t="s">
        <v>109</v>
      </c>
      <c r="I33" s="62"/>
      <c r="J33" s="25"/>
      <c r="K33" s="25"/>
      <c r="L33" s="146">
        <f>'Data INPUT'!D46</f>
        <v>0</v>
      </c>
      <c r="M33" s="424"/>
    </row>
    <row r="34" spans="1:16" ht="15.75">
      <c r="A34" s="327" t="s">
        <v>110</v>
      </c>
      <c r="B34" s="329"/>
      <c r="C34" s="330" t="str">
        <f>'Data INPUT'!D41</f>
        <v>No</v>
      </c>
      <c r="D34" s="331"/>
      <c r="E34" s="331"/>
      <c r="F34" s="331"/>
      <c r="G34" s="332"/>
      <c r="H34" s="60" t="s">
        <v>111</v>
      </c>
      <c r="I34" s="25"/>
      <c r="J34" s="25"/>
      <c r="K34" s="61"/>
      <c r="L34" s="146">
        <f>'Data INPUT'!D47</f>
        <v>0</v>
      </c>
      <c r="M34" s="424"/>
    </row>
    <row r="35" spans="1:16" ht="15.75" customHeight="1">
      <c r="A35" s="406" t="s">
        <v>112</v>
      </c>
      <c r="B35" s="407"/>
      <c r="C35" s="148"/>
      <c r="D35" s="148"/>
      <c r="E35" s="148"/>
      <c r="F35" s="408" t="s">
        <v>115</v>
      </c>
      <c r="G35" s="409"/>
      <c r="H35" s="60" t="s">
        <v>113</v>
      </c>
      <c r="I35" s="62"/>
      <c r="J35" s="25"/>
      <c r="K35" s="25"/>
      <c r="L35" s="146">
        <f>'Data INPUT'!D48</f>
        <v>0</v>
      </c>
      <c r="M35" s="424"/>
    </row>
    <row r="36" spans="1:16" ht="15.75" customHeight="1">
      <c r="A36" s="327" t="s">
        <v>114</v>
      </c>
      <c r="B36" s="328"/>
      <c r="C36" s="328"/>
      <c r="D36" s="87"/>
      <c r="E36" s="87" t="s">
        <v>33</v>
      </c>
      <c r="F36" s="88" t="s">
        <v>33</v>
      </c>
      <c r="G36" s="89" t="s">
        <v>33</v>
      </c>
      <c r="H36" s="325"/>
      <c r="I36" s="326"/>
      <c r="J36" s="326"/>
      <c r="K36" s="74"/>
      <c r="L36" s="146" t="s">
        <v>33</v>
      </c>
      <c r="M36" s="424"/>
      <c r="P36" t="s">
        <v>33</v>
      </c>
    </row>
    <row r="37" spans="1:16" ht="15.75" customHeight="1">
      <c r="A37" s="327" t="s">
        <v>116</v>
      </c>
      <c r="B37" s="328"/>
      <c r="C37" s="328"/>
      <c r="D37" s="328"/>
      <c r="E37" s="329"/>
      <c r="F37" s="88" t="s">
        <v>33</v>
      </c>
      <c r="G37" s="89"/>
      <c r="H37" s="60"/>
      <c r="I37" s="62"/>
      <c r="J37" s="25"/>
      <c r="K37" s="25"/>
      <c r="L37" s="146" t="s">
        <v>33</v>
      </c>
      <c r="M37" s="424"/>
    </row>
    <row r="38" spans="1:16" ht="16.5" customHeight="1" thickBot="1">
      <c r="A38" s="337" t="s">
        <v>117</v>
      </c>
      <c r="B38" s="362"/>
      <c r="C38" s="362"/>
      <c r="D38" s="362"/>
      <c r="E38" s="338"/>
      <c r="F38" s="90" t="s">
        <v>33</v>
      </c>
      <c r="G38" s="91"/>
      <c r="H38" s="363"/>
      <c r="I38" s="364"/>
      <c r="J38" s="364"/>
      <c r="K38" s="364"/>
      <c r="L38" s="147" t="s">
        <v>33</v>
      </c>
      <c r="M38" s="424"/>
    </row>
    <row r="39" spans="1:16" ht="47.25" customHeight="1" thickBot="1">
      <c r="A39" s="92" t="s">
        <v>118</v>
      </c>
      <c r="B39" s="93"/>
      <c r="C39" s="77" t="s">
        <v>119</v>
      </c>
      <c r="D39" s="82"/>
      <c r="E39" s="83"/>
      <c r="F39" s="84"/>
      <c r="G39" s="85"/>
      <c r="H39" s="402"/>
      <c r="I39" s="403"/>
      <c r="J39" s="403"/>
      <c r="K39" s="403"/>
      <c r="L39" s="404"/>
      <c r="M39" s="425"/>
    </row>
    <row r="40" spans="1:16" ht="16.5" customHeight="1" thickBot="1">
      <c r="A40" s="251" t="s">
        <v>69</v>
      </c>
      <c r="B40" s="252"/>
      <c r="C40" s="253">
        <f ca="1">'Data INPUT'!$B$13</f>
        <v>46222</v>
      </c>
      <c r="D40" s="254"/>
      <c r="E40" s="254"/>
      <c r="F40" s="254"/>
      <c r="G40" s="255" t="s">
        <v>7</v>
      </c>
      <c r="H40" s="255"/>
      <c r="I40" s="255"/>
      <c r="J40" s="256" t="str">
        <f>'Data INPUT'!$B$14</f>
        <v xml:space="preserve"> </v>
      </c>
      <c r="K40" s="257"/>
      <c r="L40" s="258"/>
      <c r="M40" s="420" t="s">
        <v>143</v>
      </c>
    </row>
    <row r="41" spans="1:16" ht="15.75">
      <c r="A41" s="259" t="s">
        <v>70</v>
      </c>
      <c r="B41" s="260"/>
      <c r="C41" s="261" t="str">
        <f>'Data INPUT'!$B$4</f>
        <v xml:space="preserve"> </v>
      </c>
      <c r="D41" s="262"/>
      <c r="E41" s="262"/>
      <c r="F41" s="262"/>
      <c r="G41" s="262"/>
      <c r="H41" s="262"/>
      <c r="I41" s="263"/>
      <c r="J41" s="264">
        <f>'Data INPUT'!Y19</f>
        <v>1</v>
      </c>
      <c r="K41" s="265"/>
      <c r="L41" s="266"/>
      <c r="M41" s="421"/>
    </row>
    <row r="42" spans="1:16" ht="15.75">
      <c r="A42" s="232" t="s">
        <v>71</v>
      </c>
      <c r="B42" s="233"/>
      <c r="C42" s="234" t="str">
        <f>'Data INPUT'!$B$2</f>
        <v xml:space="preserve"> </v>
      </c>
      <c r="D42" s="235"/>
      <c r="E42" s="235"/>
      <c r="F42" s="235"/>
      <c r="G42" s="235"/>
      <c r="H42" s="235"/>
      <c r="I42" s="236"/>
      <c r="J42" s="237" t="str">
        <f>'Data INPUT'!Y24</f>
        <v xml:space="preserve"> </v>
      </c>
      <c r="K42" s="238"/>
      <c r="L42" s="239"/>
      <c r="M42" s="421"/>
    </row>
    <row r="43" spans="1:16" ht="16.5" thickBot="1">
      <c r="A43" s="240" t="s">
        <v>0</v>
      </c>
      <c r="B43" s="241"/>
      <c r="C43" s="242" t="str">
        <f>'Data INPUT'!$B$3</f>
        <v xml:space="preserve"> </v>
      </c>
      <c r="D43" s="243"/>
      <c r="E43" s="243"/>
      <c r="F43" s="243"/>
      <c r="G43" s="243"/>
      <c r="H43" s="243"/>
      <c r="I43" s="244"/>
      <c r="J43" s="317" t="str">
        <f>'Data INPUT'!Y18</f>
        <v>Curtain 2</v>
      </c>
      <c r="K43" s="318"/>
      <c r="L43" s="319"/>
      <c r="M43" s="421"/>
    </row>
    <row r="44" spans="1:16" ht="16.5" thickBot="1">
      <c r="A44" s="78" t="str">
        <f>'Data INPUT'!Y21</f>
        <v>Fire Curtain</v>
      </c>
      <c r="B44" s="247" t="str">
        <f>'Data INPUT'!Y25</f>
        <v>Select</v>
      </c>
      <c r="C44" s="248"/>
      <c r="D44" s="313" t="str">
        <f>'Data INPUT'!Y20</f>
        <v>EN1634-2</v>
      </c>
      <c r="E44" s="313"/>
      <c r="F44" s="314"/>
      <c r="G44" s="365" t="s">
        <v>72</v>
      </c>
      <c r="H44" s="366"/>
      <c r="I44" s="366"/>
      <c r="J44" s="366"/>
      <c r="K44" s="366"/>
      <c r="L44" s="367"/>
      <c r="M44" s="421"/>
    </row>
    <row r="45" spans="1:16" ht="15.75">
      <c r="A45" s="259" t="s">
        <v>74</v>
      </c>
      <c r="B45" s="260"/>
      <c r="C45" s="308" t="str">
        <f>'Data INPUT'!$B$12</f>
        <v>Select</v>
      </c>
      <c r="D45" s="308"/>
      <c r="E45" s="308"/>
      <c r="F45" s="309"/>
      <c r="G45" s="305" t="str">
        <f>'Data INPUT'!$B$8</f>
        <v xml:space="preserve"> </v>
      </c>
      <c r="H45" s="306"/>
      <c r="I45" s="306"/>
      <c r="J45" s="306"/>
      <c r="K45" s="306"/>
      <c r="L45" s="307"/>
      <c r="M45" s="421"/>
    </row>
    <row r="46" spans="1:16" ht="15.75">
      <c r="A46" s="232" t="s">
        <v>75</v>
      </c>
      <c r="B46" s="233"/>
      <c r="C46" s="310" t="str">
        <f>'Data INPUT'!Y23</f>
        <v>Face Fit</v>
      </c>
      <c r="D46" s="311"/>
      <c r="E46" s="311"/>
      <c r="F46" s="312"/>
      <c r="G46" s="305" t="str">
        <f>'Data INPUT'!$B$9</f>
        <v xml:space="preserve"> </v>
      </c>
      <c r="H46" s="306"/>
      <c r="I46" s="306"/>
      <c r="J46" s="306"/>
      <c r="K46" s="306"/>
      <c r="L46" s="307"/>
      <c r="M46" s="421"/>
    </row>
    <row r="47" spans="1:16" ht="15.75">
      <c r="A47" s="270" t="s">
        <v>76</v>
      </c>
      <c r="B47" s="271"/>
      <c r="C47" s="276">
        <v>1</v>
      </c>
      <c r="D47" s="277"/>
      <c r="E47" s="277"/>
      <c r="F47" s="278"/>
      <c r="G47" s="285" t="str">
        <f>'Data INPUT'!$B$10</f>
        <v xml:space="preserve"> </v>
      </c>
      <c r="H47" s="286"/>
      <c r="I47" s="286"/>
      <c r="J47" s="286"/>
      <c r="K47" s="286"/>
      <c r="L47" s="287"/>
      <c r="M47" s="421"/>
    </row>
    <row r="48" spans="1:16" ht="15.75">
      <c r="A48" s="272"/>
      <c r="B48" s="273"/>
      <c r="C48" s="279"/>
      <c r="D48" s="280"/>
      <c r="E48" s="280"/>
      <c r="F48" s="281"/>
      <c r="G48" s="28" t="s">
        <v>77</v>
      </c>
      <c r="H48" s="29"/>
      <c r="I48" s="29"/>
      <c r="J48" s="288" t="str">
        <f>'Data INPUT'!$B$5</f>
        <v xml:space="preserve"> </v>
      </c>
      <c r="K48" s="288"/>
      <c r="L48" s="289"/>
      <c r="M48" s="421"/>
    </row>
    <row r="49" spans="1:13" ht="16.5" thickBot="1">
      <c r="A49" s="274"/>
      <c r="B49" s="275"/>
      <c r="C49" s="282"/>
      <c r="D49" s="283"/>
      <c r="E49" s="283"/>
      <c r="F49" s="284"/>
      <c r="G49" s="31" t="s">
        <v>78</v>
      </c>
      <c r="H49" s="32"/>
      <c r="I49" s="32"/>
      <c r="J49" s="290" t="str">
        <f>'Data INPUT'!$B$6</f>
        <v xml:space="preserve"> </v>
      </c>
      <c r="K49" s="290"/>
      <c r="L49" s="291"/>
      <c r="M49" s="421"/>
    </row>
    <row r="50" spans="1:13" ht="15.75">
      <c r="A50" s="292" t="s">
        <v>79</v>
      </c>
      <c r="B50" s="293"/>
      <c r="C50" s="296" t="str">
        <f>'Data INPUT'!$B$16</f>
        <v xml:space="preserve"> </v>
      </c>
      <c r="D50" s="297"/>
      <c r="E50" s="297"/>
      <c r="F50" s="297"/>
      <c r="G50" s="297"/>
      <c r="H50" s="297"/>
      <c r="I50" s="297"/>
      <c r="J50" s="297"/>
      <c r="K50" s="297"/>
      <c r="L50" s="298"/>
      <c r="M50" s="421"/>
    </row>
    <row r="51" spans="1:13" ht="15.75">
      <c r="A51" s="292"/>
      <c r="B51" s="293"/>
      <c r="C51" s="299" t="str">
        <f>'Data INPUT'!$B$17</f>
        <v xml:space="preserve"> </v>
      </c>
      <c r="D51" s="300"/>
      <c r="E51" s="300"/>
      <c r="F51" s="300"/>
      <c r="G51" s="300"/>
      <c r="H51" s="300"/>
      <c r="I51" s="300"/>
      <c r="J51" s="300"/>
      <c r="K51" s="300"/>
      <c r="L51" s="301"/>
      <c r="M51" s="421"/>
    </row>
    <row r="52" spans="1:13" ht="16.5" thickBot="1">
      <c r="A52" s="294"/>
      <c r="B52" s="295"/>
      <c r="C52" s="302" t="str">
        <f>'Data INPUT'!$B$18</f>
        <v xml:space="preserve"> </v>
      </c>
      <c r="D52" s="303"/>
      <c r="E52" s="303"/>
      <c r="F52" s="303"/>
      <c r="G52" s="303"/>
      <c r="H52" s="303"/>
      <c r="I52" s="303"/>
      <c r="J52" s="303"/>
      <c r="K52" s="303"/>
      <c r="L52" s="304"/>
      <c r="M52" s="421"/>
    </row>
    <row r="53" spans="1:13" ht="16.5" thickBot="1">
      <c r="A53" s="391" t="s">
        <v>80</v>
      </c>
      <c r="B53" s="392"/>
      <c r="C53" s="66" t="s">
        <v>42</v>
      </c>
      <c r="D53" s="66"/>
      <c r="E53" s="69" t="s">
        <v>43</v>
      </c>
      <c r="F53" s="66"/>
      <c r="G53" s="67"/>
      <c r="H53" s="275" t="s">
        <v>229</v>
      </c>
      <c r="I53" s="275"/>
      <c r="J53" s="275"/>
      <c r="K53" s="275"/>
      <c r="L53" s="393"/>
      <c r="M53" s="421"/>
    </row>
    <row r="54" spans="1:13" ht="15.75">
      <c r="A54" s="394" t="s">
        <v>81</v>
      </c>
      <c r="B54" s="395"/>
      <c r="C54" s="71">
        <f>'Data INPUT'!Y26</f>
        <v>11000</v>
      </c>
      <c r="D54" s="72" t="s">
        <v>82</v>
      </c>
      <c r="E54" s="70">
        <f>'Data INPUT'!Y27</f>
        <v>5000</v>
      </c>
      <c r="F54" s="73"/>
      <c r="G54" s="33"/>
      <c r="H54" s="396"/>
      <c r="I54" s="397"/>
      <c r="J54" s="397"/>
      <c r="K54" s="397"/>
      <c r="L54" s="398"/>
      <c r="M54" s="421"/>
    </row>
    <row r="55" spans="1:13" ht="16.5" thickBot="1">
      <c r="A55" s="34" t="s">
        <v>83</v>
      </c>
      <c r="B55" s="35" t="str">
        <f>E56</f>
        <v>200 x 400</v>
      </c>
      <c r="C55" s="65">
        <f>C54</f>
        <v>11000</v>
      </c>
      <c r="D55" s="37"/>
      <c r="E55" s="123"/>
      <c r="F55" s="124"/>
      <c r="G55" s="124"/>
      <c r="H55" s="399" t="s">
        <v>84</v>
      </c>
      <c r="I55" s="400"/>
      <c r="J55" s="400"/>
      <c r="K55" s="400"/>
      <c r="L55" s="401"/>
      <c r="M55" s="421"/>
    </row>
    <row r="56" spans="1:13" ht="16.5" thickBot="1">
      <c r="A56" s="39" t="s">
        <v>85</v>
      </c>
      <c r="B56" s="35">
        <f>'Data INPUT'!Y28</f>
        <v>400</v>
      </c>
      <c r="C56" s="68">
        <f>'Data INPUT'!Y28</f>
        <v>400</v>
      </c>
      <c r="D56" s="126"/>
      <c r="E56" s="430" t="s">
        <v>236</v>
      </c>
      <c r="F56" s="431"/>
      <c r="G56" s="432"/>
      <c r="H56" s="268" t="s">
        <v>33</v>
      </c>
      <c r="I56" s="268"/>
      <c r="J56" s="268"/>
      <c r="K56" s="268"/>
      <c r="L56" s="269"/>
      <c r="M56" s="421"/>
    </row>
    <row r="57" spans="1:13" ht="16.5" thickBot="1">
      <c r="A57" s="40" t="s">
        <v>86</v>
      </c>
      <c r="B57" s="41" t="s">
        <v>124</v>
      </c>
      <c r="C57" s="72">
        <f>E54-C56+10</f>
        <v>4610</v>
      </c>
      <c r="D57" s="42" t="s">
        <v>82</v>
      </c>
      <c r="E57" s="70">
        <v>100</v>
      </c>
      <c r="F57" s="72" t="s">
        <v>82</v>
      </c>
      <c r="G57" s="72">
        <v>53</v>
      </c>
      <c r="H57" s="373"/>
      <c r="I57" s="374"/>
      <c r="J57" s="374"/>
      <c r="K57" s="374"/>
      <c r="L57" s="375"/>
      <c r="M57" s="421"/>
    </row>
    <row r="58" spans="1:13" ht="16.5" thickBot="1">
      <c r="A58" s="118" t="s">
        <v>87</v>
      </c>
      <c r="B58" s="119" t="s">
        <v>170</v>
      </c>
      <c r="C58" s="81">
        <f>D59</f>
        <v>6321</v>
      </c>
      <c r="D58" s="52" t="s">
        <v>82</v>
      </c>
      <c r="E58" s="79">
        <f>C59</f>
        <v>2</v>
      </c>
      <c r="F58" s="79"/>
      <c r="G58" s="128"/>
      <c r="H58" s="376" t="s">
        <v>120</v>
      </c>
      <c r="I58" s="377"/>
      <c r="J58" s="377"/>
      <c r="K58" s="377"/>
      <c r="L58" s="378"/>
      <c r="M58" s="421"/>
    </row>
    <row r="59" spans="1:13" ht="16.5" thickBot="1">
      <c r="A59" s="120" t="s">
        <v>90</v>
      </c>
      <c r="B59" s="121" t="s">
        <v>82</v>
      </c>
      <c r="C59" s="122">
        <f>'Data INPUT'!Y32</f>
        <v>2</v>
      </c>
      <c r="D59" s="433">
        <f>(C54+(2*B63)-360)/2</f>
        <v>6321</v>
      </c>
      <c r="E59" s="433"/>
      <c r="F59" s="433"/>
      <c r="G59" s="434"/>
      <c r="H59" s="379"/>
      <c r="I59" s="380"/>
      <c r="J59" s="380"/>
      <c r="K59" s="380"/>
      <c r="L59" s="381"/>
      <c r="M59" s="421"/>
    </row>
    <row r="60" spans="1:13" ht="15.75">
      <c r="A60" s="382" t="s">
        <v>91</v>
      </c>
      <c r="B60" s="383"/>
      <c r="C60" s="52">
        <f>C54-230</f>
        <v>10770</v>
      </c>
      <c r="D60" s="384" t="s">
        <v>33</v>
      </c>
      <c r="E60" s="384"/>
      <c r="F60" s="384"/>
      <c r="G60" s="385"/>
      <c r="H60" s="386" t="s">
        <v>92</v>
      </c>
      <c r="I60" s="366"/>
      <c r="J60" s="366"/>
      <c r="K60" s="366"/>
      <c r="L60" s="367"/>
      <c r="M60" s="421"/>
    </row>
    <row r="61" spans="1:13" ht="16.5" thickBot="1">
      <c r="A61" s="387" t="s">
        <v>171</v>
      </c>
      <c r="B61" s="388"/>
      <c r="C61" s="37">
        <f>C60</f>
        <v>10770</v>
      </c>
      <c r="D61" s="389" t="s">
        <v>303</v>
      </c>
      <c r="E61" s="389"/>
      <c r="F61" s="389"/>
      <c r="G61" s="390"/>
      <c r="H61" s="373"/>
      <c r="I61" s="374"/>
      <c r="J61" s="374"/>
      <c r="K61" s="374"/>
      <c r="L61" s="375"/>
      <c r="M61" s="421"/>
    </row>
    <row r="62" spans="1:13" ht="16.5" thickBot="1">
      <c r="A62" s="435" t="s">
        <v>73</v>
      </c>
      <c r="B62" s="436"/>
      <c r="C62" s="52">
        <f>((C54-100)/2)+B63</f>
        <v>6451</v>
      </c>
      <c r="D62" s="52" t="s">
        <v>82</v>
      </c>
      <c r="E62" s="52">
        <f>E54+300</f>
        <v>5300</v>
      </c>
      <c r="F62" s="52" t="s">
        <v>82</v>
      </c>
      <c r="G62" s="80">
        <f>C59</f>
        <v>2</v>
      </c>
      <c r="H62" s="351" t="s">
        <v>93</v>
      </c>
      <c r="I62" s="352"/>
      <c r="J62" s="352"/>
      <c r="K62" s="352"/>
      <c r="L62" s="353"/>
      <c r="M62" s="421"/>
    </row>
    <row r="63" spans="1:13" ht="16.5" thickBot="1">
      <c r="A63" s="125" t="s">
        <v>242</v>
      </c>
      <c r="B63" s="127">
        <f>'Data INPUT'!Y22</f>
        <v>1001</v>
      </c>
      <c r="C63" s="437" t="s">
        <v>136</v>
      </c>
      <c r="D63" s="437"/>
      <c r="E63" s="437"/>
      <c r="F63" s="437"/>
      <c r="G63" s="438"/>
      <c r="H63" s="357" t="s">
        <v>94</v>
      </c>
      <c r="I63" s="358"/>
      <c r="J63" s="358"/>
      <c r="K63" s="358"/>
      <c r="L63" s="359"/>
      <c r="M63" s="421"/>
    </row>
    <row r="64" spans="1:13" ht="16.5" thickBot="1">
      <c r="A64" s="360" t="s">
        <v>95</v>
      </c>
      <c r="B64" s="361"/>
      <c r="C64" s="55" t="s">
        <v>33</v>
      </c>
      <c r="D64" s="75" t="s">
        <v>96</v>
      </c>
      <c r="E64" s="75" t="s">
        <v>33</v>
      </c>
      <c r="F64" s="75" t="s">
        <v>97</v>
      </c>
      <c r="G64" s="56" t="s">
        <v>33</v>
      </c>
      <c r="H64" s="368" t="s">
        <v>140</v>
      </c>
      <c r="I64" s="369"/>
      <c r="J64" s="369"/>
      <c r="K64" s="57">
        <v>300</v>
      </c>
      <c r="L64" s="144" t="s">
        <v>98</v>
      </c>
      <c r="M64" s="421"/>
    </row>
    <row r="65" spans="1:13" ht="15.75">
      <c r="A65" s="345" t="s">
        <v>99</v>
      </c>
      <c r="B65" s="346"/>
      <c r="C65" s="405"/>
      <c r="D65" s="384"/>
      <c r="E65" s="384"/>
      <c r="F65" s="384"/>
      <c r="G65" s="385"/>
      <c r="H65" s="27" t="s">
        <v>100</v>
      </c>
      <c r="I65" s="265"/>
      <c r="J65" s="265"/>
      <c r="K65" s="265"/>
      <c r="L65" s="266"/>
      <c r="M65" s="421"/>
    </row>
    <row r="66" spans="1:13" ht="16.5" thickBot="1">
      <c r="A66" s="274" t="s">
        <v>62</v>
      </c>
      <c r="B66" s="347"/>
      <c r="C66" s="322" t="s">
        <v>33</v>
      </c>
      <c r="D66" s="323"/>
      <c r="E66" s="323"/>
      <c r="F66" s="323"/>
      <c r="G66" s="324"/>
      <c r="H66" s="32"/>
      <c r="I66" s="320"/>
      <c r="J66" s="320"/>
      <c r="K66" s="320"/>
      <c r="L66" s="321"/>
      <c r="M66" s="421"/>
    </row>
    <row r="67" spans="1:13" ht="16.5" thickBot="1">
      <c r="A67" s="348" t="s">
        <v>101</v>
      </c>
      <c r="B67" s="349"/>
      <c r="C67" s="76" t="str">
        <f>'Data INPUT'!Y35</f>
        <v>CSV x 2</v>
      </c>
      <c r="D67" s="72" t="s">
        <v>33</v>
      </c>
      <c r="E67" s="306" t="s">
        <v>33</v>
      </c>
      <c r="F67" s="306"/>
      <c r="G67" s="350"/>
      <c r="H67" s="32" t="s">
        <v>100</v>
      </c>
      <c r="I67" s="58"/>
      <c r="J67" s="58"/>
      <c r="K67" s="58"/>
      <c r="L67" s="94"/>
      <c r="M67" s="421"/>
    </row>
    <row r="68" spans="1:13" ht="15.75">
      <c r="A68" s="342" t="s">
        <v>137</v>
      </c>
      <c r="B68" s="343"/>
      <c r="C68" s="343"/>
      <c r="D68" s="343"/>
      <c r="E68" s="343"/>
      <c r="F68" s="343"/>
      <c r="G68" s="343"/>
      <c r="H68" s="26" t="s">
        <v>102</v>
      </c>
      <c r="I68" s="59"/>
      <c r="J68" s="24"/>
      <c r="K68" s="24"/>
      <c r="L68" s="145">
        <f>'Data INPUT'!Y42</f>
        <v>1</v>
      </c>
      <c r="M68" s="421"/>
    </row>
    <row r="69" spans="1:13" ht="15.75">
      <c r="A69" s="335" t="s">
        <v>65</v>
      </c>
      <c r="B69" s="336"/>
      <c r="C69" s="330">
        <f>'Data INPUT'!D76</f>
        <v>0</v>
      </c>
      <c r="D69" s="331"/>
      <c r="E69" s="331"/>
      <c r="F69" s="331"/>
      <c r="G69" s="332"/>
      <c r="H69" s="333" t="s">
        <v>103</v>
      </c>
      <c r="I69" s="235"/>
      <c r="J69" s="235"/>
      <c r="K69" s="334"/>
      <c r="L69" s="146">
        <f>'Data INPUT'!Y43</f>
        <v>0</v>
      </c>
      <c r="M69" s="421"/>
    </row>
    <row r="70" spans="1:13" ht="15.75">
      <c r="A70" s="327" t="s">
        <v>104</v>
      </c>
      <c r="B70" s="329"/>
      <c r="C70" s="330">
        <f>'Data INPUT'!D77</f>
        <v>0</v>
      </c>
      <c r="D70" s="331"/>
      <c r="E70" s="331"/>
      <c r="F70" s="331"/>
      <c r="G70" s="332"/>
      <c r="H70" s="333" t="s">
        <v>105</v>
      </c>
      <c r="I70" s="235"/>
      <c r="J70" s="235"/>
      <c r="K70" s="334"/>
      <c r="L70" s="146">
        <f>'Data INPUT'!Y44</f>
        <v>0</v>
      </c>
      <c r="M70" s="421"/>
    </row>
    <row r="71" spans="1:13" ht="15.75">
      <c r="A71" s="327" t="s">
        <v>106</v>
      </c>
      <c r="B71" s="329"/>
      <c r="C71" s="330">
        <f>'Data INPUT'!D78</f>
        <v>0</v>
      </c>
      <c r="D71" s="331"/>
      <c r="E71" s="331"/>
      <c r="F71" s="331"/>
      <c r="G71" s="332"/>
      <c r="H71" s="333" t="s">
        <v>107</v>
      </c>
      <c r="I71" s="235"/>
      <c r="J71" s="235"/>
      <c r="K71" s="334"/>
      <c r="L71" s="146">
        <f>'Data INPUT'!Y45</f>
        <v>0</v>
      </c>
      <c r="M71" s="421"/>
    </row>
    <row r="72" spans="1:13" ht="15.75">
      <c r="A72" s="335" t="s">
        <v>108</v>
      </c>
      <c r="B72" s="336"/>
      <c r="C72" s="330">
        <f>'Data INPUT'!D79</f>
        <v>0</v>
      </c>
      <c r="D72" s="331"/>
      <c r="E72" s="331"/>
      <c r="F72" s="331"/>
      <c r="G72" s="332"/>
      <c r="H72" s="60" t="s">
        <v>109</v>
      </c>
      <c r="I72" s="62"/>
      <c r="J72" s="25"/>
      <c r="K72" s="25"/>
      <c r="L72" s="146">
        <f>'Data INPUT'!Y46</f>
        <v>0</v>
      </c>
      <c r="M72" s="421"/>
    </row>
    <row r="73" spans="1:13" ht="15.75">
      <c r="A73" s="327" t="s">
        <v>110</v>
      </c>
      <c r="B73" s="329"/>
      <c r="C73" s="330">
        <f>'Data INPUT'!D80</f>
        <v>0</v>
      </c>
      <c r="D73" s="331"/>
      <c r="E73" s="331"/>
      <c r="F73" s="331"/>
      <c r="G73" s="332"/>
      <c r="H73" s="60" t="s">
        <v>111</v>
      </c>
      <c r="I73" s="25"/>
      <c r="J73" s="25"/>
      <c r="K73" s="61"/>
      <c r="L73" s="146">
        <f>'Data INPUT'!Y47</f>
        <v>0</v>
      </c>
      <c r="M73" s="421"/>
    </row>
    <row r="74" spans="1:13" ht="15.75" customHeight="1">
      <c r="A74" s="406" t="s">
        <v>112</v>
      </c>
      <c r="B74" s="407"/>
      <c r="C74" s="148"/>
      <c r="D74" s="148"/>
      <c r="E74" s="148"/>
      <c r="F74" s="408" t="s">
        <v>115</v>
      </c>
      <c r="G74" s="409"/>
      <c r="H74" s="60" t="s">
        <v>113</v>
      </c>
      <c r="I74" s="62"/>
      <c r="J74" s="25"/>
      <c r="K74" s="25"/>
      <c r="L74" s="146">
        <f>'Data INPUT'!Y48</f>
        <v>0</v>
      </c>
      <c r="M74" s="421"/>
    </row>
    <row r="75" spans="1:13" ht="15.75" customHeight="1">
      <c r="A75" s="327" t="s">
        <v>114</v>
      </c>
      <c r="B75" s="328"/>
      <c r="C75" s="328"/>
      <c r="D75" s="87"/>
      <c r="E75" s="87" t="s">
        <v>33</v>
      </c>
      <c r="F75" s="88" t="s">
        <v>33</v>
      </c>
      <c r="G75" s="89" t="s">
        <v>33</v>
      </c>
      <c r="H75" s="325"/>
      <c r="I75" s="326"/>
      <c r="J75" s="326"/>
      <c r="K75" s="74"/>
      <c r="L75" s="146" t="s">
        <v>33</v>
      </c>
      <c r="M75" s="421"/>
    </row>
    <row r="76" spans="1:13" ht="15.75" customHeight="1">
      <c r="A76" s="327" t="s">
        <v>116</v>
      </c>
      <c r="B76" s="328"/>
      <c r="C76" s="328"/>
      <c r="D76" s="328"/>
      <c r="E76" s="329"/>
      <c r="F76" s="88" t="s">
        <v>33</v>
      </c>
      <c r="G76" s="89"/>
      <c r="H76" s="60"/>
      <c r="I76" s="62"/>
      <c r="J76" s="25"/>
      <c r="K76" s="25"/>
      <c r="L76" s="146" t="s">
        <v>33</v>
      </c>
      <c r="M76" s="421"/>
    </row>
    <row r="77" spans="1:13" ht="16.5" customHeight="1" thickBot="1">
      <c r="A77" s="337" t="s">
        <v>117</v>
      </c>
      <c r="B77" s="362"/>
      <c r="C77" s="362"/>
      <c r="D77" s="362"/>
      <c r="E77" s="338"/>
      <c r="F77" s="90" t="s">
        <v>33</v>
      </c>
      <c r="G77" s="91"/>
      <c r="H77" s="363"/>
      <c r="I77" s="364"/>
      <c r="J77" s="364"/>
      <c r="K77" s="364"/>
      <c r="L77" s="147" t="s">
        <v>33</v>
      </c>
      <c r="M77" s="421"/>
    </row>
    <row r="78" spans="1:13" ht="49.5" customHeight="1" thickBot="1">
      <c r="A78" s="92" t="s">
        <v>118</v>
      </c>
      <c r="B78" s="93"/>
      <c r="C78" s="77" t="s">
        <v>119</v>
      </c>
      <c r="D78" s="82"/>
      <c r="E78" s="83"/>
      <c r="F78" s="84"/>
      <c r="G78" s="85"/>
      <c r="H78" s="402"/>
      <c r="I78" s="403"/>
      <c r="J78" s="403"/>
      <c r="K78" s="403"/>
      <c r="L78" s="404"/>
      <c r="M78" s="422"/>
    </row>
    <row r="79" spans="1:13" ht="16.5" thickBot="1">
      <c r="A79" s="251" t="s">
        <v>69</v>
      </c>
      <c r="B79" s="252"/>
      <c r="C79" s="253">
        <f ca="1">'Data INPUT'!$B$13</f>
        <v>46222</v>
      </c>
      <c r="D79" s="254"/>
      <c r="E79" s="254"/>
      <c r="F79" s="254"/>
      <c r="G79" s="255" t="s">
        <v>7</v>
      </c>
      <c r="H79" s="255"/>
      <c r="I79" s="255"/>
      <c r="J79" s="256" t="str">
        <f>'Data INPUT'!$B$14</f>
        <v xml:space="preserve"> </v>
      </c>
      <c r="K79" s="257"/>
      <c r="L79" s="258"/>
      <c r="M79" s="423" t="s">
        <v>144</v>
      </c>
    </row>
    <row r="80" spans="1:13" ht="15.75">
      <c r="A80" s="259" t="s">
        <v>70</v>
      </c>
      <c r="B80" s="260"/>
      <c r="C80" s="261" t="str">
        <f>'Data INPUT'!$B$4</f>
        <v xml:space="preserve"> </v>
      </c>
      <c r="D80" s="262"/>
      <c r="E80" s="262"/>
      <c r="F80" s="262"/>
      <c r="G80" s="262"/>
      <c r="H80" s="262"/>
      <c r="I80" s="263"/>
      <c r="J80" s="264" t="str">
        <f>'Data INPUT'!Z19</f>
        <v xml:space="preserve"> </v>
      </c>
      <c r="K80" s="265"/>
      <c r="L80" s="266"/>
      <c r="M80" s="424"/>
    </row>
    <row r="81" spans="1:13" ht="15.75">
      <c r="A81" s="232" t="s">
        <v>71</v>
      </c>
      <c r="B81" s="233"/>
      <c r="C81" s="234" t="str">
        <f>'Data INPUT'!$B$2</f>
        <v xml:space="preserve"> </v>
      </c>
      <c r="D81" s="235"/>
      <c r="E81" s="235"/>
      <c r="F81" s="235"/>
      <c r="G81" s="235"/>
      <c r="H81" s="235"/>
      <c r="I81" s="236"/>
      <c r="J81" s="237" t="str">
        <f>'Data INPUT'!Z24</f>
        <v xml:space="preserve"> </v>
      </c>
      <c r="K81" s="238"/>
      <c r="L81" s="239"/>
      <c r="M81" s="424"/>
    </row>
    <row r="82" spans="1:13" ht="16.5" thickBot="1">
      <c r="A82" s="240" t="s">
        <v>0</v>
      </c>
      <c r="B82" s="241"/>
      <c r="C82" s="242" t="str">
        <f>'Data INPUT'!$B$3</f>
        <v xml:space="preserve"> </v>
      </c>
      <c r="D82" s="243"/>
      <c r="E82" s="243"/>
      <c r="F82" s="243"/>
      <c r="G82" s="243"/>
      <c r="H82" s="243"/>
      <c r="I82" s="244"/>
      <c r="J82" s="317" t="str">
        <f>'Data INPUT'!Z18</f>
        <v>Curtain 3</v>
      </c>
      <c r="K82" s="318"/>
      <c r="L82" s="319"/>
      <c r="M82" s="424"/>
    </row>
    <row r="83" spans="1:13" ht="16.5" thickBot="1">
      <c r="A83" s="78" t="str">
        <f>'Data INPUT'!Z21</f>
        <v>Select</v>
      </c>
      <c r="B83" s="247" t="str">
        <f>'Data INPUT'!Z25</f>
        <v>Select</v>
      </c>
      <c r="C83" s="248"/>
      <c r="D83" s="313" t="str">
        <f>'Data INPUT'!Z20</f>
        <v>Select</v>
      </c>
      <c r="E83" s="313"/>
      <c r="F83" s="314"/>
      <c r="G83" s="365" t="s">
        <v>72</v>
      </c>
      <c r="H83" s="366"/>
      <c r="I83" s="366"/>
      <c r="J83" s="366"/>
      <c r="K83" s="366"/>
      <c r="L83" s="367"/>
      <c r="M83" s="424"/>
    </row>
    <row r="84" spans="1:13" ht="15.75">
      <c r="A84" s="259" t="s">
        <v>74</v>
      </c>
      <c r="B84" s="260"/>
      <c r="C84" s="308" t="str">
        <f>'Data INPUT'!$B$12</f>
        <v>Select</v>
      </c>
      <c r="D84" s="308"/>
      <c r="E84" s="308"/>
      <c r="F84" s="309"/>
      <c r="G84" s="305" t="str">
        <f>'Data INPUT'!$B$8</f>
        <v xml:space="preserve"> </v>
      </c>
      <c r="H84" s="306"/>
      <c r="I84" s="306"/>
      <c r="J84" s="306"/>
      <c r="K84" s="306"/>
      <c r="L84" s="307"/>
      <c r="M84" s="424"/>
    </row>
    <row r="85" spans="1:13" ht="15.75">
      <c r="A85" s="232" t="s">
        <v>75</v>
      </c>
      <c r="B85" s="233"/>
      <c r="C85" s="310" t="str">
        <f>'Data INPUT'!Z23</f>
        <v>Select</v>
      </c>
      <c r="D85" s="311"/>
      <c r="E85" s="311"/>
      <c r="F85" s="312"/>
      <c r="G85" s="305" t="str">
        <f>'Data INPUT'!$B$9</f>
        <v xml:space="preserve"> </v>
      </c>
      <c r="H85" s="306"/>
      <c r="I85" s="306"/>
      <c r="J85" s="306"/>
      <c r="K85" s="306"/>
      <c r="L85" s="307"/>
      <c r="M85" s="424"/>
    </row>
    <row r="86" spans="1:13" ht="15.75">
      <c r="A86" s="270" t="s">
        <v>76</v>
      </c>
      <c r="B86" s="271"/>
      <c r="C86" s="276">
        <v>1</v>
      </c>
      <c r="D86" s="277"/>
      <c r="E86" s="277"/>
      <c r="F86" s="278"/>
      <c r="G86" s="285" t="str">
        <f>'Data INPUT'!$B$10</f>
        <v xml:space="preserve"> </v>
      </c>
      <c r="H86" s="286"/>
      <c r="I86" s="286"/>
      <c r="J86" s="286"/>
      <c r="K86" s="286"/>
      <c r="L86" s="287"/>
      <c r="M86" s="424"/>
    </row>
    <row r="87" spans="1:13" ht="15.75">
      <c r="A87" s="272"/>
      <c r="B87" s="273"/>
      <c r="C87" s="279"/>
      <c r="D87" s="280"/>
      <c r="E87" s="280"/>
      <c r="F87" s="281"/>
      <c r="G87" s="28" t="s">
        <v>77</v>
      </c>
      <c r="H87" s="29"/>
      <c r="I87" s="29"/>
      <c r="J87" s="288" t="str">
        <f>'Data INPUT'!$B$5</f>
        <v xml:space="preserve"> </v>
      </c>
      <c r="K87" s="288"/>
      <c r="L87" s="289"/>
      <c r="M87" s="424"/>
    </row>
    <row r="88" spans="1:13" ht="16.5" thickBot="1">
      <c r="A88" s="274"/>
      <c r="B88" s="275"/>
      <c r="C88" s="282"/>
      <c r="D88" s="283"/>
      <c r="E88" s="283"/>
      <c r="F88" s="284"/>
      <c r="G88" s="31" t="s">
        <v>78</v>
      </c>
      <c r="H88" s="32"/>
      <c r="I88" s="32"/>
      <c r="J88" s="290" t="str">
        <f>'Data INPUT'!$B$6</f>
        <v xml:space="preserve"> </v>
      </c>
      <c r="K88" s="290"/>
      <c r="L88" s="291"/>
      <c r="M88" s="424"/>
    </row>
    <row r="89" spans="1:13" ht="15.75">
      <c r="A89" s="292" t="s">
        <v>79</v>
      </c>
      <c r="B89" s="293"/>
      <c r="C89" s="296" t="str">
        <f>'Data INPUT'!$B$16</f>
        <v xml:space="preserve"> </v>
      </c>
      <c r="D89" s="297"/>
      <c r="E89" s="297"/>
      <c r="F89" s="297"/>
      <c r="G89" s="297"/>
      <c r="H89" s="297"/>
      <c r="I89" s="297"/>
      <c r="J89" s="297"/>
      <c r="K89" s="297"/>
      <c r="L89" s="298"/>
      <c r="M89" s="424"/>
    </row>
    <row r="90" spans="1:13" ht="15.75">
      <c r="A90" s="292"/>
      <c r="B90" s="293"/>
      <c r="C90" s="299" t="str">
        <f>'Data INPUT'!$B$17</f>
        <v xml:space="preserve"> </v>
      </c>
      <c r="D90" s="300"/>
      <c r="E90" s="300"/>
      <c r="F90" s="300"/>
      <c r="G90" s="300"/>
      <c r="H90" s="300"/>
      <c r="I90" s="300"/>
      <c r="J90" s="300"/>
      <c r="K90" s="300"/>
      <c r="L90" s="301"/>
      <c r="M90" s="424"/>
    </row>
    <row r="91" spans="1:13" ht="16.5" thickBot="1">
      <c r="A91" s="294"/>
      <c r="B91" s="295"/>
      <c r="C91" s="302" t="str">
        <f>'Data INPUT'!$B$18</f>
        <v xml:space="preserve"> </v>
      </c>
      <c r="D91" s="303"/>
      <c r="E91" s="303"/>
      <c r="F91" s="303"/>
      <c r="G91" s="303"/>
      <c r="H91" s="303"/>
      <c r="I91" s="303"/>
      <c r="J91" s="303"/>
      <c r="K91" s="303"/>
      <c r="L91" s="304"/>
      <c r="M91" s="424"/>
    </row>
    <row r="92" spans="1:13" ht="16.5" thickBot="1">
      <c r="A92" s="391" t="s">
        <v>80</v>
      </c>
      <c r="B92" s="392"/>
      <c r="C92" s="66" t="s">
        <v>42</v>
      </c>
      <c r="D92" s="66"/>
      <c r="E92" s="69" t="s">
        <v>43</v>
      </c>
      <c r="F92" s="66"/>
      <c r="G92" s="67"/>
      <c r="H92" s="275" t="s">
        <v>229</v>
      </c>
      <c r="I92" s="275"/>
      <c r="J92" s="275"/>
      <c r="K92" s="275"/>
      <c r="L92" s="393"/>
      <c r="M92" s="424"/>
    </row>
    <row r="93" spans="1:13" ht="15.75">
      <c r="A93" s="394" t="s">
        <v>81</v>
      </c>
      <c r="B93" s="395"/>
      <c r="C93" s="71" t="str">
        <f>'Data INPUT'!Z26</f>
        <v xml:space="preserve"> </v>
      </c>
      <c r="D93" s="72" t="s">
        <v>82</v>
      </c>
      <c r="E93" s="70" t="str">
        <f>'Data INPUT'!Z27</f>
        <v xml:space="preserve"> </v>
      </c>
      <c r="F93" s="73"/>
      <c r="G93" s="33"/>
      <c r="H93" s="396"/>
      <c r="I93" s="397"/>
      <c r="J93" s="397"/>
      <c r="K93" s="397"/>
      <c r="L93" s="398"/>
      <c r="M93" s="424"/>
    </row>
    <row r="94" spans="1:13" ht="16.5" thickBot="1">
      <c r="A94" s="34" t="s">
        <v>83</v>
      </c>
      <c r="B94" s="35" t="str">
        <f>E95</f>
        <v>(200mm x 400)</v>
      </c>
      <c r="C94" s="65" t="str">
        <f>C93</f>
        <v xml:space="preserve"> </v>
      </c>
      <c r="D94" s="37"/>
      <c r="E94" s="123"/>
      <c r="F94" s="124"/>
      <c r="G94" s="124"/>
      <c r="H94" s="399" t="s">
        <v>84</v>
      </c>
      <c r="I94" s="400"/>
      <c r="J94" s="400"/>
      <c r="K94" s="400"/>
      <c r="L94" s="401"/>
      <c r="M94" s="424"/>
    </row>
    <row r="95" spans="1:13" ht="16.5" thickBot="1">
      <c r="A95" s="39" t="s">
        <v>85</v>
      </c>
      <c r="B95" s="35" t="str">
        <f>'Data INPUT'!Z28</f>
        <v>Select</v>
      </c>
      <c r="C95" s="68" t="str">
        <f>'Data INPUT'!Z28</f>
        <v>Select</v>
      </c>
      <c r="D95" s="126"/>
      <c r="E95" s="430" t="s">
        <v>233</v>
      </c>
      <c r="F95" s="431"/>
      <c r="G95" s="432"/>
      <c r="H95" s="268" t="s">
        <v>33</v>
      </c>
      <c r="I95" s="268"/>
      <c r="J95" s="268"/>
      <c r="K95" s="268"/>
      <c r="L95" s="269"/>
      <c r="M95" s="424"/>
    </row>
    <row r="96" spans="1:13" ht="16.5" thickBot="1">
      <c r="A96" s="40" t="s">
        <v>86</v>
      </c>
      <c r="B96" s="41" t="s">
        <v>124</v>
      </c>
      <c r="C96" s="72" t="e">
        <f>E93-C95+10</f>
        <v>#VALUE!</v>
      </c>
      <c r="D96" s="42" t="s">
        <v>82</v>
      </c>
      <c r="E96" s="70">
        <v>100</v>
      </c>
      <c r="F96" s="72" t="s">
        <v>82</v>
      </c>
      <c r="G96" s="72">
        <v>53</v>
      </c>
      <c r="H96" s="373"/>
      <c r="I96" s="374"/>
      <c r="J96" s="374"/>
      <c r="K96" s="374"/>
      <c r="L96" s="375"/>
      <c r="M96" s="424"/>
    </row>
    <row r="97" spans="1:13" ht="16.5" thickBot="1">
      <c r="A97" s="118" t="s">
        <v>87</v>
      </c>
      <c r="B97" s="119" t="s">
        <v>170</v>
      </c>
      <c r="C97" s="81" t="e">
        <f>D98</f>
        <v>#VALUE!</v>
      </c>
      <c r="D97" s="52" t="s">
        <v>82</v>
      </c>
      <c r="E97" s="79" t="str">
        <f>C98</f>
        <v>Select</v>
      </c>
      <c r="F97" s="79"/>
      <c r="G97" s="128"/>
      <c r="H97" s="376" t="s">
        <v>120</v>
      </c>
      <c r="I97" s="377"/>
      <c r="J97" s="377"/>
      <c r="K97" s="377"/>
      <c r="L97" s="378"/>
      <c r="M97" s="424"/>
    </row>
    <row r="98" spans="1:13" ht="16.5" thickBot="1">
      <c r="A98" s="120" t="s">
        <v>90</v>
      </c>
      <c r="B98" s="121" t="s">
        <v>82</v>
      </c>
      <c r="C98" s="122" t="str">
        <f>'Data INPUT'!Z32</f>
        <v>Select</v>
      </c>
      <c r="D98" s="433" t="e">
        <f>(C93+(2*B102)-360)/2</f>
        <v>#VALUE!</v>
      </c>
      <c r="E98" s="433"/>
      <c r="F98" s="433"/>
      <c r="G98" s="434"/>
      <c r="H98" s="379"/>
      <c r="I98" s="380"/>
      <c r="J98" s="380"/>
      <c r="K98" s="380"/>
      <c r="L98" s="381"/>
      <c r="M98" s="424"/>
    </row>
    <row r="99" spans="1:13" ht="15.75">
      <c r="A99" s="382" t="s">
        <v>91</v>
      </c>
      <c r="B99" s="383"/>
      <c r="C99" s="52" t="e">
        <f>C93-230</f>
        <v>#VALUE!</v>
      </c>
      <c r="D99" s="384" t="s">
        <v>33</v>
      </c>
      <c r="E99" s="384"/>
      <c r="F99" s="384"/>
      <c r="G99" s="385"/>
      <c r="H99" s="386" t="s">
        <v>92</v>
      </c>
      <c r="I99" s="366"/>
      <c r="J99" s="366"/>
      <c r="K99" s="366"/>
      <c r="L99" s="367"/>
      <c r="M99" s="424"/>
    </row>
    <row r="100" spans="1:13" ht="16.5" thickBot="1">
      <c r="A100" s="387" t="s">
        <v>171</v>
      </c>
      <c r="B100" s="388"/>
      <c r="C100" s="37" t="e">
        <f>C99</f>
        <v>#VALUE!</v>
      </c>
      <c r="D100" s="389" t="s">
        <v>303</v>
      </c>
      <c r="E100" s="389"/>
      <c r="F100" s="389"/>
      <c r="G100" s="390"/>
      <c r="H100" s="373"/>
      <c r="I100" s="374"/>
      <c r="J100" s="374"/>
      <c r="K100" s="374"/>
      <c r="L100" s="375"/>
      <c r="M100" s="424"/>
    </row>
    <row r="101" spans="1:13" ht="16.5" thickBot="1">
      <c r="A101" s="435" t="s">
        <v>73</v>
      </c>
      <c r="B101" s="436"/>
      <c r="C101" s="52" t="e">
        <f>((C93-100)/2)+B102</f>
        <v>#VALUE!</v>
      </c>
      <c r="D101" s="52" t="s">
        <v>82</v>
      </c>
      <c r="E101" s="52" t="e">
        <f>E93+300</f>
        <v>#VALUE!</v>
      </c>
      <c r="F101" s="52" t="s">
        <v>82</v>
      </c>
      <c r="G101" s="80" t="str">
        <f>C98</f>
        <v>Select</v>
      </c>
      <c r="H101" s="351" t="s">
        <v>93</v>
      </c>
      <c r="I101" s="352"/>
      <c r="J101" s="352"/>
      <c r="K101" s="352"/>
      <c r="L101" s="353"/>
      <c r="M101" s="424"/>
    </row>
    <row r="102" spans="1:13" ht="16.5" thickBot="1">
      <c r="A102" s="125" t="s">
        <v>242</v>
      </c>
      <c r="B102" s="127" t="str">
        <f>'Data INPUT'!Z22</f>
        <v>Select</v>
      </c>
      <c r="C102" s="437" t="s">
        <v>136</v>
      </c>
      <c r="D102" s="437"/>
      <c r="E102" s="437"/>
      <c r="F102" s="437"/>
      <c r="G102" s="438"/>
      <c r="H102" s="357" t="s">
        <v>94</v>
      </c>
      <c r="I102" s="358"/>
      <c r="J102" s="358"/>
      <c r="K102" s="358"/>
      <c r="L102" s="359"/>
      <c r="M102" s="424"/>
    </row>
    <row r="103" spans="1:13" ht="16.5" thickBot="1">
      <c r="A103" s="360" t="s">
        <v>95</v>
      </c>
      <c r="B103" s="361"/>
      <c r="C103" s="55" t="s">
        <v>33</v>
      </c>
      <c r="D103" s="75" t="s">
        <v>96</v>
      </c>
      <c r="E103" s="75" t="s">
        <v>33</v>
      </c>
      <c r="F103" s="75" t="s">
        <v>97</v>
      </c>
      <c r="G103" s="56" t="s">
        <v>33</v>
      </c>
      <c r="H103" s="368" t="s">
        <v>140</v>
      </c>
      <c r="I103" s="369"/>
      <c r="J103" s="369"/>
      <c r="K103" s="57">
        <v>300</v>
      </c>
      <c r="L103" s="144" t="s">
        <v>98</v>
      </c>
      <c r="M103" s="424"/>
    </row>
    <row r="104" spans="1:13" ht="15.75">
      <c r="A104" s="345" t="s">
        <v>99</v>
      </c>
      <c r="B104" s="346"/>
      <c r="C104" s="405"/>
      <c r="D104" s="384"/>
      <c r="E104" s="384"/>
      <c r="F104" s="384"/>
      <c r="G104" s="385"/>
      <c r="H104" s="27" t="s">
        <v>100</v>
      </c>
      <c r="I104" s="265"/>
      <c r="J104" s="265"/>
      <c r="K104" s="265"/>
      <c r="L104" s="266"/>
      <c r="M104" s="424"/>
    </row>
    <row r="105" spans="1:13" ht="16.5" thickBot="1">
      <c r="A105" s="274" t="s">
        <v>62</v>
      </c>
      <c r="B105" s="347"/>
      <c r="C105" s="322" t="s">
        <v>33</v>
      </c>
      <c r="D105" s="323"/>
      <c r="E105" s="323"/>
      <c r="F105" s="323"/>
      <c r="G105" s="324"/>
      <c r="H105" s="32"/>
      <c r="I105" s="320"/>
      <c r="J105" s="320"/>
      <c r="K105" s="320"/>
      <c r="L105" s="321"/>
      <c r="M105" s="424"/>
    </row>
    <row r="106" spans="1:13" ht="16.5" thickBot="1">
      <c r="A106" s="348" t="s">
        <v>101</v>
      </c>
      <c r="B106" s="349"/>
      <c r="C106" s="76" t="str">
        <f>'Data INPUT'!Z35</f>
        <v>CSV x 2</v>
      </c>
      <c r="D106" s="72" t="s">
        <v>33</v>
      </c>
      <c r="E106" s="306" t="s">
        <v>33</v>
      </c>
      <c r="F106" s="306"/>
      <c r="G106" s="350"/>
      <c r="H106" s="32" t="s">
        <v>100</v>
      </c>
      <c r="I106" s="58"/>
      <c r="J106" s="58"/>
      <c r="K106" s="58"/>
      <c r="L106" s="94"/>
      <c r="M106" s="424"/>
    </row>
    <row r="107" spans="1:13" ht="15.75">
      <c r="A107" s="342" t="s">
        <v>137</v>
      </c>
      <c r="B107" s="343"/>
      <c r="C107" s="343"/>
      <c r="D107" s="343"/>
      <c r="E107" s="343"/>
      <c r="F107" s="343"/>
      <c r="G107" s="343"/>
      <c r="H107" s="26" t="s">
        <v>102</v>
      </c>
      <c r="I107" s="59"/>
      <c r="J107" s="24"/>
      <c r="K107" s="24"/>
      <c r="L107" s="145">
        <f>'Data INPUT'!Z42</f>
        <v>1</v>
      </c>
      <c r="M107" s="424"/>
    </row>
    <row r="108" spans="1:13" ht="15.75">
      <c r="A108" s="335" t="s">
        <v>65</v>
      </c>
      <c r="B108" s="336"/>
      <c r="C108" s="330">
        <f>'Data INPUT'!D115</f>
        <v>0</v>
      </c>
      <c r="D108" s="331"/>
      <c r="E108" s="331"/>
      <c r="F108" s="331"/>
      <c r="G108" s="332"/>
      <c r="H108" s="333" t="s">
        <v>103</v>
      </c>
      <c r="I108" s="235"/>
      <c r="J108" s="235"/>
      <c r="K108" s="334"/>
      <c r="L108" s="146">
        <f>'Data INPUT'!Z43</f>
        <v>0</v>
      </c>
      <c r="M108" s="424"/>
    </row>
    <row r="109" spans="1:13" ht="15.75">
      <c r="A109" s="327" t="s">
        <v>104</v>
      </c>
      <c r="B109" s="329"/>
      <c r="C109" s="330">
        <f>'Data INPUT'!D116</f>
        <v>0</v>
      </c>
      <c r="D109" s="331"/>
      <c r="E109" s="331"/>
      <c r="F109" s="331"/>
      <c r="G109" s="332"/>
      <c r="H109" s="333" t="s">
        <v>105</v>
      </c>
      <c r="I109" s="235"/>
      <c r="J109" s="235"/>
      <c r="K109" s="334"/>
      <c r="L109" s="146">
        <f>'Data INPUT'!Z44</f>
        <v>0</v>
      </c>
      <c r="M109" s="424"/>
    </row>
    <row r="110" spans="1:13" ht="15.75">
      <c r="A110" s="327" t="s">
        <v>106</v>
      </c>
      <c r="B110" s="329"/>
      <c r="C110" s="330">
        <f>'Data INPUT'!D117</f>
        <v>0</v>
      </c>
      <c r="D110" s="331"/>
      <c r="E110" s="331"/>
      <c r="F110" s="331"/>
      <c r="G110" s="332"/>
      <c r="H110" s="333" t="s">
        <v>107</v>
      </c>
      <c r="I110" s="235"/>
      <c r="J110" s="235"/>
      <c r="K110" s="334"/>
      <c r="L110" s="146">
        <f>'Data INPUT'!Z45</f>
        <v>0</v>
      </c>
      <c r="M110" s="424"/>
    </row>
    <row r="111" spans="1:13" ht="15.75">
      <c r="A111" s="335" t="s">
        <v>108</v>
      </c>
      <c r="B111" s="336"/>
      <c r="C111" s="330">
        <f>'Data INPUT'!D118</f>
        <v>0</v>
      </c>
      <c r="D111" s="331"/>
      <c r="E111" s="331"/>
      <c r="F111" s="331"/>
      <c r="G111" s="332"/>
      <c r="H111" s="60" t="s">
        <v>109</v>
      </c>
      <c r="I111" s="62"/>
      <c r="J111" s="25"/>
      <c r="K111" s="25"/>
      <c r="L111" s="146">
        <f>'Data INPUT'!Z46</f>
        <v>0</v>
      </c>
      <c r="M111" s="424"/>
    </row>
    <row r="112" spans="1:13" ht="15.75">
      <c r="A112" s="327" t="s">
        <v>110</v>
      </c>
      <c r="B112" s="329"/>
      <c r="C112" s="330">
        <f>'Data INPUT'!D119</f>
        <v>0</v>
      </c>
      <c r="D112" s="331"/>
      <c r="E112" s="331"/>
      <c r="F112" s="331"/>
      <c r="G112" s="332"/>
      <c r="H112" s="60" t="s">
        <v>111</v>
      </c>
      <c r="I112" s="25"/>
      <c r="J112" s="25"/>
      <c r="K112" s="61"/>
      <c r="L112" s="146">
        <f>'Data INPUT'!Z47</f>
        <v>0</v>
      </c>
      <c r="M112" s="424"/>
    </row>
    <row r="113" spans="1:13" ht="15.75" customHeight="1">
      <c r="A113" s="406" t="s">
        <v>112</v>
      </c>
      <c r="B113" s="407"/>
      <c r="C113" s="148"/>
      <c r="D113" s="148"/>
      <c r="E113" s="148"/>
      <c r="F113" s="408" t="s">
        <v>115</v>
      </c>
      <c r="G113" s="409"/>
      <c r="H113" s="60" t="s">
        <v>113</v>
      </c>
      <c r="I113" s="62"/>
      <c r="J113" s="25"/>
      <c r="K113" s="25"/>
      <c r="L113" s="146">
        <f>'Data INPUT'!Z48</f>
        <v>0</v>
      </c>
      <c r="M113" s="424"/>
    </row>
    <row r="114" spans="1:13" ht="15.75" customHeight="1">
      <c r="A114" s="327" t="s">
        <v>114</v>
      </c>
      <c r="B114" s="328"/>
      <c r="C114" s="328"/>
      <c r="D114" s="87"/>
      <c r="E114" s="87" t="s">
        <v>33</v>
      </c>
      <c r="F114" s="88" t="s">
        <v>33</v>
      </c>
      <c r="G114" s="89" t="s">
        <v>33</v>
      </c>
      <c r="H114" s="325"/>
      <c r="I114" s="326"/>
      <c r="J114" s="326"/>
      <c r="K114" s="74"/>
      <c r="L114" s="146" t="s">
        <v>33</v>
      </c>
      <c r="M114" s="424"/>
    </row>
    <row r="115" spans="1:13" ht="15.75" customHeight="1">
      <c r="A115" s="327" t="s">
        <v>116</v>
      </c>
      <c r="B115" s="328"/>
      <c r="C115" s="328"/>
      <c r="D115" s="328"/>
      <c r="E115" s="329"/>
      <c r="F115" s="88" t="s">
        <v>33</v>
      </c>
      <c r="G115" s="89"/>
      <c r="H115" s="60"/>
      <c r="I115" s="62"/>
      <c r="J115" s="25"/>
      <c r="K115" s="25"/>
      <c r="L115" s="146" t="s">
        <v>33</v>
      </c>
      <c r="M115" s="424"/>
    </row>
    <row r="116" spans="1:13" ht="16.5" customHeight="1" thickBot="1">
      <c r="A116" s="337" t="s">
        <v>117</v>
      </c>
      <c r="B116" s="362"/>
      <c r="C116" s="362"/>
      <c r="D116" s="362"/>
      <c r="E116" s="338"/>
      <c r="F116" s="90" t="s">
        <v>33</v>
      </c>
      <c r="G116" s="91"/>
      <c r="H116" s="363"/>
      <c r="I116" s="364"/>
      <c r="J116" s="364"/>
      <c r="K116" s="364"/>
      <c r="L116" s="147" t="s">
        <v>33</v>
      </c>
      <c r="M116" s="424"/>
    </row>
    <row r="117" spans="1:13" ht="49.5" customHeight="1" thickBot="1">
      <c r="A117" s="92" t="s">
        <v>118</v>
      </c>
      <c r="B117" s="93"/>
      <c r="C117" s="77" t="s">
        <v>119</v>
      </c>
      <c r="D117" s="82"/>
      <c r="E117" s="83"/>
      <c r="F117" s="84"/>
      <c r="G117" s="85"/>
      <c r="H117" s="402"/>
      <c r="I117" s="403"/>
      <c r="J117" s="403"/>
      <c r="K117" s="403"/>
      <c r="L117" s="404"/>
      <c r="M117" s="425"/>
    </row>
    <row r="118" spans="1:13" ht="16.5" thickBot="1">
      <c r="A118" s="251" t="s">
        <v>69</v>
      </c>
      <c r="B118" s="252"/>
      <c r="C118" s="253">
        <f ca="1">'Data INPUT'!$B$13</f>
        <v>46222</v>
      </c>
      <c r="D118" s="254"/>
      <c r="E118" s="254"/>
      <c r="F118" s="254"/>
      <c r="G118" s="255" t="s">
        <v>7</v>
      </c>
      <c r="H118" s="255"/>
      <c r="I118" s="255"/>
      <c r="J118" s="256" t="str">
        <f>'Data INPUT'!$B$14</f>
        <v xml:space="preserve"> </v>
      </c>
      <c r="K118" s="257"/>
      <c r="L118" s="258"/>
      <c r="M118" s="420" t="s">
        <v>145</v>
      </c>
    </row>
    <row r="119" spans="1:13" ht="15.75">
      <c r="A119" s="259" t="s">
        <v>70</v>
      </c>
      <c r="B119" s="260"/>
      <c r="C119" s="261" t="str">
        <f>'Data INPUT'!$B$4</f>
        <v xml:space="preserve"> </v>
      </c>
      <c r="D119" s="262"/>
      <c r="E119" s="262"/>
      <c r="F119" s="262"/>
      <c r="G119" s="262"/>
      <c r="H119" s="262"/>
      <c r="I119" s="263"/>
      <c r="J119" s="264" t="str">
        <f>'Data INPUT'!AA19</f>
        <v xml:space="preserve"> </v>
      </c>
      <c r="K119" s="265"/>
      <c r="L119" s="266"/>
      <c r="M119" s="421"/>
    </row>
    <row r="120" spans="1:13" ht="15.75">
      <c r="A120" s="232" t="s">
        <v>71</v>
      </c>
      <c r="B120" s="233"/>
      <c r="C120" s="234" t="str">
        <f>'Data INPUT'!$B$2</f>
        <v xml:space="preserve"> </v>
      </c>
      <c r="D120" s="235"/>
      <c r="E120" s="235"/>
      <c r="F120" s="235"/>
      <c r="G120" s="235"/>
      <c r="H120" s="235"/>
      <c r="I120" s="236"/>
      <c r="J120" s="237" t="str">
        <f>'Data INPUT'!AA24</f>
        <v xml:space="preserve"> </v>
      </c>
      <c r="K120" s="238"/>
      <c r="L120" s="239"/>
      <c r="M120" s="421"/>
    </row>
    <row r="121" spans="1:13" ht="16.5" thickBot="1">
      <c r="A121" s="240" t="s">
        <v>0</v>
      </c>
      <c r="B121" s="241"/>
      <c r="C121" s="242" t="str">
        <f>'Data INPUT'!$B$3</f>
        <v xml:space="preserve"> </v>
      </c>
      <c r="D121" s="243"/>
      <c r="E121" s="243"/>
      <c r="F121" s="243"/>
      <c r="G121" s="243"/>
      <c r="H121" s="243"/>
      <c r="I121" s="244"/>
      <c r="J121" s="317" t="str">
        <f>'Data INPUT'!AA18</f>
        <v>Curtain 4</v>
      </c>
      <c r="K121" s="318"/>
      <c r="L121" s="319"/>
      <c r="M121" s="421"/>
    </row>
    <row r="122" spans="1:13" ht="16.5" thickBot="1">
      <c r="A122" s="78" t="str">
        <f>'Data INPUT'!AA21</f>
        <v>Select</v>
      </c>
      <c r="B122" s="247" t="str">
        <f>'Data INPUT'!AA25</f>
        <v>Select</v>
      </c>
      <c r="C122" s="248"/>
      <c r="D122" s="313" t="str">
        <f>'Data INPUT'!AA20</f>
        <v>Select</v>
      </c>
      <c r="E122" s="313"/>
      <c r="F122" s="314"/>
      <c r="G122" s="365" t="s">
        <v>72</v>
      </c>
      <c r="H122" s="366"/>
      <c r="I122" s="366"/>
      <c r="J122" s="366"/>
      <c r="K122" s="366"/>
      <c r="L122" s="367"/>
      <c r="M122" s="421"/>
    </row>
    <row r="123" spans="1:13" ht="15.75">
      <c r="A123" s="259" t="s">
        <v>74</v>
      </c>
      <c r="B123" s="260"/>
      <c r="C123" s="308" t="str">
        <f>'Data INPUT'!$B$12</f>
        <v>Select</v>
      </c>
      <c r="D123" s="308"/>
      <c r="E123" s="308"/>
      <c r="F123" s="309"/>
      <c r="G123" s="305" t="str">
        <f>'Data INPUT'!$B$8</f>
        <v xml:space="preserve"> </v>
      </c>
      <c r="H123" s="306"/>
      <c r="I123" s="306"/>
      <c r="J123" s="306"/>
      <c r="K123" s="306"/>
      <c r="L123" s="307"/>
      <c r="M123" s="421"/>
    </row>
    <row r="124" spans="1:13" ht="15.75">
      <c r="A124" s="232" t="s">
        <v>75</v>
      </c>
      <c r="B124" s="233"/>
      <c r="C124" s="310" t="str">
        <f>'Data INPUT'!AA23</f>
        <v>Select</v>
      </c>
      <c r="D124" s="311"/>
      <c r="E124" s="311"/>
      <c r="F124" s="312"/>
      <c r="G124" s="305" t="str">
        <f>'Data INPUT'!$B$9</f>
        <v xml:space="preserve"> </v>
      </c>
      <c r="H124" s="306"/>
      <c r="I124" s="306"/>
      <c r="J124" s="306"/>
      <c r="K124" s="306"/>
      <c r="L124" s="307"/>
      <c r="M124" s="421"/>
    </row>
    <row r="125" spans="1:13" ht="15.75">
      <c r="A125" s="270" t="s">
        <v>76</v>
      </c>
      <c r="B125" s="271"/>
      <c r="C125" s="276">
        <v>1</v>
      </c>
      <c r="D125" s="277"/>
      <c r="E125" s="277"/>
      <c r="F125" s="278"/>
      <c r="G125" s="285" t="str">
        <f>'Data INPUT'!$B$10</f>
        <v xml:space="preserve"> </v>
      </c>
      <c r="H125" s="286"/>
      <c r="I125" s="286"/>
      <c r="J125" s="286"/>
      <c r="K125" s="286"/>
      <c r="L125" s="287"/>
      <c r="M125" s="421"/>
    </row>
    <row r="126" spans="1:13" ht="15.75">
      <c r="A126" s="272"/>
      <c r="B126" s="273"/>
      <c r="C126" s="279"/>
      <c r="D126" s="280"/>
      <c r="E126" s="280"/>
      <c r="F126" s="281"/>
      <c r="G126" s="28" t="s">
        <v>77</v>
      </c>
      <c r="H126" s="29"/>
      <c r="I126" s="29"/>
      <c r="J126" s="288" t="str">
        <f>'Data INPUT'!$B$5</f>
        <v xml:space="preserve"> </v>
      </c>
      <c r="K126" s="288"/>
      <c r="L126" s="289"/>
      <c r="M126" s="421"/>
    </row>
    <row r="127" spans="1:13" ht="16.5" thickBot="1">
      <c r="A127" s="274"/>
      <c r="B127" s="275"/>
      <c r="C127" s="282"/>
      <c r="D127" s="283"/>
      <c r="E127" s="283"/>
      <c r="F127" s="284"/>
      <c r="G127" s="31" t="s">
        <v>78</v>
      </c>
      <c r="H127" s="32"/>
      <c r="I127" s="32"/>
      <c r="J127" s="290" t="str">
        <f>'Data INPUT'!$B$6</f>
        <v xml:space="preserve"> </v>
      </c>
      <c r="K127" s="290"/>
      <c r="L127" s="291"/>
      <c r="M127" s="421"/>
    </row>
    <row r="128" spans="1:13" ht="15.75">
      <c r="A128" s="292" t="s">
        <v>79</v>
      </c>
      <c r="B128" s="293"/>
      <c r="C128" s="296" t="str">
        <f>'Data INPUT'!$B$16</f>
        <v xml:space="preserve"> </v>
      </c>
      <c r="D128" s="297"/>
      <c r="E128" s="297"/>
      <c r="F128" s="297"/>
      <c r="G128" s="297"/>
      <c r="H128" s="297"/>
      <c r="I128" s="297"/>
      <c r="J128" s="297"/>
      <c r="K128" s="297"/>
      <c r="L128" s="298"/>
      <c r="M128" s="421"/>
    </row>
    <row r="129" spans="1:13" ht="15.75">
      <c r="A129" s="292"/>
      <c r="B129" s="293"/>
      <c r="C129" s="299" t="str">
        <f>'Data INPUT'!$B$17</f>
        <v xml:space="preserve"> </v>
      </c>
      <c r="D129" s="300"/>
      <c r="E129" s="300"/>
      <c r="F129" s="300"/>
      <c r="G129" s="300"/>
      <c r="H129" s="300"/>
      <c r="I129" s="300"/>
      <c r="J129" s="300"/>
      <c r="K129" s="300"/>
      <c r="L129" s="301"/>
      <c r="M129" s="421"/>
    </row>
    <row r="130" spans="1:13" ht="16.5" thickBot="1">
      <c r="A130" s="294"/>
      <c r="B130" s="295"/>
      <c r="C130" s="302" t="str">
        <f>'Data INPUT'!$B$18</f>
        <v xml:space="preserve"> </v>
      </c>
      <c r="D130" s="303"/>
      <c r="E130" s="303"/>
      <c r="F130" s="303"/>
      <c r="G130" s="303"/>
      <c r="H130" s="303"/>
      <c r="I130" s="303"/>
      <c r="J130" s="303"/>
      <c r="K130" s="303"/>
      <c r="L130" s="304"/>
      <c r="M130" s="421"/>
    </row>
    <row r="131" spans="1:13" ht="16.5" thickBot="1">
      <c r="A131" s="391" t="s">
        <v>80</v>
      </c>
      <c r="B131" s="392"/>
      <c r="C131" s="66" t="s">
        <v>42</v>
      </c>
      <c r="D131" s="66"/>
      <c r="E131" s="69" t="s">
        <v>43</v>
      </c>
      <c r="F131" s="66"/>
      <c r="G131" s="67"/>
      <c r="H131" s="275" t="s">
        <v>229</v>
      </c>
      <c r="I131" s="275"/>
      <c r="J131" s="275"/>
      <c r="K131" s="275"/>
      <c r="L131" s="393"/>
      <c r="M131" s="421"/>
    </row>
    <row r="132" spans="1:13" ht="15.75">
      <c r="A132" s="394" t="s">
        <v>81</v>
      </c>
      <c r="B132" s="395"/>
      <c r="C132" s="71" t="str">
        <f>'Data INPUT'!AA26</f>
        <v xml:space="preserve"> </v>
      </c>
      <c r="D132" s="72" t="s">
        <v>82</v>
      </c>
      <c r="E132" s="70" t="str">
        <f>'Data INPUT'!AA27</f>
        <v xml:space="preserve"> </v>
      </c>
      <c r="F132" s="73"/>
      <c r="G132" s="33"/>
      <c r="H132" s="396"/>
      <c r="I132" s="397"/>
      <c r="J132" s="397"/>
      <c r="K132" s="397"/>
      <c r="L132" s="398"/>
      <c r="M132" s="421"/>
    </row>
    <row r="133" spans="1:13" ht="16.5" thickBot="1">
      <c r="A133" s="34" t="s">
        <v>83</v>
      </c>
      <c r="B133" s="35" t="str">
        <f>E134</f>
        <v>(200mm x 400)</v>
      </c>
      <c r="C133" s="65" t="str">
        <f>C132</f>
        <v xml:space="preserve"> </v>
      </c>
      <c r="D133" s="37"/>
      <c r="E133" s="123"/>
      <c r="F133" s="124"/>
      <c r="G133" s="124"/>
      <c r="H133" s="399" t="s">
        <v>84</v>
      </c>
      <c r="I133" s="400"/>
      <c r="J133" s="400"/>
      <c r="K133" s="400"/>
      <c r="L133" s="401"/>
      <c r="M133" s="421"/>
    </row>
    <row r="134" spans="1:13" ht="16.5" thickBot="1">
      <c r="A134" s="39" t="s">
        <v>85</v>
      </c>
      <c r="B134" s="35" t="str">
        <f>'Data INPUT'!AA28</f>
        <v>Select</v>
      </c>
      <c r="C134" s="68" t="str">
        <f>'Data INPUT'!AA28</f>
        <v>Select</v>
      </c>
      <c r="D134" s="126"/>
      <c r="E134" s="430" t="s">
        <v>233</v>
      </c>
      <c r="F134" s="431"/>
      <c r="G134" s="432"/>
      <c r="H134" s="268" t="s">
        <v>33</v>
      </c>
      <c r="I134" s="268"/>
      <c r="J134" s="268"/>
      <c r="K134" s="268"/>
      <c r="L134" s="269"/>
      <c r="M134" s="421"/>
    </row>
    <row r="135" spans="1:13" ht="16.5" thickBot="1">
      <c r="A135" s="40" t="s">
        <v>86</v>
      </c>
      <c r="B135" s="41" t="s">
        <v>124</v>
      </c>
      <c r="C135" s="72" t="e">
        <f>E132-C134+10</f>
        <v>#VALUE!</v>
      </c>
      <c r="D135" s="42" t="s">
        <v>82</v>
      </c>
      <c r="E135" s="70">
        <v>100</v>
      </c>
      <c r="F135" s="72" t="s">
        <v>82</v>
      </c>
      <c r="G135" s="72">
        <v>53</v>
      </c>
      <c r="H135" s="373"/>
      <c r="I135" s="374"/>
      <c r="J135" s="374"/>
      <c r="K135" s="374"/>
      <c r="L135" s="375"/>
      <c r="M135" s="421"/>
    </row>
    <row r="136" spans="1:13" ht="16.5" thickBot="1">
      <c r="A136" s="118" t="s">
        <v>87</v>
      </c>
      <c r="B136" s="119" t="s">
        <v>170</v>
      </c>
      <c r="C136" s="81" t="e">
        <f>D137</f>
        <v>#VALUE!</v>
      </c>
      <c r="D136" s="52" t="s">
        <v>82</v>
      </c>
      <c r="E136" s="79" t="str">
        <f>C137</f>
        <v>Select</v>
      </c>
      <c r="F136" s="79"/>
      <c r="G136" s="128"/>
      <c r="H136" s="376" t="s">
        <v>120</v>
      </c>
      <c r="I136" s="377"/>
      <c r="J136" s="377"/>
      <c r="K136" s="377"/>
      <c r="L136" s="378"/>
      <c r="M136" s="421"/>
    </row>
    <row r="137" spans="1:13" ht="16.5" thickBot="1">
      <c r="A137" s="120" t="s">
        <v>90</v>
      </c>
      <c r="B137" s="121" t="s">
        <v>82</v>
      </c>
      <c r="C137" s="122" t="str">
        <f>'Data INPUT'!AA32</f>
        <v>Select</v>
      </c>
      <c r="D137" s="433" t="e">
        <f>(C132+(2*B141)-360)/2</f>
        <v>#VALUE!</v>
      </c>
      <c r="E137" s="433"/>
      <c r="F137" s="433"/>
      <c r="G137" s="434"/>
      <c r="H137" s="379"/>
      <c r="I137" s="380"/>
      <c r="J137" s="380"/>
      <c r="K137" s="380"/>
      <c r="L137" s="381"/>
      <c r="M137" s="421"/>
    </row>
    <row r="138" spans="1:13" ht="15.75">
      <c r="A138" s="382" t="s">
        <v>91</v>
      </c>
      <c r="B138" s="383"/>
      <c r="C138" s="52" t="e">
        <f>C132-230</f>
        <v>#VALUE!</v>
      </c>
      <c r="D138" s="384" t="s">
        <v>33</v>
      </c>
      <c r="E138" s="384"/>
      <c r="F138" s="384"/>
      <c r="G138" s="385"/>
      <c r="H138" s="386" t="s">
        <v>92</v>
      </c>
      <c r="I138" s="366"/>
      <c r="J138" s="366"/>
      <c r="K138" s="366"/>
      <c r="L138" s="367"/>
      <c r="M138" s="421"/>
    </row>
    <row r="139" spans="1:13" ht="16.5" thickBot="1">
      <c r="A139" s="387" t="s">
        <v>171</v>
      </c>
      <c r="B139" s="388"/>
      <c r="C139" s="37" t="e">
        <f>C138</f>
        <v>#VALUE!</v>
      </c>
      <c r="D139" s="389" t="s">
        <v>303</v>
      </c>
      <c r="E139" s="389"/>
      <c r="F139" s="389"/>
      <c r="G139" s="390"/>
      <c r="H139" s="373"/>
      <c r="I139" s="374"/>
      <c r="J139" s="374"/>
      <c r="K139" s="374"/>
      <c r="L139" s="375"/>
      <c r="M139" s="421"/>
    </row>
    <row r="140" spans="1:13" ht="16.5" thickBot="1">
      <c r="A140" s="435" t="s">
        <v>73</v>
      </c>
      <c r="B140" s="436"/>
      <c r="C140" s="52" t="e">
        <f>((C132-100)/2)+B141</f>
        <v>#VALUE!</v>
      </c>
      <c r="D140" s="52" t="s">
        <v>82</v>
      </c>
      <c r="E140" s="52" t="e">
        <f>E132+300</f>
        <v>#VALUE!</v>
      </c>
      <c r="F140" s="52" t="s">
        <v>82</v>
      </c>
      <c r="G140" s="80" t="str">
        <f>C137</f>
        <v>Select</v>
      </c>
      <c r="H140" s="351" t="s">
        <v>93</v>
      </c>
      <c r="I140" s="352"/>
      <c r="J140" s="352"/>
      <c r="K140" s="352"/>
      <c r="L140" s="353"/>
      <c r="M140" s="421"/>
    </row>
    <row r="141" spans="1:13" ht="16.5" thickBot="1">
      <c r="A141" s="125" t="s">
        <v>242</v>
      </c>
      <c r="B141" s="127" t="str">
        <f>'Data INPUT'!AA22</f>
        <v>Select</v>
      </c>
      <c r="C141" s="437" t="s">
        <v>136</v>
      </c>
      <c r="D141" s="437"/>
      <c r="E141" s="437"/>
      <c r="F141" s="437"/>
      <c r="G141" s="438"/>
      <c r="H141" s="357" t="s">
        <v>94</v>
      </c>
      <c r="I141" s="358"/>
      <c r="J141" s="358"/>
      <c r="K141" s="358"/>
      <c r="L141" s="359"/>
      <c r="M141" s="421"/>
    </row>
    <row r="142" spans="1:13" ht="16.5" thickBot="1">
      <c r="A142" s="360" t="s">
        <v>95</v>
      </c>
      <c r="B142" s="361"/>
      <c r="C142" s="55" t="s">
        <v>33</v>
      </c>
      <c r="D142" s="75" t="s">
        <v>96</v>
      </c>
      <c r="E142" s="75" t="s">
        <v>33</v>
      </c>
      <c r="F142" s="75" t="s">
        <v>97</v>
      </c>
      <c r="G142" s="56" t="s">
        <v>33</v>
      </c>
      <c r="H142" s="368" t="s">
        <v>140</v>
      </c>
      <c r="I142" s="369"/>
      <c r="J142" s="369"/>
      <c r="K142" s="57">
        <v>300</v>
      </c>
      <c r="L142" s="144" t="s">
        <v>98</v>
      </c>
      <c r="M142" s="421"/>
    </row>
    <row r="143" spans="1:13" ht="15.75">
      <c r="A143" s="345" t="s">
        <v>99</v>
      </c>
      <c r="B143" s="346"/>
      <c r="C143" s="405"/>
      <c r="D143" s="384"/>
      <c r="E143" s="384"/>
      <c r="F143" s="384"/>
      <c r="G143" s="385"/>
      <c r="H143" s="27" t="s">
        <v>100</v>
      </c>
      <c r="I143" s="265"/>
      <c r="J143" s="265"/>
      <c r="K143" s="265"/>
      <c r="L143" s="266"/>
      <c r="M143" s="421"/>
    </row>
    <row r="144" spans="1:13" ht="16.5" thickBot="1">
      <c r="A144" s="274" t="s">
        <v>62</v>
      </c>
      <c r="B144" s="347"/>
      <c r="C144" s="322" t="s">
        <v>33</v>
      </c>
      <c r="D144" s="323"/>
      <c r="E144" s="323"/>
      <c r="F144" s="323"/>
      <c r="G144" s="324"/>
      <c r="H144" s="32"/>
      <c r="I144" s="320"/>
      <c r="J144" s="320"/>
      <c r="K144" s="320"/>
      <c r="L144" s="321"/>
      <c r="M144" s="421"/>
    </row>
    <row r="145" spans="1:13" ht="16.5" thickBot="1">
      <c r="A145" s="348" t="s">
        <v>101</v>
      </c>
      <c r="B145" s="349"/>
      <c r="C145" s="76" t="str">
        <f>'Data INPUT'!AA35</f>
        <v>CSV x 2</v>
      </c>
      <c r="D145" s="72" t="s">
        <v>33</v>
      </c>
      <c r="E145" s="306" t="s">
        <v>33</v>
      </c>
      <c r="F145" s="306"/>
      <c r="G145" s="350"/>
      <c r="H145" s="32" t="s">
        <v>100</v>
      </c>
      <c r="I145" s="58"/>
      <c r="J145" s="58"/>
      <c r="K145" s="58"/>
      <c r="L145" s="94"/>
      <c r="M145" s="421"/>
    </row>
    <row r="146" spans="1:13" ht="15.75">
      <c r="A146" s="342" t="s">
        <v>137</v>
      </c>
      <c r="B146" s="343"/>
      <c r="C146" s="343"/>
      <c r="D146" s="343"/>
      <c r="E146" s="343"/>
      <c r="F146" s="343"/>
      <c r="G146" s="343"/>
      <c r="H146" s="26" t="s">
        <v>102</v>
      </c>
      <c r="I146" s="59"/>
      <c r="J146" s="24"/>
      <c r="K146" s="24"/>
      <c r="L146" s="145">
        <f>'Data INPUT'!AA42</f>
        <v>1</v>
      </c>
      <c r="M146" s="421"/>
    </row>
    <row r="147" spans="1:13" ht="15.75">
      <c r="A147" s="335" t="s">
        <v>65</v>
      </c>
      <c r="B147" s="336"/>
      <c r="C147" s="330">
        <f>'Data INPUT'!D154</f>
        <v>0</v>
      </c>
      <c r="D147" s="331"/>
      <c r="E147" s="331"/>
      <c r="F147" s="331"/>
      <c r="G147" s="332"/>
      <c r="H147" s="333" t="s">
        <v>103</v>
      </c>
      <c r="I147" s="235"/>
      <c r="J147" s="235"/>
      <c r="K147" s="334"/>
      <c r="L147" s="146">
        <f>'Data INPUT'!AA43</f>
        <v>0</v>
      </c>
      <c r="M147" s="421"/>
    </row>
    <row r="148" spans="1:13" ht="15.75">
      <c r="A148" s="327" t="s">
        <v>104</v>
      </c>
      <c r="B148" s="329"/>
      <c r="C148" s="330">
        <f>'Data INPUT'!D155</f>
        <v>0</v>
      </c>
      <c r="D148" s="331"/>
      <c r="E148" s="331"/>
      <c r="F148" s="331"/>
      <c r="G148" s="332"/>
      <c r="H148" s="333" t="s">
        <v>105</v>
      </c>
      <c r="I148" s="235"/>
      <c r="J148" s="235"/>
      <c r="K148" s="334"/>
      <c r="L148" s="146">
        <f>'Data INPUT'!AA44</f>
        <v>0</v>
      </c>
      <c r="M148" s="421"/>
    </row>
    <row r="149" spans="1:13" ht="15.75">
      <c r="A149" s="327" t="s">
        <v>106</v>
      </c>
      <c r="B149" s="329"/>
      <c r="C149" s="330">
        <f>'Data INPUT'!D156</f>
        <v>0</v>
      </c>
      <c r="D149" s="331"/>
      <c r="E149" s="331"/>
      <c r="F149" s="331"/>
      <c r="G149" s="332"/>
      <c r="H149" s="333" t="s">
        <v>107</v>
      </c>
      <c r="I149" s="235"/>
      <c r="J149" s="235"/>
      <c r="K149" s="334"/>
      <c r="L149" s="146">
        <f>'Data INPUT'!AA45</f>
        <v>0</v>
      </c>
      <c r="M149" s="421"/>
    </row>
    <row r="150" spans="1:13" ht="15.75">
      <c r="A150" s="335" t="s">
        <v>108</v>
      </c>
      <c r="B150" s="336"/>
      <c r="C150" s="330">
        <f>'Data INPUT'!D157</f>
        <v>0</v>
      </c>
      <c r="D150" s="331"/>
      <c r="E150" s="331"/>
      <c r="F150" s="331"/>
      <c r="G150" s="332"/>
      <c r="H150" s="60" t="s">
        <v>109</v>
      </c>
      <c r="I150" s="62"/>
      <c r="J150" s="25"/>
      <c r="K150" s="25"/>
      <c r="L150" s="146">
        <f>'Data INPUT'!AA46</f>
        <v>0</v>
      </c>
      <c r="M150" s="421"/>
    </row>
    <row r="151" spans="1:13" ht="15.75">
      <c r="A151" s="327" t="s">
        <v>110</v>
      </c>
      <c r="B151" s="329"/>
      <c r="C151" s="330">
        <f>'Data INPUT'!D158</f>
        <v>0</v>
      </c>
      <c r="D151" s="331"/>
      <c r="E151" s="331"/>
      <c r="F151" s="331"/>
      <c r="G151" s="332"/>
      <c r="H151" s="60" t="s">
        <v>111</v>
      </c>
      <c r="I151" s="25"/>
      <c r="J151" s="25"/>
      <c r="K151" s="61"/>
      <c r="L151" s="146">
        <f>'Data INPUT'!AA47</f>
        <v>0</v>
      </c>
      <c r="M151" s="421"/>
    </row>
    <row r="152" spans="1:13" ht="15.75" customHeight="1">
      <c r="A152" s="406" t="s">
        <v>112</v>
      </c>
      <c r="B152" s="407"/>
      <c r="C152" s="148"/>
      <c r="D152" s="148"/>
      <c r="E152" s="148"/>
      <c r="F152" s="408" t="s">
        <v>115</v>
      </c>
      <c r="G152" s="409"/>
      <c r="H152" s="60" t="s">
        <v>113</v>
      </c>
      <c r="I152" s="62"/>
      <c r="J152" s="25"/>
      <c r="K152" s="25"/>
      <c r="L152" s="146">
        <f>'Data INPUT'!AA48</f>
        <v>0</v>
      </c>
      <c r="M152" s="421"/>
    </row>
    <row r="153" spans="1:13" ht="15.75" customHeight="1">
      <c r="A153" s="327" t="s">
        <v>114</v>
      </c>
      <c r="B153" s="328"/>
      <c r="C153" s="328"/>
      <c r="D153" s="87"/>
      <c r="E153" s="87" t="s">
        <v>33</v>
      </c>
      <c r="F153" s="88" t="s">
        <v>33</v>
      </c>
      <c r="G153" s="89" t="s">
        <v>33</v>
      </c>
      <c r="H153" s="325"/>
      <c r="I153" s="326"/>
      <c r="J153" s="326"/>
      <c r="K153" s="74"/>
      <c r="L153" s="146" t="s">
        <v>33</v>
      </c>
      <c r="M153" s="421"/>
    </row>
    <row r="154" spans="1:13" ht="15.75" customHeight="1">
      <c r="A154" s="327" t="s">
        <v>116</v>
      </c>
      <c r="B154" s="328"/>
      <c r="C154" s="328"/>
      <c r="D154" s="328"/>
      <c r="E154" s="329"/>
      <c r="F154" s="88" t="s">
        <v>33</v>
      </c>
      <c r="G154" s="89"/>
      <c r="H154" s="60"/>
      <c r="I154" s="62"/>
      <c r="J154" s="25"/>
      <c r="K154" s="25"/>
      <c r="L154" s="146" t="s">
        <v>33</v>
      </c>
      <c r="M154" s="421"/>
    </row>
    <row r="155" spans="1:13" ht="16.5" customHeight="1" thickBot="1">
      <c r="A155" s="337" t="s">
        <v>117</v>
      </c>
      <c r="B155" s="362"/>
      <c r="C155" s="362"/>
      <c r="D155" s="362"/>
      <c r="E155" s="338"/>
      <c r="F155" s="90" t="s">
        <v>33</v>
      </c>
      <c r="G155" s="91"/>
      <c r="H155" s="363"/>
      <c r="I155" s="364"/>
      <c r="J155" s="364"/>
      <c r="K155" s="364"/>
      <c r="L155" s="147" t="s">
        <v>33</v>
      </c>
      <c r="M155" s="421"/>
    </row>
    <row r="156" spans="1:13" ht="47.25" customHeight="1" thickBot="1">
      <c r="A156" s="92" t="s">
        <v>118</v>
      </c>
      <c r="B156" s="93"/>
      <c r="C156" s="77" t="s">
        <v>119</v>
      </c>
      <c r="D156" s="82"/>
      <c r="E156" s="83"/>
      <c r="F156" s="84"/>
      <c r="G156" s="85"/>
      <c r="H156" s="402"/>
      <c r="I156" s="403"/>
      <c r="J156" s="403"/>
      <c r="K156" s="403"/>
      <c r="L156" s="404"/>
      <c r="M156" s="422"/>
    </row>
    <row r="157" spans="1:13" ht="16.5" thickBot="1">
      <c r="A157" s="251" t="s">
        <v>69</v>
      </c>
      <c r="B157" s="252"/>
      <c r="C157" s="253">
        <f ca="1">'Data INPUT'!$B$13</f>
        <v>46222</v>
      </c>
      <c r="D157" s="254"/>
      <c r="E157" s="254"/>
      <c r="F157" s="254"/>
      <c r="G157" s="255" t="s">
        <v>7</v>
      </c>
      <c r="H157" s="255"/>
      <c r="I157" s="255"/>
      <c r="J157" s="256" t="str">
        <f>'Data INPUT'!$B$14</f>
        <v xml:space="preserve"> </v>
      </c>
      <c r="K157" s="257"/>
      <c r="L157" s="258"/>
      <c r="M157" s="423" t="s">
        <v>146</v>
      </c>
    </row>
    <row r="158" spans="1:13" ht="15.75">
      <c r="A158" s="259" t="s">
        <v>70</v>
      </c>
      <c r="B158" s="260"/>
      <c r="C158" s="261" t="str">
        <f>'Data INPUT'!$B$4</f>
        <v xml:space="preserve"> </v>
      </c>
      <c r="D158" s="262"/>
      <c r="E158" s="262"/>
      <c r="F158" s="262"/>
      <c r="G158" s="262"/>
      <c r="H158" s="262"/>
      <c r="I158" s="263"/>
      <c r="J158" s="264" t="str">
        <f>'Data INPUT'!AB19</f>
        <v xml:space="preserve"> </v>
      </c>
      <c r="K158" s="265"/>
      <c r="L158" s="266"/>
      <c r="M158" s="424"/>
    </row>
    <row r="159" spans="1:13" ht="15.75">
      <c r="A159" s="232" t="s">
        <v>71</v>
      </c>
      <c r="B159" s="233"/>
      <c r="C159" s="234" t="str">
        <f>'Data INPUT'!$B$2</f>
        <v xml:space="preserve"> </v>
      </c>
      <c r="D159" s="235"/>
      <c r="E159" s="235"/>
      <c r="F159" s="235"/>
      <c r="G159" s="235"/>
      <c r="H159" s="235"/>
      <c r="I159" s="236"/>
      <c r="J159" s="237" t="str">
        <f>'Data INPUT'!AB24</f>
        <v xml:space="preserve"> </v>
      </c>
      <c r="K159" s="238"/>
      <c r="L159" s="239"/>
      <c r="M159" s="424"/>
    </row>
    <row r="160" spans="1:13" ht="16.5" thickBot="1">
      <c r="A160" s="240" t="s">
        <v>0</v>
      </c>
      <c r="B160" s="241"/>
      <c r="C160" s="242" t="str">
        <f>'Data INPUT'!$B$3</f>
        <v xml:space="preserve"> </v>
      </c>
      <c r="D160" s="243"/>
      <c r="E160" s="243"/>
      <c r="F160" s="243"/>
      <c r="G160" s="243"/>
      <c r="H160" s="243"/>
      <c r="I160" s="244"/>
      <c r="J160" s="317" t="str">
        <f>'Data INPUT'!AB18</f>
        <v>Curtain 5</v>
      </c>
      <c r="K160" s="318"/>
      <c r="L160" s="319"/>
      <c r="M160" s="424"/>
    </row>
    <row r="161" spans="1:13" ht="16.5" thickBot="1">
      <c r="A161" s="78" t="str">
        <f>'Data INPUT'!AB21</f>
        <v>Select</v>
      </c>
      <c r="B161" s="247" t="str">
        <f>'Data INPUT'!AB25</f>
        <v>Select</v>
      </c>
      <c r="C161" s="248"/>
      <c r="D161" s="313" t="str">
        <f>'Data INPUT'!AB20</f>
        <v>Select</v>
      </c>
      <c r="E161" s="313"/>
      <c r="F161" s="314"/>
      <c r="G161" s="365" t="s">
        <v>72</v>
      </c>
      <c r="H161" s="366"/>
      <c r="I161" s="366"/>
      <c r="J161" s="366"/>
      <c r="K161" s="366"/>
      <c r="L161" s="367"/>
      <c r="M161" s="424"/>
    </row>
    <row r="162" spans="1:13" ht="15.75">
      <c r="A162" s="259" t="s">
        <v>74</v>
      </c>
      <c r="B162" s="260"/>
      <c r="C162" s="308" t="str">
        <f>'Data INPUT'!$B$12</f>
        <v>Select</v>
      </c>
      <c r="D162" s="308"/>
      <c r="E162" s="308"/>
      <c r="F162" s="309"/>
      <c r="G162" s="305" t="str">
        <f>'Data INPUT'!$B$8</f>
        <v xml:space="preserve"> </v>
      </c>
      <c r="H162" s="306"/>
      <c r="I162" s="306"/>
      <c r="J162" s="306"/>
      <c r="K162" s="306"/>
      <c r="L162" s="307"/>
      <c r="M162" s="424"/>
    </row>
    <row r="163" spans="1:13" ht="15.75">
      <c r="A163" s="232" t="s">
        <v>75</v>
      </c>
      <c r="B163" s="233"/>
      <c r="C163" s="310" t="str">
        <f>'Data INPUT'!AB23</f>
        <v>Select</v>
      </c>
      <c r="D163" s="311"/>
      <c r="E163" s="311"/>
      <c r="F163" s="312"/>
      <c r="G163" s="305" t="str">
        <f>'Data INPUT'!$B$9</f>
        <v xml:space="preserve"> </v>
      </c>
      <c r="H163" s="306"/>
      <c r="I163" s="306"/>
      <c r="J163" s="306"/>
      <c r="K163" s="306"/>
      <c r="L163" s="307"/>
      <c r="M163" s="424"/>
    </row>
    <row r="164" spans="1:13" ht="15.75">
      <c r="A164" s="270" t="s">
        <v>76</v>
      </c>
      <c r="B164" s="271"/>
      <c r="C164" s="276">
        <v>1</v>
      </c>
      <c r="D164" s="277"/>
      <c r="E164" s="277"/>
      <c r="F164" s="278"/>
      <c r="G164" s="285" t="str">
        <f>'Data INPUT'!$B$10</f>
        <v xml:space="preserve"> </v>
      </c>
      <c r="H164" s="286"/>
      <c r="I164" s="286"/>
      <c r="J164" s="286"/>
      <c r="K164" s="286"/>
      <c r="L164" s="287"/>
      <c r="M164" s="424"/>
    </row>
    <row r="165" spans="1:13" ht="15.75">
      <c r="A165" s="272"/>
      <c r="B165" s="273"/>
      <c r="C165" s="279"/>
      <c r="D165" s="280"/>
      <c r="E165" s="280"/>
      <c r="F165" s="281"/>
      <c r="G165" s="28" t="s">
        <v>77</v>
      </c>
      <c r="H165" s="29"/>
      <c r="I165" s="29"/>
      <c r="J165" s="288" t="str">
        <f>'Data INPUT'!$B$5</f>
        <v xml:space="preserve"> </v>
      </c>
      <c r="K165" s="288"/>
      <c r="L165" s="289"/>
      <c r="M165" s="424"/>
    </row>
    <row r="166" spans="1:13" ht="16.5" thickBot="1">
      <c r="A166" s="274"/>
      <c r="B166" s="275"/>
      <c r="C166" s="282"/>
      <c r="D166" s="283"/>
      <c r="E166" s="283"/>
      <c r="F166" s="284"/>
      <c r="G166" s="31" t="s">
        <v>78</v>
      </c>
      <c r="H166" s="32"/>
      <c r="I166" s="32"/>
      <c r="J166" s="290" t="str">
        <f>'Data INPUT'!$B$6</f>
        <v xml:space="preserve"> </v>
      </c>
      <c r="K166" s="290"/>
      <c r="L166" s="291"/>
      <c r="M166" s="424"/>
    </row>
    <row r="167" spans="1:13" ht="15.75">
      <c r="A167" s="292" t="s">
        <v>79</v>
      </c>
      <c r="B167" s="293"/>
      <c r="C167" s="296" t="str">
        <f>'Data INPUT'!$B$16</f>
        <v xml:space="preserve"> </v>
      </c>
      <c r="D167" s="297"/>
      <c r="E167" s="297"/>
      <c r="F167" s="297"/>
      <c r="G167" s="297"/>
      <c r="H167" s="297"/>
      <c r="I167" s="297"/>
      <c r="J167" s="297"/>
      <c r="K167" s="297"/>
      <c r="L167" s="298"/>
      <c r="M167" s="424"/>
    </row>
    <row r="168" spans="1:13" ht="15.75">
      <c r="A168" s="292"/>
      <c r="B168" s="293"/>
      <c r="C168" s="299" t="str">
        <f>'Data INPUT'!$B$17</f>
        <v xml:space="preserve"> </v>
      </c>
      <c r="D168" s="300"/>
      <c r="E168" s="300"/>
      <c r="F168" s="300"/>
      <c r="G168" s="300"/>
      <c r="H168" s="300"/>
      <c r="I168" s="300"/>
      <c r="J168" s="300"/>
      <c r="K168" s="300"/>
      <c r="L168" s="301"/>
      <c r="M168" s="424"/>
    </row>
    <row r="169" spans="1:13" ht="16.5" thickBot="1">
      <c r="A169" s="294"/>
      <c r="B169" s="295"/>
      <c r="C169" s="302" t="str">
        <f>'Data INPUT'!$B$18</f>
        <v xml:space="preserve"> </v>
      </c>
      <c r="D169" s="303"/>
      <c r="E169" s="303"/>
      <c r="F169" s="303"/>
      <c r="G169" s="303"/>
      <c r="H169" s="303"/>
      <c r="I169" s="303"/>
      <c r="J169" s="303"/>
      <c r="K169" s="303"/>
      <c r="L169" s="304"/>
      <c r="M169" s="424"/>
    </row>
    <row r="170" spans="1:13" ht="16.5" thickBot="1">
      <c r="A170" s="391" t="s">
        <v>80</v>
      </c>
      <c r="B170" s="392"/>
      <c r="C170" s="66" t="s">
        <v>42</v>
      </c>
      <c r="D170" s="66"/>
      <c r="E170" s="69" t="s">
        <v>43</v>
      </c>
      <c r="F170" s="66"/>
      <c r="G170" s="67"/>
      <c r="H170" s="275" t="s">
        <v>229</v>
      </c>
      <c r="I170" s="275"/>
      <c r="J170" s="275"/>
      <c r="K170" s="275"/>
      <c r="L170" s="393"/>
      <c r="M170" s="424"/>
    </row>
    <row r="171" spans="1:13" ht="15.75">
      <c r="A171" s="394" t="s">
        <v>81</v>
      </c>
      <c r="B171" s="395"/>
      <c r="C171" s="71" t="str">
        <f>'Data INPUT'!AB26</f>
        <v xml:space="preserve"> </v>
      </c>
      <c r="D171" s="72" t="s">
        <v>82</v>
      </c>
      <c r="E171" s="70" t="str">
        <f>'Data INPUT'!AB27</f>
        <v xml:space="preserve"> </v>
      </c>
      <c r="F171" s="73"/>
      <c r="G171" s="33"/>
      <c r="H171" s="396"/>
      <c r="I171" s="397"/>
      <c r="J171" s="397"/>
      <c r="K171" s="397"/>
      <c r="L171" s="398"/>
      <c r="M171" s="424"/>
    </row>
    <row r="172" spans="1:13" ht="16.5" thickBot="1">
      <c r="A172" s="34" t="s">
        <v>83</v>
      </c>
      <c r="B172" s="35" t="str">
        <f>E173</f>
        <v>(200mm x 400)</v>
      </c>
      <c r="C172" s="65" t="str">
        <f>C171</f>
        <v xml:space="preserve"> </v>
      </c>
      <c r="D172" s="37"/>
      <c r="E172" s="123"/>
      <c r="F172" s="124"/>
      <c r="G172" s="124"/>
      <c r="H172" s="399" t="s">
        <v>84</v>
      </c>
      <c r="I172" s="400"/>
      <c r="J172" s="400"/>
      <c r="K172" s="400"/>
      <c r="L172" s="401"/>
      <c r="M172" s="424"/>
    </row>
    <row r="173" spans="1:13" ht="16.5" thickBot="1">
      <c r="A173" s="39" t="s">
        <v>85</v>
      </c>
      <c r="B173" s="35" t="str">
        <f>'Data INPUT'!AB28</f>
        <v>Select</v>
      </c>
      <c r="C173" s="68" t="str">
        <f>'Data INPUT'!AB28</f>
        <v>Select</v>
      </c>
      <c r="D173" s="126"/>
      <c r="E173" s="430" t="s">
        <v>233</v>
      </c>
      <c r="F173" s="431"/>
      <c r="G173" s="432"/>
      <c r="H173" s="268" t="s">
        <v>33</v>
      </c>
      <c r="I173" s="268"/>
      <c r="J173" s="268"/>
      <c r="K173" s="268"/>
      <c r="L173" s="269"/>
      <c r="M173" s="424"/>
    </row>
    <row r="174" spans="1:13" ht="16.5" thickBot="1">
      <c r="A174" s="40" t="s">
        <v>86</v>
      </c>
      <c r="B174" s="41" t="s">
        <v>124</v>
      </c>
      <c r="C174" s="72" t="e">
        <f>E171-C173+10</f>
        <v>#VALUE!</v>
      </c>
      <c r="D174" s="42" t="s">
        <v>82</v>
      </c>
      <c r="E174" s="70">
        <v>100</v>
      </c>
      <c r="F174" s="72" t="s">
        <v>82</v>
      </c>
      <c r="G174" s="72">
        <v>53</v>
      </c>
      <c r="H174" s="373"/>
      <c r="I174" s="374"/>
      <c r="J174" s="374"/>
      <c r="K174" s="374"/>
      <c r="L174" s="375"/>
      <c r="M174" s="424"/>
    </row>
    <row r="175" spans="1:13" ht="16.5" thickBot="1">
      <c r="A175" s="118" t="s">
        <v>87</v>
      </c>
      <c r="B175" s="119" t="s">
        <v>170</v>
      </c>
      <c r="C175" s="81" t="e">
        <f>D176</f>
        <v>#VALUE!</v>
      </c>
      <c r="D175" s="52" t="s">
        <v>82</v>
      </c>
      <c r="E175" s="79" t="str">
        <f>C176</f>
        <v>Select</v>
      </c>
      <c r="F175" s="79"/>
      <c r="G175" s="128"/>
      <c r="H175" s="376" t="s">
        <v>120</v>
      </c>
      <c r="I175" s="377"/>
      <c r="J175" s="377"/>
      <c r="K175" s="377"/>
      <c r="L175" s="378"/>
      <c r="M175" s="424"/>
    </row>
    <row r="176" spans="1:13" ht="16.5" thickBot="1">
      <c r="A176" s="120" t="s">
        <v>90</v>
      </c>
      <c r="B176" s="121" t="s">
        <v>82</v>
      </c>
      <c r="C176" s="122" t="str">
        <f>'Data INPUT'!AB32</f>
        <v>Select</v>
      </c>
      <c r="D176" s="433" t="e">
        <f>(C171+(2*B180)-360)/2</f>
        <v>#VALUE!</v>
      </c>
      <c r="E176" s="433"/>
      <c r="F176" s="433"/>
      <c r="G176" s="434"/>
      <c r="H176" s="379"/>
      <c r="I176" s="380"/>
      <c r="J176" s="380"/>
      <c r="K176" s="380"/>
      <c r="L176" s="381"/>
      <c r="M176" s="424"/>
    </row>
    <row r="177" spans="1:13" ht="15.75">
      <c r="A177" s="382" t="s">
        <v>91</v>
      </c>
      <c r="B177" s="383"/>
      <c r="C177" s="52" t="e">
        <f>C171-230</f>
        <v>#VALUE!</v>
      </c>
      <c r="D177" s="384" t="s">
        <v>33</v>
      </c>
      <c r="E177" s="384"/>
      <c r="F177" s="384"/>
      <c r="G177" s="385"/>
      <c r="H177" s="386" t="s">
        <v>92</v>
      </c>
      <c r="I177" s="366"/>
      <c r="J177" s="366"/>
      <c r="K177" s="366"/>
      <c r="L177" s="367"/>
      <c r="M177" s="424"/>
    </row>
    <row r="178" spans="1:13" ht="16.5" thickBot="1">
      <c r="A178" s="387" t="s">
        <v>171</v>
      </c>
      <c r="B178" s="388"/>
      <c r="C178" s="37" t="e">
        <f>C177</f>
        <v>#VALUE!</v>
      </c>
      <c r="D178" s="389" t="s">
        <v>303</v>
      </c>
      <c r="E178" s="389"/>
      <c r="F178" s="389"/>
      <c r="G178" s="390"/>
      <c r="H178" s="373"/>
      <c r="I178" s="374"/>
      <c r="J178" s="374"/>
      <c r="K178" s="374"/>
      <c r="L178" s="375"/>
      <c r="M178" s="424"/>
    </row>
    <row r="179" spans="1:13" ht="16.5" thickBot="1">
      <c r="A179" s="435" t="s">
        <v>73</v>
      </c>
      <c r="B179" s="436"/>
      <c r="C179" s="52" t="e">
        <f>((C171-100)/2)+B180</f>
        <v>#VALUE!</v>
      </c>
      <c r="D179" s="52" t="s">
        <v>82</v>
      </c>
      <c r="E179" s="52" t="e">
        <f>E171+300</f>
        <v>#VALUE!</v>
      </c>
      <c r="F179" s="52" t="s">
        <v>82</v>
      </c>
      <c r="G179" s="80" t="str">
        <f>C176</f>
        <v>Select</v>
      </c>
      <c r="H179" s="351" t="s">
        <v>93</v>
      </c>
      <c r="I179" s="352"/>
      <c r="J179" s="352"/>
      <c r="K179" s="352"/>
      <c r="L179" s="353"/>
      <c r="M179" s="424"/>
    </row>
    <row r="180" spans="1:13" ht="16.5" thickBot="1">
      <c r="A180" s="125" t="s">
        <v>242</v>
      </c>
      <c r="B180" s="127" t="str">
        <f>'Data INPUT'!AB22</f>
        <v>Select</v>
      </c>
      <c r="C180" s="437" t="s">
        <v>136</v>
      </c>
      <c r="D180" s="437"/>
      <c r="E180" s="437"/>
      <c r="F180" s="437"/>
      <c r="G180" s="438"/>
      <c r="H180" s="357" t="s">
        <v>94</v>
      </c>
      <c r="I180" s="358"/>
      <c r="J180" s="358"/>
      <c r="K180" s="358"/>
      <c r="L180" s="359"/>
      <c r="M180" s="424"/>
    </row>
    <row r="181" spans="1:13" ht="16.5" thickBot="1">
      <c r="A181" s="360" t="s">
        <v>95</v>
      </c>
      <c r="B181" s="361"/>
      <c r="C181" s="55" t="s">
        <v>33</v>
      </c>
      <c r="D181" s="75" t="s">
        <v>96</v>
      </c>
      <c r="E181" s="75" t="s">
        <v>33</v>
      </c>
      <c r="F181" s="75" t="s">
        <v>97</v>
      </c>
      <c r="G181" s="56" t="s">
        <v>33</v>
      </c>
      <c r="H181" s="368" t="s">
        <v>140</v>
      </c>
      <c r="I181" s="369"/>
      <c r="J181" s="369"/>
      <c r="K181" s="57">
        <v>300</v>
      </c>
      <c r="L181" s="144" t="s">
        <v>98</v>
      </c>
      <c r="M181" s="424"/>
    </row>
    <row r="182" spans="1:13" ht="15.75">
      <c r="A182" s="345" t="s">
        <v>99</v>
      </c>
      <c r="B182" s="346"/>
      <c r="C182" s="405"/>
      <c r="D182" s="384"/>
      <c r="E182" s="384"/>
      <c r="F182" s="384"/>
      <c r="G182" s="385"/>
      <c r="H182" s="27" t="s">
        <v>100</v>
      </c>
      <c r="I182" s="265"/>
      <c r="J182" s="265"/>
      <c r="K182" s="265"/>
      <c r="L182" s="266"/>
      <c r="M182" s="424"/>
    </row>
    <row r="183" spans="1:13" ht="16.5" thickBot="1">
      <c r="A183" s="274" t="s">
        <v>62</v>
      </c>
      <c r="B183" s="347"/>
      <c r="C183" s="322" t="s">
        <v>33</v>
      </c>
      <c r="D183" s="323"/>
      <c r="E183" s="323"/>
      <c r="F183" s="323"/>
      <c r="G183" s="324"/>
      <c r="H183" s="32"/>
      <c r="I183" s="320"/>
      <c r="J183" s="320"/>
      <c r="K183" s="320"/>
      <c r="L183" s="321"/>
      <c r="M183" s="424"/>
    </row>
    <row r="184" spans="1:13" ht="16.5" thickBot="1">
      <c r="A184" s="348" t="s">
        <v>101</v>
      </c>
      <c r="B184" s="349"/>
      <c r="C184" s="76" t="str">
        <f>'Data INPUT'!AB35</f>
        <v>CSV x 2</v>
      </c>
      <c r="D184" s="72" t="s">
        <v>33</v>
      </c>
      <c r="E184" s="306" t="s">
        <v>33</v>
      </c>
      <c r="F184" s="306"/>
      <c r="G184" s="350"/>
      <c r="H184" s="32" t="s">
        <v>100</v>
      </c>
      <c r="I184" s="58"/>
      <c r="J184" s="58"/>
      <c r="K184" s="58"/>
      <c r="L184" s="94"/>
      <c r="M184" s="424"/>
    </row>
    <row r="185" spans="1:13" ht="15.75">
      <c r="A185" s="342" t="s">
        <v>137</v>
      </c>
      <c r="B185" s="343"/>
      <c r="C185" s="343"/>
      <c r="D185" s="343"/>
      <c r="E185" s="343"/>
      <c r="F185" s="343"/>
      <c r="G185" s="343"/>
      <c r="H185" s="26" t="s">
        <v>102</v>
      </c>
      <c r="I185" s="59"/>
      <c r="J185" s="24"/>
      <c r="K185" s="24"/>
      <c r="L185" s="145">
        <f>'Data INPUT'!AB42</f>
        <v>1</v>
      </c>
      <c r="M185" s="424"/>
    </row>
    <row r="186" spans="1:13" ht="15.75">
      <c r="A186" s="335" t="s">
        <v>65</v>
      </c>
      <c r="B186" s="336"/>
      <c r="C186" s="330">
        <f>'Data INPUT'!D193</f>
        <v>0</v>
      </c>
      <c r="D186" s="331"/>
      <c r="E186" s="331"/>
      <c r="F186" s="331"/>
      <c r="G186" s="332"/>
      <c r="H186" s="333" t="s">
        <v>103</v>
      </c>
      <c r="I186" s="235"/>
      <c r="J186" s="235"/>
      <c r="K186" s="334"/>
      <c r="L186" s="146">
        <f>'Data INPUT'!AB43</f>
        <v>0</v>
      </c>
      <c r="M186" s="424"/>
    </row>
    <row r="187" spans="1:13" ht="15.75">
      <c r="A187" s="327" t="s">
        <v>104</v>
      </c>
      <c r="B187" s="329"/>
      <c r="C187" s="330">
        <f>'Data INPUT'!D194</f>
        <v>0</v>
      </c>
      <c r="D187" s="331"/>
      <c r="E187" s="331"/>
      <c r="F187" s="331"/>
      <c r="G187" s="332"/>
      <c r="H187" s="333" t="s">
        <v>105</v>
      </c>
      <c r="I187" s="235"/>
      <c r="J187" s="235"/>
      <c r="K187" s="334"/>
      <c r="L187" s="146">
        <f>'Data INPUT'!AB44</f>
        <v>0</v>
      </c>
      <c r="M187" s="424"/>
    </row>
    <row r="188" spans="1:13" ht="15.75">
      <c r="A188" s="327" t="s">
        <v>106</v>
      </c>
      <c r="B188" s="329"/>
      <c r="C188" s="330">
        <f>'Data INPUT'!D195</f>
        <v>0</v>
      </c>
      <c r="D188" s="331"/>
      <c r="E188" s="331"/>
      <c r="F188" s="331"/>
      <c r="G188" s="332"/>
      <c r="H188" s="333" t="s">
        <v>107</v>
      </c>
      <c r="I188" s="235"/>
      <c r="J188" s="235"/>
      <c r="K188" s="334"/>
      <c r="L188" s="146">
        <f>'Data INPUT'!AB45</f>
        <v>0</v>
      </c>
      <c r="M188" s="424"/>
    </row>
    <row r="189" spans="1:13" ht="15.75">
      <c r="A189" s="335" t="s">
        <v>108</v>
      </c>
      <c r="B189" s="336"/>
      <c r="C189" s="330">
        <f>'Data INPUT'!D196</f>
        <v>0</v>
      </c>
      <c r="D189" s="331"/>
      <c r="E189" s="331"/>
      <c r="F189" s="331"/>
      <c r="G189" s="332"/>
      <c r="H189" s="60" t="s">
        <v>109</v>
      </c>
      <c r="I189" s="62"/>
      <c r="J189" s="25"/>
      <c r="K189" s="25"/>
      <c r="L189" s="146">
        <f>'Data INPUT'!AB46</f>
        <v>0</v>
      </c>
      <c r="M189" s="424"/>
    </row>
    <row r="190" spans="1:13" ht="15.75">
      <c r="A190" s="327" t="s">
        <v>110</v>
      </c>
      <c r="B190" s="329"/>
      <c r="C190" s="330">
        <f>'Data INPUT'!D197</f>
        <v>0</v>
      </c>
      <c r="D190" s="331"/>
      <c r="E190" s="331"/>
      <c r="F190" s="331"/>
      <c r="G190" s="332"/>
      <c r="H190" s="60" t="s">
        <v>111</v>
      </c>
      <c r="I190" s="25"/>
      <c r="J190" s="25"/>
      <c r="K190" s="61"/>
      <c r="L190" s="146">
        <f>'Data INPUT'!AB47</f>
        <v>0</v>
      </c>
      <c r="M190" s="424"/>
    </row>
    <row r="191" spans="1:13" ht="15.75" customHeight="1">
      <c r="A191" s="406" t="s">
        <v>112</v>
      </c>
      <c r="B191" s="407"/>
      <c r="C191" s="148"/>
      <c r="D191" s="148"/>
      <c r="E191" s="148"/>
      <c r="F191" s="408" t="s">
        <v>115</v>
      </c>
      <c r="G191" s="409"/>
      <c r="H191" s="60" t="s">
        <v>113</v>
      </c>
      <c r="I191" s="62"/>
      <c r="J191" s="25"/>
      <c r="K191" s="25"/>
      <c r="L191" s="146">
        <f>'Data INPUT'!AB48</f>
        <v>0</v>
      </c>
      <c r="M191" s="424"/>
    </row>
    <row r="192" spans="1:13" ht="15.75" customHeight="1">
      <c r="A192" s="327" t="s">
        <v>114</v>
      </c>
      <c r="B192" s="328"/>
      <c r="C192" s="328"/>
      <c r="D192" s="87"/>
      <c r="E192" s="87" t="s">
        <v>33</v>
      </c>
      <c r="F192" s="88" t="s">
        <v>33</v>
      </c>
      <c r="G192" s="89" t="s">
        <v>33</v>
      </c>
      <c r="H192" s="325"/>
      <c r="I192" s="326"/>
      <c r="J192" s="326"/>
      <c r="K192" s="74"/>
      <c r="L192" s="146" t="s">
        <v>33</v>
      </c>
      <c r="M192" s="424"/>
    </row>
    <row r="193" spans="1:13" ht="15.75" customHeight="1">
      <c r="A193" s="327" t="s">
        <v>116</v>
      </c>
      <c r="B193" s="328"/>
      <c r="C193" s="328"/>
      <c r="D193" s="328"/>
      <c r="E193" s="329"/>
      <c r="F193" s="88" t="s">
        <v>33</v>
      </c>
      <c r="G193" s="89"/>
      <c r="H193" s="60"/>
      <c r="I193" s="62"/>
      <c r="J193" s="25"/>
      <c r="K193" s="25"/>
      <c r="L193" s="146" t="s">
        <v>33</v>
      </c>
      <c r="M193" s="424"/>
    </row>
    <row r="194" spans="1:13" ht="16.5" customHeight="1" thickBot="1">
      <c r="A194" s="337" t="s">
        <v>117</v>
      </c>
      <c r="B194" s="362"/>
      <c r="C194" s="362"/>
      <c r="D194" s="362"/>
      <c r="E194" s="338"/>
      <c r="F194" s="90" t="s">
        <v>33</v>
      </c>
      <c r="G194" s="91"/>
      <c r="H194" s="363"/>
      <c r="I194" s="364"/>
      <c r="J194" s="364"/>
      <c r="K194" s="364"/>
      <c r="L194" s="147" t="s">
        <v>33</v>
      </c>
      <c r="M194" s="424"/>
    </row>
    <row r="195" spans="1:13" ht="51" customHeight="1" thickBot="1">
      <c r="A195" s="92" t="s">
        <v>118</v>
      </c>
      <c r="B195" s="93"/>
      <c r="C195" s="77" t="s">
        <v>119</v>
      </c>
      <c r="D195" s="82"/>
      <c r="E195" s="83"/>
      <c r="F195" s="84"/>
      <c r="G195" s="85"/>
      <c r="H195" s="402"/>
      <c r="I195" s="403"/>
      <c r="J195" s="403"/>
      <c r="K195" s="403"/>
      <c r="L195" s="404"/>
      <c r="M195" s="425"/>
    </row>
    <row r="196" spans="1:13" ht="16.5" thickBot="1">
      <c r="A196" s="251" t="s">
        <v>69</v>
      </c>
      <c r="B196" s="252"/>
      <c r="C196" s="253">
        <f ca="1">'Data INPUT'!$B$13</f>
        <v>46222</v>
      </c>
      <c r="D196" s="254"/>
      <c r="E196" s="254"/>
      <c r="F196" s="254"/>
      <c r="G196" s="255" t="s">
        <v>7</v>
      </c>
      <c r="H196" s="255"/>
      <c r="I196" s="255"/>
      <c r="J196" s="256" t="str">
        <f>'Data INPUT'!$B$14</f>
        <v xml:space="preserve"> </v>
      </c>
      <c r="K196" s="257"/>
      <c r="L196" s="258"/>
      <c r="M196" s="420" t="s">
        <v>147</v>
      </c>
    </row>
    <row r="197" spans="1:13" ht="15.75">
      <c r="A197" s="259" t="s">
        <v>70</v>
      </c>
      <c r="B197" s="260"/>
      <c r="C197" s="261" t="str">
        <f>'Data INPUT'!$B$4</f>
        <v xml:space="preserve"> </v>
      </c>
      <c r="D197" s="262"/>
      <c r="E197" s="262"/>
      <c r="F197" s="262"/>
      <c r="G197" s="262"/>
      <c r="H197" s="262"/>
      <c r="I197" s="263"/>
      <c r="J197" s="264" t="str">
        <f>'Data INPUT'!AC19</f>
        <v xml:space="preserve"> </v>
      </c>
      <c r="K197" s="265"/>
      <c r="L197" s="266"/>
      <c r="M197" s="421"/>
    </row>
    <row r="198" spans="1:13" ht="15.75">
      <c r="A198" s="232" t="s">
        <v>71</v>
      </c>
      <c r="B198" s="233"/>
      <c r="C198" s="234" t="str">
        <f>'Data INPUT'!$B$2</f>
        <v xml:space="preserve"> </v>
      </c>
      <c r="D198" s="235"/>
      <c r="E198" s="235"/>
      <c r="F198" s="235"/>
      <c r="G198" s="235"/>
      <c r="H198" s="235"/>
      <c r="I198" s="236"/>
      <c r="J198" s="237" t="str">
        <f>'Data INPUT'!AC24</f>
        <v xml:space="preserve"> </v>
      </c>
      <c r="K198" s="238"/>
      <c r="L198" s="239"/>
      <c r="M198" s="421"/>
    </row>
    <row r="199" spans="1:13" ht="16.5" thickBot="1">
      <c r="A199" s="240" t="s">
        <v>0</v>
      </c>
      <c r="B199" s="241"/>
      <c r="C199" s="242" t="str">
        <f>'Data INPUT'!$B$3</f>
        <v xml:space="preserve"> </v>
      </c>
      <c r="D199" s="243"/>
      <c r="E199" s="243"/>
      <c r="F199" s="243"/>
      <c r="G199" s="243"/>
      <c r="H199" s="243"/>
      <c r="I199" s="244"/>
      <c r="J199" s="317" t="str">
        <f>'Data INPUT'!AC18</f>
        <v>Curtain 6</v>
      </c>
      <c r="K199" s="318"/>
      <c r="L199" s="319"/>
      <c r="M199" s="421"/>
    </row>
    <row r="200" spans="1:13" ht="16.5" thickBot="1">
      <c r="A200" s="78" t="str">
        <f>'Data INPUT'!AC21</f>
        <v>Select</v>
      </c>
      <c r="B200" s="247" t="str">
        <f>'Data INPUT'!AC25</f>
        <v>Select</v>
      </c>
      <c r="C200" s="248"/>
      <c r="D200" s="313" t="str">
        <f>'Data INPUT'!AC20</f>
        <v>Select</v>
      </c>
      <c r="E200" s="313"/>
      <c r="F200" s="314"/>
      <c r="G200" s="365" t="s">
        <v>72</v>
      </c>
      <c r="H200" s="366"/>
      <c r="I200" s="366"/>
      <c r="J200" s="366"/>
      <c r="K200" s="366"/>
      <c r="L200" s="367"/>
      <c r="M200" s="421"/>
    </row>
    <row r="201" spans="1:13" ht="15.75">
      <c r="A201" s="259" t="s">
        <v>74</v>
      </c>
      <c r="B201" s="260"/>
      <c r="C201" s="308" t="str">
        <f>'Data INPUT'!$B$12</f>
        <v>Select</v>
      </c>
      <c r="D201" s="308"/>
      <c r="E201" s="308"/>
      <c r="F201" s="309"/>
      <c r="G201" s="305" t="str">
        <f>'Data INPUT'!$B$8</f>
        <v xml:space="preserve"> </v>
      </c>
      <c r="H201" s="306"/>
      <c r="I201" s="306"/>
      <c r="J201" s="306"/>
      <c r="K201" s="306"/>
      <c r="L201" s="307"/>
      <c r="M201" s="421"/>
    </row>
    <row r="202" spans="1:13" ht="15.75">
      <c r="A202" s="232" t="s">
        <v>75</v>
      </c>
      <c r="B202" s="233"/>
      <c r="C202" s="310" t="str">
        <f>'Data INPUT'!AC23</f>
        <v>Select</v>
      </c>
      <c r="D202" s="311"/>
      <c r="E202" s="311"/>
      <c r="F202" s="312"/>
      <c r="G202" s="305" t="str">
        <f>'Data INPUT'!$B$9</f>
        <v xml:space="preserve"> </v>
      </c>
      <c r="H202" s="306"/>
      <c r="I202" s="306"/>
      <c r="J202" s="306"/>
      <c r="K202" s="306"/>
      <c r="L202" s="307"/>
      <c r="M202" s="421"/>
    </row>
    <row r="203" spans="1:13" ht="15.75">
      <c r="A203" s="270" t="s">
        <v>76</v>
      </c>
      <c r="B203" s="271"/>
      <c r="C203" s="276">
        <v>1</v>
      </c>
      <c r="D203" s="277"/>
      <c r="E203" s="277"/>
      <c r="F203" s="278"/>
      <c r="G203" s="285" t="str">
        <f>'Data INPUT'!$B$10</f>
        <v xml:space="preserve"> </v>
      </c>
      <c r="H203" s="286"/>
      <c r="I203" s="286"/>
      <c r="J203" s="286"/>
      <c r="K203" s="286"/>
      <c r="L203" s="287"/>
      <c r="M203" s="421"/>
    </row>
    <row r="204" spans="1:13" ht="15.75">
      <c r="A204" s="272"/>
      <c r="B204" s="273"/>
      <c r="C204" s="279"/>
      <c r="D204" s="280"/>
      <c r="E204" s="280"/>
      <c r="F204" s="281"/>
      <c r="G204" s="28" t="s">
        <v>77</v>
      </c>
      <c r="H204" s="29"/>
      <c r="I204" s="29"/>
      <c r="J204" s="288" t="str">
        <f>'Data INPUT'!$B$5</f>
        <v xml:space="preserve"> </v>
      </c>
      <c r="K204" s="288"/>
      <c r="L204" s="289"/>
      <c r="M204" s="421"/>
    </row>
    <row r="205" spans="1:13" ht="16.5" thickBot="1">
      <c r="A205" s="274"/>
      <c r="B205" s="275"/>
      <c r="C205" s="282"/>
      <c r="D205" s="283"/>
      <c r="E205" s="283"/>
      <c r="F205" s="284"/>
      <c r="G205" s="31" t="s">
        <v>78</v>
      </c>
      <c r="H205" s="32"/>
      <c r="I205" s="32"/>
      <c r="J205" s="290" t="str">
        <f>'Data INPUT'!$B$6</f>
        <v xml:space="preserve"> </v>
      </c>
      <c r="K205" s="290"/>
      <c r="L205" s="291"/>
      <c r="M205" s="421"/>
    </row>
    <row r="206" spans="1:13" ht="15.75">
      <c r="A206" s="292" t="s">
        <v>79</v>
      </c>
      <c r="B206" s="293"/>
      <c r="C206" s="296" t="str">
        <f>'Data INPUT'!$B$16</f>
        <v xml:space="preserve"> </v>
      </c>
      <c r="D206" s="297"/>
      <c r="E206" s="297"/>
      <c r="F206" s="297"/>
      <c r="G206" s="297"/>
      <c r="H206" s="297"/>
      <c r="I206" s="297"/>
      <c r="J206" s="297"/>
      <c r="K206" s="297"/>
      <c r="L206" s="298"/>
      <c r="M206" s="421"/>
    </row>
    <row r="207" spans="1:13" ht="15.75">
      <c r="A207" s="292"/>
      <c r="B207" s="293"/>
      <c r="C207" s="299" t="str">
        <f>'Data INPUT'!$B$17</f>
        <v xml:space="preserve"> </v>
      </c>
      <c r="D207" s="300"/>
      <c r="E207" s="300"/>
      <c r="F207" s="300"/>
      <c r="G207" s="300"/>
      <c r="H207" s="300"/>
      <c r="I207" s="300"/>
      <c r="J207" s="300"/>
      <c r="K207" s="300"/>
      <c r="L207" s="301"/>
      <c r="M207" s="421"/>
    </row>
    <row r="208" spans="1:13" ht="16.5" thickBot="1">
      <c r="A208" s="294"/>
      <c r="B208" s="295"/>
      <c r="C208" s="302" t="str">
        <f>'Data INPUT'!$B$18</f>
        <v xml:space="preserve"> </v>
      </c>
      <c r="D208" s="303"/>
      <c r="E208" s="303"/>
      <c r="F208" s="303"/>
      <c r="G208" s="303"/>
      <c r="H208" s="303"/>
      <c r="I208" s="303"/>
      <c r="J208" s="303"/>
      <c r="K208" s="303"/>
      <c r="L208" s="304"/>
      <c r="M208" s="421"/>
    </row>
    <row r="209" spans="1:13" ht="16.5" thickBot="1">
      <c r="A209" s="391" t="s">
        <v>80</v>
      </c>
      <c r="B209" s="392"/>
      <c r="C209" s="66" t="s">
        <v>42</v>
      </c>
      <c r="D209" s="66"/>
      <c r="E209" s="69" t="s">
        <v>43</v>
      </c>
      <c r="F209" s="66"/>
      <c r="G209" s="67"/>
      <c r="H209" s="275" t="s">
        <v>229</v>
      </c>
      <c r="I209" s="275"/>
      <c r="J209" s="275"/>
      <c r="K209" s="275"/>
      <c r="L209" s="393"/>
      <c r="M209" s="421"/>
    </row>
    <row r="210" spans="1:13" ht="15.75">
      <c r="A210" s="394" t="s">
        <v>81</v>
      </c>
      <c r="B210" s="395"/>
      <c r="C210" s="71" t="str">
        <f>'Data INPUT'!AC26</f>
        <v xml:space="preserve"> </v>
      </c>
      <c r="D210" s="72" t="s">
        <v>82</v>
      </c>
      <c r="E210" s="70" t="str">
        <f>'Data INPUT'!AC27</f>
        <v xml:space="preserve"> </v>
      </c>
      <c r="F210" s="73"/>
      <c r="G210" s="33"/>
      <c r="H210" s="396"/>
      <c r="I210" s="397"/>
      <c r="J210" s="397"/>
      <c r="K210" s="397"/>
      <c r="L210" s="398"/>
      <c r="M210" s="421"/>
    </row>
    <row r="211" spans="1:13" ht="16.5" thickBot="1">
      <c r="A211" s="34" t="s">
        <v>83</v>
      </c>
      <c r="B211" s="35" t="str">
        <f>E212</f>
        <v>(200mm x 400)</v>
      </c>
      <c r="C211" s="65" t="str">
        <f>C210</f>
        <v xml:space="preserve"> </v>
      </c>
      <c r="D211" s="37"/>
      <c r="E211" s="123"/>
      <c r="F211" s="124"/>
      <c r="G211" s="124"/>
      <c r="H211" s="399" t="s">
        <v>84</v>
      </c>
      <c r="I211" s="400"/>
      <c r="J211" s="400"/>
      <c r="K211" s="400"/>
      <c r="L211" s="401"/>
      <c r="M211" s="421"/>
    </row>
    <row r="212" spans="1:13" ht="16.5" thickBot="1">
      <c r="A212" s="39" t="s">
        <v>85</v>
      </c>
      <c r="B212" s="35" t="str">
        <f>'Data INPUT'!AC28</f>
        <v>Select</v>
      </c>
      <c r="C212" s="68" t="str">
        <f>'Data INPUT'!AC28</f>
        <v>Select</v>
      </c>
      <c r="D212" s="126"/>
      <c r="E212" s="430" t="s">
        <v>233</v>
      </c>
      <c r="F212" s="431"/>
      <c r="G212" s="432"/>
      <c r="H212" s="268" t="s">
        <v>33</v>
      </c>
      <c r="I212" s="268"/>
      <c r="J212" s="268"/>
      <c r="K212" s="268"/>
      <c r="L212" s="269"/>
      <c r="M212" s="421"/>
    </row>
    <row r="213" spans="1:13" ht="16.5" thickBot="1">
      <c r="A213" s="40" t="s">
        <v>86</v>
      </c>
      <c r="B213" s="41" t="s">
        <v>124</v>
      </c>
      <c r="C213" s="72" t="e">
        <f>E210-C212+10</f>
        <v>#VALUE!</v>
      </c>
      <c r="D213" s="42" t="s">
        <v>82</v>
      </c>
      <c r="E213" s="70">
        <v>100</v>
      </c>
      <c r="F213" s="72" t="s">
        <v>82</v>
      </c>
      <c r="G213" s="72">
        <v>53</v>
      </c>
      <c r="H213" s="373"/>
      <c r="I213" s="374"/>
      <c r="J213" s="374"/>
      <c r="K213" s="374"/>
      <c r="L213" s="375"/>
      <c r="M213" s="421"/>
    </row>
    <row r="214" spans="1:13" ht="16.5" thickBot="1">
      <c r="A214" s="118" t="s">
        <v>87</v>
      </c>
      <c r="B214" s="119" t="s">
        <v>170</v>
      </c>
      <c r="C214" s="81" t="e">
        <f>D215</f>
        <v>#VALUE!</v>
      </c>
      <c r="D214" s="52" t="s">
        <v>82</v>
      </c>
      <c r="E214" s="79" t="str">
        <f>C215</f>
        <v>Select</v>
      </c>
      <c r="F214" s="79"/>
      <c r="G214" s="128"/>
      <c r="H214" s="376" t="s">
        <v>120</v>
      </c>
      <c r="I214" s="377"/>
      <c r="J214" s="377"/>
      <c r="K214" s="377"/>
      <c r="L214" s="378"/>
      <c r="M214" s="421"/>
    </row>
    <row r="215" spans="1:13" ht="16.5" thickBot="1">
      <c r="A215" s="120" t="s">
        <v>90</v>
      </c>
      <c r="B215" s="121" t="s">
        <v>82</v>
      </c>
      <c r="C215" s="122" t="str">
        <f>'Data INPUT'!AC32</f>
        <v>Select</v>
      </c>
      <c r="D215" s="433" t="e">
        <f>(C210+(2*B219)-360)/2</f>
        <v>#VALUE!</v>
      </c>
      <c r="E215" s="433"/>
      <c r="F215" s="433"/>
      <c r="G215" s="434"/>
      <c r="H215" s="379"/>
      <c r="I215" s="380"/>
      <c r="J215" s="380"/>
      <c r="K215" s="380"/>
      <c r="L215" s="381"/>
      <c r="M215" s="421"/>
    </row>
    <row r="216" spans="1:13" ht="15.75">
      <c r="A216" s="382" t="s">
        <v>91</v>
      </c>
      <c r="B216" s="383"/>
      <c r="C216" s="52" t="e">
        <f>C210-230</f>
        <v>#VALUE!</v>
      </c>
      <c r="D216" s="384" t="s">
        <v>33</v>
      </c>
      <c r="E216" s="384"/>
      <c r="F216" s="384"/>
      <c r="G216" s="385"/>
      <c r="H216" s="386" t="s">
        <v>92</v>
      </c>
      <c r="I216" s="366"/>
      <c r="J216" s="366"/>
      <c r="K216" s="366"/>
      <c r="L216" s="367"/>
      <c r="M216" s="421"/>
    </row>
    <row r="217" spans="1:13" ht="16.5" thickBot="1">
      <c r="A217" s="387" t="s">
        <v>171</v>
      </c>
      <c r="B217" s="388"/>
      <c r="C217" s="37" t="e">
        <f>C216</f>
        <v>#VALUE!</v>
      </c>
      <c r="D217" s="389" t="s">
        <v>303</v>
      </c>
      <c r="E217" s="389"/>
      <c r="F217" s="389"/>
      <c r="G217" s="390"/>
      <c r="H217" s="373"/>
      <c r="I217" s="374"/>
      <c r="J217" s="374"/>
      <c r="K217" s="374"/>
      <c r="L217" s="375"/>
      <c r="M217" s="421"/>
    </row>
    <row r="218" spans="1:13" ht="16.5" thickBot="1">
      <c r="A218" s="435" t="s">
        <v>73</v>
      </c>
      <c r="B218" s="436"/>
      <c r="C218" s="52" t="e">
        <f>((C210-100)/2)+B219</f>
        <v>#VALUE!</v>
      </c>
      <c r="D218" s="52" t="s">
        <v>82</v>
      </c>
      <c r="E218" s="52" t="e">
        <f>E210+300</f>
        <v>#VALUE!</v>
      </c>
      <c r="F218" s="52" t="s">
        <v>82</v>
      </c>
      <c r="G218" s="80" t="str">
        <f>C215</f>
        <v>Select</v>
      </c>
      <c r="H218" s="351" t="s">
        <v>93</v>
      </c>
      <c r="I218" s="352"/>
      <c r="J218" s="352"/>
      <c r="K218" s="352"/>
      <c r="L218" s="353"/>
      <c r="M218" s="421"/>
    </row>
    <row r="219" spans="1:13" ht="16.5" thickBot="1">
      <c r="A219" s="125" t="s">
        <v>242</v>
      </c>
      <c r="B219" s="127" t="str">
        <f>'Data INPUT'!AC22</f>
        <v>Select</v>
      </c>
      <c r="C219" s="437" t="s">
        <v>136</v>
      </c>
      <c r="D219" s="437"/>
      <c r="E219" s="437"/>
      <c r="F219" s="437"/>
      <c r="G219" s="438"/>
      <c r="H219" s="357" t="s">
        <v>94</v>
      </c>
      <c r="I219" s="358"/>
      <c r="J219" s="358"/>
      <c r="K219" s="358"/>
      <c r="L219" s="359"/>
      <c r="M219" s="421"/>
    </row>
    <row r="220" spans="1:13" ht="16.5" thickBot="1">
      <c r="A220" s="360" t="s">
        <v>95</v>
      </c>
      <c r="B220" s="361"/>
      <c r="C220" s="55" t="s">
        <v>33</v>
      </c>
      <c r="D220" s="75" t="s">
        <v>96</v>
      </c>
      <c r="E220" s="75" t="s">
        <v>33</v>
      </c>
      <c r="F220" s="75" t="s">
        <v>97</v>
      </c>
      <c r="G220" s="56" t="s">
        <v>33</v>
      </c>
      <c r="H220" s="368" t="s">
        <v>140</v>
      </c>
      <c r="I220" s="369"/>
      <c r="J220" s="369"/>
      <c r="K220" s="57">
        <v>300</v>
      </c>
      <c r="L220" s="144" t="s">
        <v>98</v>
      </c>
      <c r="M220" s="421"/>
    </row>
    <row r="221" spans="1:13" ht="15.75">
      <c r="A221" s="345" t="s">
        <v>99</v>
      </c>
      <c r="B221" s="346"/>
      <c r="C221" s="405"/>
      <c r="D221" s="384"/>
      <c r="E221" s="384"/>
      <c r="F221" s="384"/>
      <c r="G221" s="385"/>
      <c r="H221" s="27" t="s">
        <v>100</v>
      </c>
      <c r="I221" s="265"/>
      <c r="J221" s="265"/>
      <c r="K221" s="265"/>
      <c r="L221" s="266"/>
      <c r="M221" s="421"/>
    </row>
    <row r="222" spans="1:13" ht="16.5" thickBot="1">
      <c r="A222" s="274" t="s">
        <v>62</v>
      </c>
      <c r="B222" s="347"/>
      <c r="C222" s="322" t="s">
        <v>33</v>
      </c>
      <c r="D222" s="323"/>
      <c r="E222" s="323"/>
      <c r="F222" s="323"/>
      <c r="G222" s="324"/>
      <c r="H222" s="32"/>
      <c r="I222" s="320"/>
      <c r="J222" s="320"/>
      <c r="K222" s="320"/>
      <c r="L222" s="321"/>
      <c r="M222" s="421"/>
    </row>
    <row r="223" spans="1:13" ht="16.5" thickBot="1">
      <c r="A223" s="348" t="s">
        <v>101</v>
      </c>
      <c r="B223" s="349"/>
      <c r="C223" s="76" t="str">
        <f>'Data INPUT'!AC35</f>
        <v>CSV x 2</v>
      </c>
      <c r="D223" s="72" t="s">
        <v>33</v>
      </c>
      <c r="E223" s="306" t="s">
        <v>33</v>
      </c>
      <c r="F223" s="306"/>
      <c r="G223" s="350"/>
      <c r="H223" s="32" t="s">
        <v>100</v>
      </c>
      <c r="I223" s="58"/>
      <c r="J223" s="58"/>
      <c r="K223" s="58"/>
      <c r="L223" s="94"/>
      <c r="M223" s="421"/>
    </row>
    <row r="224" spans="1:13" ht="15.75">
      <c r="A224" s="342" t="s">
        <v>137</v>
      </c>
      <c r="B224" s="343"/>
      <c r="C224" s="343"/>
      <c r="D224" s="343"/>
      <c r="E224" s="343"/>
      <c r="F224" s="343"/>
      <c r="G224" s="343"/>
      <c r="H224" s="26" t="s">
        <v>102</v>
      </c>
      <c r="I224" s="59"/>
      <c r="J224" s="24"/>
      <c r="K224" s="24"/>
      <c r="L224" s="145">
        <f>'Data INPUT'!AC42</f>
        <v>1</v>
      </c>
      <c r="M224" s="421"/>
    </row>
    <row r="225" spans="1:13" ht="15.75">
      <c r="A225" s="335" t="s">
        <v>65</v>
      </c>
      <c r="B225" s="336"/>
      <c r="C225" s="330">
        <f>'Data INPUT'!D232</f>
        <v>0</v>
      </c>
      <c r="D225" s="331"/>
      <c r="E225" s="331"/>
      <c r="F225" s="331"/>
      <c r="G225" s="332"/>
      <c r="H225" s="333" t="s">
        <v>103</v>
      </c>
      <c r="I225" s="235"/>
      <c r="J225" s="235"/>
      <c r="K225" s="334"/>
      <c r="L225" s="146">
        <f>'Data INPUT'!AC43</f>
        <v>0</v>
      </c>
      <c r="M225" s="421"/>
    </row>
    <row r="226" spans="1:13" ht="15.75">
      <c r="A226" s="327" t="s">
        <v>104</v>
      </c>
      <c r="B226" s="329"/>
      <c r="C226" s="330">
        <f>'Data INPUT'!D233</f>
        <v>0</v>
      </c>
      <c r="D226" s="331"/>
      <c r="E226" s="331"/>
      <c r="F226" s="331"/>
      <c r="G226" s="332"/>
      <c r="H226" s="333" t="s">
        <v>105</v>
      </c>
      <c r="I226" s="235"/>
      <c r="J226" s="235"/>
      <c r="K226" s="334"/>
      <c r="L226" s="146">
        <f>'Data INPUT'!AC44</f>
        <v>0</v>
      </c>
      <c r="M226" s="421"/>
    </row>
    <row r="227" spans="1:13" ht="15.75">
      <c r="A227" s="327" t="s">
        <v>106</v>
      </c>
      <c r="B227" s="329"/>
      <c r="C227" s="330">
        <f>'Data INPUT'!D234</f>
        <v>0</v>
      </c>
      <c r="D227" s="331"/>
      <c r="E227" s="331"/>
      <c r="F227" s="331"/>
      <c r="G227" s="332"/>
      <c r="H227" s="333" t="s">
        <v>107</v>
      </c>
      <c r="I227" s="235"/>
      <c r="J227" s="235"/>
      <c r="K227" s="334"/>
      <c r="L227" s="146">
        <f>'Data INPUT'!AC45</f>
        <v>0</v>
      </c>
      <c r="M227" s="421"/>
    </row>
    <row r="228" spans="1:13" ht="15.75">
      <c r="A228" s="335" t="s">
        <v>108</v>
      </c>
      <c r="B228" s="336"/>
      <c r="C228" s="330">
        <f>'Data INPUT'!D235</f>
        <v>0</v>
      </c>
      <c r="D228" s="331"/>
      <c r="E228" s="331"/>
      <c r="F228" s="331"/>
      <c r="G228" s="332"/>
      <c r="H228" s="60" t="s">
        <v>109</v>
      </c>
      <c r="I228" s="62"/>
      <c r="J228" s="25"/>
      <c r="K228" s="25"/>
      <c r="L228" s="146">
        <f>'Data INPUT'!AC46</f>
        <v>0</v>
      </c>
      <c r="M228" s="421"/>
    </row>
    <row r="229" spans="1:13" ht="15.75">
      <c r="A229" s="327" t="s">
        <v>110</v>
      </c>
      <c r="B229" s="329"/>
      <c r="C229" s="330">
        <f>'Data INPUT'!D236</f>
        <v>0</v>
      </c>
      <c r="D229" s="331"/>
      <c r="E229" s="331"/>
      <c r="F229" s="331"/>
      <c r="G229" s="332"/>
      <c r="H229" s="60" t="s">
        <v>111</v>
      </c>
      <c r="I229" s="25"/>
      <c r="J229" s="25"/>
      <c r="K229" s="61"/>
      <c r="L229" s="146">
        <f>'Data INPUT'!AC47</f>
        <v>0</v>
      </c>
      <c r="M229" s="421"/>
    </row>
    <row r="230" spans="1:13" ht="15.75" customHeight="1">
      <c r="A230" s="406" t="s">
        <v>112</v>
      </c>
      <c r="B230" s="407"/>
      <c r="C230" s="148"/>
      <c r="D230" s="148"/>
      <c r="E230" s="148"/>
      <c r="F230" s="408" t="s">
        <v>115</v>
      </c>
      <c r="G230" s="409"/>
      <c r="H230" s="60" t="s">
        <v>113</v>
      </c>
      <c r="I230" s="62"/>
      <c r="J230" s="25"/>
      <c r="K230" s="25"/>
      <c r="L230" s="146">
        <f>'Data INPUT'!AC48</f>
        <v>0</v>
      </c>
      <c r="M230" s="421"/>
    </row>
    <row r="231" spans="1:13" ht="15.75" customHeight="1">
      <c r="A231" s="327" t="s">
        <v>114</v>
      </c>
      <c r="B231" s="328"/>
      <c r="C231" s="328"/>
      <c r="D231" s="87"/>
      <c r="E231" s="87" t="s">
        <v>33</v>
      </c>
      <c r="F231" s="88" t="s">
        <v>33</v>
      </c>
      <c r="G231" s="89" t="s">
        <v>33</v>
      </c>
      <c r="H231" s="325"/>
      <c r="I231" s="326"/>
      <c r="J231" s="326"/>
      <c r="K231" s="74"/>
      <c r="L231" s="146" t="s">
        <v>33</v>
      </c>
      <c r="M231" s="421"/>
    </row>
    <row r="232" spans="1:13" ht="15.75" customHeight="1">
      <c r="A232" s="327" t="s">
        <v>116</v>
      </c>
      <c r="B232" s="328"/>
      <c r="C232" s="328"/>
      <c r="D232" s="328"/>
      <c r="E232" s="329"/>
      <c r="F232" s="88" t="s">
        <v>33</v>
      </c>
      <c r="G232" s="89"/>
      <c r="H232" s="60"/>
      <c r="I232" s="62"/>
      <c r="J232" s="25"/>
      <c r="K232" s="25"/>
      <c r="L232" s="146" t="s">
        <v>33</v>
      </c>
      <c r="M232" s="421"/>
    </row>
    <row r="233" spans="1:13" ht="16.5" customHeight="1" thickBot="1">
      <c r="A233" s="337" t="s">
        <v>117</v>
      </c>
      <c r="B233" s="362"/>
      <c r="C233" s="362"/>
      <c r="D233" s="362"/>
      <c r="E233" s="338"/>
      <c r="F233" s="90" t="s">
        <v>33</v>
      </c>
      <c r="G233" s="91"/>
      <c r="H233" s="363"/>
      <c r="I233" s="364"/>
      <c r="J233" s="364"/>
      <c r="K233" s="364"/>
      <c r="L233" s="147" t="s">
        <v>33</v>
      </c>
      <c r="M233" s="421"/>
    </row>
    <row r="234" spans="1:13" ht="49.5" customHeight="1" thickBot="1">
      <c r="A234" s="92" t="s">
        <v>118</v>
      </c>
      <c r="B234" s="93"/>
      <c r="C234" s="77" t="s">
        <v>119</v>
      </c>
      <c r="D234" s="82"/>
      <c r="E234" s="83"/>
      <c r="F234" s="84"/>
      <c r="G234" s="85"/>
      <c r="H234" s="402"/>
      <c r="I234" s="403"/>
      <c r="J234" s="403"/>
      <c r="K234" s="403"/>
      <c r="L234" s="404"/>
      <c r="M234" s="422"/>
    </row>
    <row r="235" spans="1:13" ht="16.5" thickBot="1">
      <c r="A235" s="251" t="s">
        <v>69</v>
      </c>
      <c r="B235" s="252"/>
      <c r="C235" s="253">
        <f ca="1">'Data INPUT'!$B$13</f>
        <v>46222</v>
      </c>
      <c r="D235" s="254"/>
      <c r="E235" s="254"/>
      <c r="F235" s="254"/>
      <c r="G235" s="255" t="s">
        <v>7</v>
      </c>
      <c r="H235" s="255"/>
      <c r="I235" s="255"/>
      <c r="J235" s="256" t="str">
        <f>'Data INPUT'!$B$14</f>
        <v xml:space="preserve"> </v>
      </c>
      <c r="K235" s="257"/>
      <c r="L235" s="258"/>
      <c r="M235" s="423" t="s">
        <v>148</v>
      </c>
    </row>
    <row r="236" spans="1:13" ht="15.75">
      <c r="A236" s="259" t="s">
        <v>70</v>
      </c>
      <c r="B236" s="260"/>
      <c r="C236" s="261" t="str">
        <f>'Data INPUT'!$B$4</f>
        <v xml:space="preserve"> </v>
      </c>
      <c r="D236" s="262"/>
      <c r="E236" s="262"/>
      <c r="F236" s="262"/>
      <c r="G236" s="262"/>
      <c r="H236" s="262"/>
      <c r="I236" s="263"/>
      <c r="J236" s="264" t="str">
        <f>'Data INPUT'!AD19</f>
        <v xml:space="preserve"> </v>
      </c>
      <c r="K236" s="265"/>
      <c r="L236" s="266"/>
      <c r="M236" s="424"/>
    </row>
    <row r="237" spans="1:13" ht="15.75">
      <c r="A237" s="232" t="s">
        <v>71</v>
      </c>
      <c r="B237" s="233"/>
      <c r="C237" s="234" t="str">
        <f>'Data INPUT'!$B$2</f>
        <v xml:space="preserve"> </v>
      </c>
      <c r="D237" s="235"/>
      <c r="E237" s="235"/>
      <c r="F237" s="235"/>
      <c r="G237" s="235"/>
      <c r="H237" s="235"/>
      <c r="I237" s="236"/>
      <c r="J237" s="237" t="str">
        <f>'Data INPUT'!AD24</f>
        <v xml:space="preserve"> </v>
      </c>
      <c r="K237" s="238"/>
      <c r="L237" s="239"/>
      <c r="M237" s="424"/>
    </row>
    <row r="238" spans="1:13" ht="16.5" thickBot="1">
      <c r="A238" s="240" t="s">
        <v>0</v>
      </c>
      <c r="B238" s="241"/>
      <c r="C238" s="242" t="str">
        <f>'Data INPUT'!$B$3</f>
        <v xml:space="preserve"> </v>
      </c>
      <c r="D238" s="243"/>
      <c r="E238" s="243"/>
      <c r="F238" s="243"/>
      <c r="G238" s="243"/>
      <c r="H238" s="243"/>
      <c r="I238" s="244"/>
      <c r="J238" s="317" t="str">
        <f>'Data INPUT'!AD18</f>
        <v>Curtain 7</v>
      </c>
      <c r="K238" s="318"/>
      <c r="L238" s="319"/>
      <c r="M238" s="424"/>
    </row>
    <row r="239" spans="1:13" ht="16.5" thickBot="1">
      <c r="A239" s="78" t="str">
        <f>'Data INPUT'!AD21</f>
        <v>Select</v>
      </c>
      <c r="B239" s="247" t="str">
        <f>'Data INPUT'!AD25</f>
        <v>Select</v>
      </c>
      <c r="C239" s="248"/>
      <c r="D239" s="313" t="str">
        <f>'Data INPUT'!AD20</f>
        <v>Select</v>
      </c>
      <c r="E239" s="313"/>
      <c r="F239" s="314"/>
      <c r="G239" s="365" t="s">
        <v>72</v>
      </c>
      <c r="H239" s="366"/>
      <c r="I239" s="366"/>
      <c r="J239" s="366"/>
      <c r="K239" s="366"/>
      <c r="L239" s="367"/>
      <c r="M239" s="424"/>
    </row>
    <row r="240" spans="1:13" ht="15.75">
      <c r="A240" s="259" t="s">
        <v>74</v>
      </c>
      <c r="B240" s="260"/>
      <c r="C240" s="308" t="str">
        <f>'Data INPUT'!$B$12</f>
        <v>Select</v>
      </c>
      <c r="D240" s="308"/>
      <c r="E240" s="308"/>
      <c r="F240" s="309"/>
      <c r="G240" s="305" t="str">
        <f>'Data INPUT'!$B$8</f>
        <v xml:space="preserve"> </v>
      </c>
      <c r="H240" s="306"/>
      <c r="I240" s="306"/>
      <c r="J240" s="306"/>
      <c r="K240" s="306"/>
      <c r="L240" s="307"/>
      <c r="M240" s="424"/>
    </row>
    <row r="241" spans="1:13" ht="15.75">
      <c r="A241" s="232" t="s">
        <v>75</v>
      </c>
      <c r="B241" s="233"/>
      <c r="C241" s="310" t="str">
        <f>'Data INPUT'!AD23</f>
        <v>Select</v>
      </c>
      <c r="D241" s="311"/>
      <c r="E241" s="311"/>
      <c r="F241" s="312"/>
      <c r="G241" s="305" t="str">
        <f>'Data INPUT'!$B$9</f>
        <v xml:space="preserve"> </v>
      </c>
      <c r="H241" s="306"/>
      <c r="I241" s="306"/>
      <c r="J241" s="306"/>
      <c r="K241" s="306"/>
      <c r="L241" s="307"/>
      <c r="M241" s="424"/>
    </row>
    <row r="242" spans="1:13" ht="15.75">
      <c r="A242" s="270" t="s">
        <v>76</v>
      </c>
      <c r="B242" s="271"/>
      <c r="C242" s="276">
        <v>1</v>
      </c>
      <c r="D242" s="277"/>
      <c r="E242" s="277"/>
      <c r="F242" s="278"/>
      <c r="G242" s="285" t="str">
        <f>'Data INPUT'!$B$10</f>
        <v xml:space="preserve"> </v>
      </c>
      <c r="H242" s="286"/>
      <c r="I242" s="286"/>
      <c r="J242" s="286"/>
      <c r="K242" s="286"/>
      <c r="L242" s="287"/>
      <c r="M242" s="424"/>
    </row>
    <row r="243" spans="1:13" ht="15.75">
      <c r="A243" s="272"/>
      <c r="B243" s="273"/>
      <c r="C243" s="279"/>
      <c r="D243" s="280"/>
      <c r="E243" s="280"/>
      <c r="F243" s="281"/>
      <c r="G243" s="28" t="s">
        <v>77</v>
      </c>
      <c r="H243" s="29"/>
      <c r="I243" s="29"/>
      <c r="J243" s="288" t="str">
        <f>'Data INPUT'!$B$5</f>
        <v xml:space="preserve"> </v>
      </c>
      <c r="K243" s="288"/>
      <c r="L243" s="289"/>
      <c r="M243" s="424"/>
    </row>
    <row r="244" spans="1:13" ht="16.5" thickBot="1">
      <c r="A244" s="274"/>
      <c r="B244" s="275"/>
      <c r="C244" s="282"/>
      <c r="D244" s="283"/>
      <c r="E244" s="283"/>
      <c r="F244" s="284"/>
      <c r="G244" s="31" t="s">
        <v>78</v>
      </c>
      <c r="H244" s="32"/>
      <c r="I244" s="32"/>
      <c r="J244" s="290" t="str">
        <f>'Data INPUT'!$B$6</f>
        <v xml:space="preserve"> </v>
      </c>
      <c r="K244" s="290"/>
      <c r="L244" s="291"/>
      <c r="M244" s="424"/>
    </row>
    <row r="245" spans="1:13" ht="15.75">
      <c r="A245" s="292" t="s">
        <v>79</v>
      </c>
      <c r="B245" s="293"/>
      <c r="C245" s="296" t="str">
        <f>'Data INPUT'!$B$16</f>
        <v xml:space="preserve"> </v>
      </c>
      <c r="D245" s="297"/>
      <c r="E245" s="297"/>
      <c r="F245" s="297"/>
      <c r="G245" s="297"/>
      <c r="H245" s="297"/>
      <c r="I245" s="297"/>
      <c r="J245" s="297"/>
      <c r="K245" s="297"/>
      <c r="L245" s="298"/>
      <c r="M245" s="424"/>
    </row>
    <row r="246" spans="1:13" ht="15.75">
      <c r="A246" s="292"/>
      <c r="B246" s="293"/>
      <c r="C246" s="299" t="str">
        <f>'Data INPUT'!$B$17</f>
        <v xml:space="preserve"> </v>
      </c>
      <c r="D246" s="300"/>
      <c r="E246" s="300"/>
      <c r="F246" s="300"/>
      <c r="G246" s="300"/>
      <c r="H246" s="300"/>
      <c r="I246" s="300"/>
      <c r="J246" s="300"/>
      <c r="K246" s="300"/>
      <c r="L246" s="301"/>
      <c r="M246" s="424"/>
    </row>
    <row r="247" spans="1:13" ht="16.5" thickBot="1">
      <c r="A247" s="294"/>
      <c r="B247" s="295"/>
      <c r="C247" s="302" t="str">
        <f>'Data INPUT'!$B$18</f>
        <v xml:space="preserve"> </v>
      </c>
      <c r="D247" s="303"/>
      <c r="E247" s="303"/>
      <c r="F247" s="303"/>
      <c r="G247" s="303"/>
      <c r="H247" s="303"/>
      <c r="I247" s="303"/>
      <c r="J247" s="303"/>
      <c r="K247" s="303"/>
      <c r="L247" s="304"/>
      <c r="M247" s="424"/>
    </row>
    <row r="248" spans="1:13" ht="16.5" thickBot="1">
      <c r="A248" s="391" t="s">
        <v>80</v>
      </c>
      <c r="B248" s="392"/>
      <c r="C248" s="66" t="s">
        <v>42</v>
      </c>
      <c r="D248" s="66"/>
      <c r="E248" s="69" t="s">
        <v>43</v>
      </c>
      <c r="F248" s="66"/>
      <c r="G248" s="67"/>
      <c r="H248" s="275" t="s">
        <v>229</v>
      </c>
      <c r="I248" s="275"/>
      <c r="J248" s="275"/>
      <c r="K248" s="275"/>
      <c r="L248" s="393"/>
      <c r="M248" s="424"/>
    </row>
    <row r="249" spans="1:13" ht="15.75">
      <c r="A249" s="394" t="s">
        <v>81</v>
      </c>
      <c r="B249" s="395"/>
      <c r="C249" s="71" t="str">
        <f>'Data INPUT'!AD26</f>
        <v xml:space="preserve"> </v>
      </c>
      <c r="D249" s="72" t="s">
        <v>82</v>
      </c>
      <c r="E249" s="70" t="str">
        <f>'Data INPUT'!AD27</f>
        <v xml:space="preserve"> </v>
      </c>
      <c r="F249" s="73"/>
      <c r="G249" s="33"/>
      <c r="H249" s="396"/>
      <c r="I249" s="397"/>
      <c r="J249" s="397"/>
      <c r="K249" s="397"/>
      <c r="L249" s="398"/>
      <c r="M249" s="424"/>
    </row>
    <row r="250" spans="1:13" ht="16.5" thickBot="1">
      <c r="A250" s="34" t="s">
        <v>83</v>
      </c>
      <c r="B250" s="35" t="str">
        <f>E251</f>
        <v>(200mm x 400)</v>
      </c>
      <c r="C250" s="65" t="str">
        <f>C249</f>
        <v xml:space="preserve"> </v>
      </c>
      <c r="D250" s="37"/>
      <c r="E250" s="123"/>
      <c r="F250" s="124"/>
      <c r="G250" s="124"/>
      <c r="H250" s="399" t="s">
        <v>84</v>
      </c>
      <c r="I250" s="400"/>
      <c r="J250" s="400"/>
      <c r="K250" s="400"/>
      <c r="L250" s="401"/>
      <c r="M250" s="424"/>
    </row>
    <row r="251" spans="1:13" ht="16.5" thickBot="1">
      <c r="A251" s="39" t="s">
        <v>85</v>
      </c>
      <c r="B251" s="35" t="str">
        <f>'Data INPUT'!AD28</f>
        <v>Select</v>
      </c>
      <c r="C251" s="68" t="str">
        <f>'Data INPUT'!AD28</f>
        <v>Select</v>
      </c>
      <c r="D251" s="126"/>
      <c r="E251" s="430" t="s">
        <v>233</v>
      </c>
      <c r="F251" s="431"/>
      <c r="G251" s="432"/>
      <c r="H251" s="268" t="s">
        <v>33</v>
      </c>
      <c r="I251" s="268"/>
      <c r="J251" s="268"/>
      <c r="K251" s="268"/>
      <c r="L251" s="269"/>
      <c r="M251" s="424"/>
    </row>
    <row r="252" spans="1:13" ht="16.5" thickBot="1">
      <c r="A252" s="40" t="s">
        <v>86</v>
      </c>
      <c r="B252" s="41" t="s">
        <v>124</v>
      </c>
      <c r="C252" s="72" t="e">
        <f>E249-C251+10</f>
        <v>#VALUE!</v>
      </c>
      <c r="D252" s="42" t="s">
        <v>82</v>
      </c>
      <c r="E252" s="70">
        <v>100</v>
      </c>
      <c r="F252" s="72" t="s">
        <v>82</v>
      </c>
      <c r="G252" s="72">
        <v>53</v>
      </c>
      <c r="H252" s="373"/>
      <c r="I252" s="374"/>
      <c r="J252" s="374"/>
      <c r="K252" s="374"/>
      <c r="L252" s="375"/>
      <c r="M252" s="424"/>
    </row>
    <row r="253" spans="1:13" ht="16.5" thickBot="1">
      <c r="A253" s="118" t="s">
        <v>87</v>
      </c>
      <c r="B253" s="119" t="s">
        <v>170</v>
      </c>
      <c r="C253" s="81" t="e">
        <f>D254</f>
        <v>#VALUE!</v>
      </c>
      <c r="D253" s="52" t="s">
        <v>82</v>
      </c>
      <c r="E253" s="79" t="str">
        <f>C254</f>
        <v>Select</v>
      </c>
      <c r="F253" s="79"/>
      <c r="G253" s="128"/>
      <c r="H253" s="376" t="s">
        <v>120</v>
      </c>
      <c r="I253" s="377"/>
      <c r="J253" s="377"/>
      <c r="K253" s="377"/>
      <c r="L253" s="378"/>
      <c r="M253" s="424"/>
    </row>
    <row r="254" spans="1:13" ht="16.5" thickBot="1">
      <c r="A254" s="120" t="s">
        <v>90</v>
      </c>
      <c r="B254" s="121" t="s">
        <v>82</v>
      </c>
      <c r="C254" s="122" t="str">
        <f>'Data INPUT'!AD32</f>
        <v>Select</v>
      </c>
      <c r="D254" s="433" t="e">
        <f>(C249+(2*B258)-360)/2</f>
        <v>#VALUE!</v>
      </c>
      <c r="E254" s="433"/>
      <c r="F254" s="433"/>
      <c r="G254" s="434"/>
      <c r="H254" s="379"/>
      <c r="I254" s="380"/>
      <c r="J254" s="380"/>
      <c r="K254" s="380"/>
      <c r="L254" s="381"/>
      <c r="M254" s="424"/>
    </row>
    <row r="255" spans="1:13" ht="15.75">
      <c r="A255" s="382" t="s">
        <v>91</v>
      </c>
      <c r="B255" s="383"/>
      <c r="C255" s="52" t="e">
        <f>C249-230</f>
        <v>#VALUE!</v>
      </c>
      <c r="D255" s="384" t="s">
        <v>33</v>
      </c>
      <c r="E255" s="384"/>
      <c r="F255" s="384"/>
      <c r="G255" s="385"/>
      <c r="H255" s="386" t="s">
        <v>92</v>
      </c>
      <c r="I255" s="366"/>
      <c r="J255" s="366"/>
      <c r="K255" s="366"/>
      <c r="L255" s="367"/>
      <c r="M255" s="424"/>
    </row>
    <row r="256" spans="1:13" ht="16.5" thickBot="1">
      <c r="A256" s="387" t="s">
        <v>171</v>
      </c>
      <c r="B256" s="388"/>
      <c r="C256" s="37" t="e">
        <f>C255</f>
        <v>#VALUE!</v>
      </c>
      <c r="D256" s="389" t="s">
        <v>303</v>
      </c>
      <c r="E256" s="389"/>
      <c r="F256" s="389"/>
      <c r="G256" s="390"/>
      <c r="H256" s="373"/>
      <c r="I256" s="374"/>
      <c r="J256" s="374"/>
      <c r="K256" s="374"/>
      <c r="L256" s="375"/>
      <c r="M256" s="424"/>
    </row>
    <row r="257" spans="1:13" ht="16.5" thickBot="1">
      <c r="A257" s="435" t="s">
        <v>73</v>
      </c>
      <c r="B257" s="436"/>
      <c r="C257" s="52" t="e">
        <f>((C249-100)/2)+B258</f>
        <v>#VALUE!</v>
      </c>
      <c r="D257" s="52" t="s">
        <v>82</v>
      </c>
      <c r="E257" s="52" t="e">
        <f>E249+300</f>
        <v>#VALUE!</v>
      </c>
      <c r="F257" s="52" t="s">
        <v>82</v>
      </c>
      <c r="G257" s="80" t="str">
        <f>C254</f>
        <v>Select</v>
      </c>
      <c r="H257" s="351" t="s">
        <v>93</v>
      </c>
      <c r="I257" s="352"/>
      <c r="J257" s="352"/>
      <c r="K257" s="352"/>
      <c r="L257" s="353"/>
      <c r="M257" s="424"/>
    </row>
    <row r="258" spans="1:13" ht="16.5" thickBot="1">
      <c r="A258" s="125" t="s">
        <v>242</v>
      </c>
      <c r="B258" s="127" t="str">
        <f>'Data INPUT'!AD22</f>
        <v>Select</v>
      </c>
      <c r="C258" s="437" t="s">
        <v>136</v>
      </c>
      <c r="D258" s="437"/>
      <c r="E258" s="437"/>
      <c r="F258" s="437"/>
      <c r="G258" s="438"/>
      <c r="H258" s="357" t="s">
        <v>94</v>
      </c>
      <c r="I258" s="358"/>
      <c r="J258" s="358"/>
      <c r="K258" s="358"/>
      <c r="L258" s="359"/>
      <c r="M258" s="424"/>
    </row>
    <row r="259" spans="1:13" ht="16.5" thickBot="1">
      <c r="A259" s="360" t="s">
        <v>95</v>
      </c>
      <c r="B259" s="361"/>
      <c r="C259" s="55" t="s">
        <v>33</v>
      </c>
      <c r="D259" s="75" t="s">
        <v>96</v>
      </c>
      <c r="E259" s="75" t="s">
        <v>33</v>
      </c>
      <c r="F259" s="75" t="s">
        <v>97</v>
      </c>
      <c r="G259" s="56" t="s">
        <v>33</v>
      </c>
      <c r="H259" s="368" t="s">
        <v>140</v>
      </c>
      <c r="I259" s="369"/>
      <c r="J259" s="369"/>
      <c r="K259" s="57">
        <v>300</v>
      </c>
      <c r="L259" s="144" t="s">
        <v>98</v>
      </c>
      <c r="M259" s="424"/>
    </row>
    <row r="260" spans="1:13" ht="15.75">
      <c r="A260" s="345" t="s">
        <v>99</v>
      </c>
      <c r="B260" s="346"/>
      <c r="C260" s="405"/>
      <c r="D260" s="384"/>
      <c r="E260" s="384"/>
      <c r="F260" s="384"/>
      <c r="G260" s="385"/>
      <c r="H260" s="27" t="s">
        <v>100</v>
      </c>
      <c r="I260" s="265"/>
      <c r="J260" s="265"/>
      <c r="K260" s="265"/>
      <c r="L260" s="266"/>
      <c r="M260" s="424"/>
    </row>
    <row r="261" spans="1:13" ht="16.5" thickBot="1">
      <c r="A261" s="274" t="s">
        <v>62</v>
      </c>
      <c r="B261" s="347"/>
      <c r="C261" s="322" t="s">
        <v>33</v>
      </c>
      <c r="D261" s="323"/>
      <c r="E261" s="323"/>
      <c r="F261" s="323"/>
      <c r="G261" s="324"/>
      <c r="H261" s="32"/>
      <c r="I261" s="320"/>
      <c r="J261" s="320"/>
      <c r="K261" s="320"/>
      <c r="L261" s="321"/>
      <c r="M261" s="424"/>
    </row>
    <row r="262" spans="1:13" ht="16.5" thickBot="1">
      <c r="A262" s="348" t="s">
        <v>101</v>
      </c>
      <c r="B262" s="349"/>
      <c r="C262" s="76" t="str">
        <f>'Data INPUT'!AD35</f>
        <v>CSV x 2</v>
      </c>
      <c r="D262" s="72" t="s">
        <v>33</v>
      </c>
      <c r="E262" s="306" t="s">
        <v>33</v>
      </c>
      <c r="F262" s="306"/>
      <c r="G262" s="350"/>
      <c r="H262" s="32" t="s">
        <v>100</v>
      </c>
      <c r="I262" s="58"/>
      <c r="J262" s="58"/>
      <c r="K262" s="58"/>
      <c r="L262" s="94"/>
      <c r="M262" s="424"/>
    </row>
    <row r="263" spans="1:13" ht="15.75">
      <c r="A263" s="342" t="s">
        <v>137</v>
      </c>
      <c r="B263" s="343"/>
      <c r="C263" s="343"/>
      <c r="D263" s="343"/>
      <c r="E263" s="343"/>
      <c r="F263" s="343"/>
      <c r="G263" s="343"/>
      <c r="H263" s="26" t="s">
        <v>102</v>
      </c>
      <c r="I263" s="59"/>
      <c r="J263" s="24"/>
      <c r="K263" s="24"/>
      <c r="L263" s="145">
        <f>'Data INPUT'!AD42</f>
        <v>1</v>
      </c>
      <c r="M263" s="424"/>
    </row>
    <row r="264" spans="1:13" ht="15.75">
      <c r="A264" s="335" t="s">
        <v>65</v>
      </c>
      <c r="B264" s="336"/>
      <c r="C264" s="330">
        <f>'Data INPUT'!D271</f>
        <v>0</v>
      </c>
      <c r="D264" s="331"/>
      <c r="E264" s="331"/>
      <c r="F264" s="331"/>
      <c r="G264" s="332"/>
      <c r="H264" s="333" t="s">
        <v>103</v>
      </c>
      <c r="I264" s="235"/>
      <c r="J264" s="235"/>
      <c r="K264" s="334"/>
      <c r="L264" s="146">
        <f>'Data INPUT'!AD43</f>
        <v>0</v>
      </c>
      <c r="M264" s="424"/>
    </row>
    <row r="265" spans="1:13" ht="15.75">
      <c r="A265" s="327" t="s">
        <v>104</v>
      </c>
      <c r="B265" s="329"/>
      <c r="C265" s="330">
        <f>'Data INPUT'!D272</f>
        <v>0</v>
      </c>
      <c r="D265" s="331"/>
      <c r="E265" s="331"/>
      <c r="F265" s="331"/>
      <c r="G265" s="332"/>
      <c r="H265" s="333" t="s">
        <v>105</v>
      </c>
      <c r="I265" s="235"/>
      <c r="J265" s="235"/>
      <c r="K265" s="334"/>
      <c r="L265" s="146">
        <f>'Data INPUT'!AD44</f>
        <v>0</v>
      </c>
      <c r="M265" s="424"/>
    </row>
    <row r="266" spans="1:13" ht="15.75">
      <c r="A266" s="327" t="s">
        <v>106</v>
      </c>
      <c r="B266" s="329"/>
      <c r="C266" s="330">
        <f>'Data INPUT'!D273</f>
        <v>0</v>
      </c>
      <c r="D266" s="331"/>
      <c r="E266" s="331"/>
      <c r="F266" s="331"/>
      <c r="G266" s="332"/>
      <c r="H266" s="333" t="s">
        <v>107</v>
      </c>
      <c r="I266" s="235"/>
      <c r="J266" s="235"/>
      <c r="K266" s="334"/>
      <c r="L266" s="146">
        <f>'Data INPUT'!AD45</f>
        <v>0</v>
      </c>
      <c r="M266" s="424"/>
    </row>
    <row r="267" spans="1:13" ht="15.75">
      <c r="A267" s="335" t="s">
        <v>108</v>
      </c>
      <c r="B267" s="336"/>
      <c r="C267" s="330">
        <f>'Data INPUT'!D274</f>
        <v>0</v>
      </c>
      <c r="D267" s="331"/>
      <c r="E267" s="331"/>
      <c r="F267" s="331"/>
      <c r="G267" s="332"/>
      <c r="H267" s="60" t="s">
        <v>109</v>
      </c>
      <c r="I267" s="62"/>
      <c r="J267" s="25"/>
      <c r="K267" s="25"/>
      <c r="L267" s="146">
        <f>'Data INPUT'!AD46</f>
        <v>0</v>
      </c>
      <c r="M267" s="424"/>
    </row>
    <row r="268" spans="1:13" ht="15.75">
      <c r="A268" s="327" t="s">
        <v>110</v>
      </c>
      <c r="B268" s="329"/>
      <c r="C268" s="330">
        <f>'Data INPUT'!D275</f>
        <v>0</v>
      </c>
      <c r="D268" s="331"/>
      <c r="E268" s="331"/>
      <c r="F268" s="331"/>
      <c r="G268" s="332"/>
      <c r="H268" s="60" t="s">
        <v>111</v>
      </c>
      <c r="I268" s="25"/>
      <c r="J268" s="25"/>
      <c r="K268" s="61"/>
      <c r="L268" s="146">
        <f>'Data INPUT'!AD47</f>
        <v>0</v>
      </c>
      <c r="M268" s="424"/>
    </row>
    <row r="269" spans="1:13" ht="15.75" customHeight="1">
      <c r="A269" s="406" t="s">
        <v>112</v>
      </c>
      <c r="B269" s="407"/>
      <c r="C269" s="148"/>
      <c r="D269" s="148"/>
      <c r="E269" s="148"/>
      <c r="F269" s="408" t="s">
        <v>115</v>
      </c>
      <c r="G269" s="409"/>
      <c r="H269" s="60" t="s">
        <v>113</v>
      </c>
      <c r="I269" s="62"/>
      <c r="J269" s="25"/>
      <c r="K269" s="25"/>
      <c r="L269" s="146">
        <f>'Data INPUT'!AD48</f>
        <v>0</v>
      </c>
      <c r="M269" s="424"/>
    </row>
    <row r="270" spans="1:13" ht="15.75" customHeight="1">
      <c r="A270" s="327" t="s">
        <v>114</v>
      </c>
      <c r="B270" s="328"/>
      <c r="C270" s="328"/>
      <c r="D270" s="87"/>
      <c r="E270" s="87" t="s">
        <v>33</v>
      </c>
      <c r="F270" s="88" t="s">
        <v>33</v>
      </c>
      <c r="G270" s="89" t="s">
        <v>33</v>
      </c>
      <c r="H270" s="325"/>
      <c r="I270" s="326"/>
      <c r="J270" s="326"/>
      <c r="K270" s="74"/>
      <c r="L270" s="146" t="s">
        <v>33</v>
      </c>
      <c r="M270" s="424"/>
    </row>
    <row r="271" spans="1:13" ht="15.75" customHeight="1">
      <c r="A271" s="327" t="s">
        <v>116</v>
      </c>
      <c r="B271" s="328"/>
      <c r="C271" s="328"/>
      <c r="D271" s="328"/>
      <c r="E271" s="329"/>
      <c r="F271" s="88" t="s">
        <v>33</v>
      </c>
      <c r="G271" s="89"/>
      <c r="H271" s="60"/>
      <c r="I271" s="62"/>
      <c r="J271" s="25"/>
      <c r="K271" s="25"/>
      <c r="L271" s="146" t="s">
        <v>33</v>
      </c>
      <c r="M271" s="424"/>
    </row>
    <row r="272" spans="1:13" ht="16.5" customHeight="1" thickBot="1">
      <c r="A272" s="337" t="s">
        <v>117</v>
      </c>
      <c r="B272" s="362"/>
      <c r="C272" s="362"/>
      <c r="D272" s="362"/>
      <c r="E272" s="338"/>
      <c r="F272" s="90" t="s">
        <v>33</v>
      </c>
      <c r="G272" s="91"/>
      <c r="H272" s="363"/>
      <c r="I272" s="364"/>
      <c r="J272" s="364"/>
      <c r="K272" s="364"/>
      <c r="L272" s="147" t="s">
        <v>33</v>
      </c>
      <c r="M272" s="424"/>
    </row>
    <row r="273" spans="1:13" ht="50.25" customHeight="1" thickBot="1">
      <c r="A273" s="92" t="s">
        <v>118</v>
      </c>
      <c r="B273" s="93"/>
      <c r="C273" s="77" t="s">
        <v>119</v>
      </c>
      <c r="D273" s="82"/>
      <c r="E273" s="83"/>
      <c r="F273" s="84"/>
      <c r="G273" s="85"/>
      <c r="H273" s="402"/>
      <c r="I273" s="403"/>
      <c r="J273" s="403"/>
      <c r="K273" s="403"/>
      <c r="L273" s="404"/>
      <c r="M273" s="425"/>
    </row>
    <row r="274" spans="1:13" ht="16.5" thickBot="1">
      <c r="A274" s="251" t="s">
        <v>69</v>
      </c>
      <c r="B274" s="252"/>
      <c r="C274" s="253">
        <f ca="1">'Data INPUT'!$B$13</f>
        <v>46222</v>
      </c>
      <c r="D274" s="254"/>
      <c r="E274" s="254"/>
      <c r="F274" s="254"/>
      <c r="G274" s="255" t="s">
        <v>7</v>
      </c>
      <c r="H274" s="255"/>
      <c r="I274" s="255"/>
      <c r="J274" s="256" t="str">
        <f>'Data INPUT'!$B$14</f>
        <v xml:space="preserve"> </v>
      </c>
      <c r="K274" s="257"/>
      <c r="L274" s="258"/>
      <c r="M274" s="420" t="s">
        <v>149</v>
      </c>
    </row>
    <row r="275" spans="1:13" ht="15.75">
      <c r="A275" s="259" t="s">
        <v>70</v>
      </c>
      <c r="B275" s="260"/>
      <c r="C275" s="261" t="str">
        <f>'Data INPUT'!$B$4</f>
        <v xml:space="preserve"> </v>
      </c>
      <c r="D275" s="262"/>
      <c r="E275" s="262"/>
      <c r="F275" s="262"/>
      <c r="G275" s="262"/>
      <c r="H275" s="262"/>
      <c r="I275" s="263"/>
      <c r="J275" s="264" t="str">
        <f>'Data INPUT'!AE19</f>
        <v xml:space="preserve"> </v>
      </c>
      <c r="K275" s="265"/>
      <c r="L275" s="266"/>
      <c r="M275" s="421"/>
    </row>
    <row r="276" spans="1:13" ht="15.75">
      <c r="A276" s="232" t="s">
        <v>71</v>
      </c>
      <c r="B276" s="233"/>
      <c r="C276" s="234" t="str">
        <f>'Data INPUT'!$B$2</f>
        <v xml:space="preserve"> </v>
      </c>
      <c r="D276" s="235"/>
      <c r="E276" s="235"/>
      <c r="F276" s="235"/>
      <c r="G276" s="235"/>
      <c r="H276" s="235"/>
      <c r="I276" s="236"/>
      <c r="J276" s="237" t="str">
        <f>'Data INPUT'!AE24</f>
        <v xml:space="preserve"> </v>
      </c>
      <c r="K276" s="238"/>
      <c r="L276" s="239"/>
      <c r="M276" s="421"/>
    </row>
    <row r="277" spans="1:13" ht="16.5" thickBot="1">
      <c r="A277" s="240" t="s">
        <v>0</v>
      </c>
      <c r="B277" s="241"/>
      <c r="C277" s="242" t="str">
        <f>'Data INPUT'!$B$3</f>
        <v xml:space="preserve"> </v>
      </c>
      <c r="D277" s="243"/>
      <c r="E277" s="243"/>
      <c r="F277" s="243"/>
      <c r="G277" s="243"/>
      <c r="H277" s="243"/>
      <c r="I277" s="244"/>
      <c r="J277" s="317" t="str">
        <f>'Data INPUT'!AE18</f>
        <v>Curtain 8</v>
      </c>
      <c r="K277" s="318"/>
      <c r="L277" s="319"/>
      <c r="M277" s="421"/>
    </row>
    <row r="278" spans="1:13" ht="16.5" thickBot="1">
      <c r="A278" s="78" t="str">
        <f>'Data INPUT'!AE21</f>
        <v>Select</v>
      </c>
      <c r="B278" s="247" t="str">
        <f>'Data INPUT'!AE25</f>
        <v>Select</v>
      </c>
      <c r="C278" s="248"/>
      <c r="D278" s="313" t="str">
        <f>'Data INPUT'!AE20</f>
        <v>Select</v>
      </c>
      <c r="E278" s="313"/>
      <c r="F278" s="314"/>
      <c r="G278" s="365" t="s">
        <v>72</v>
      </c>
      <c r="H278" s="366"/>
      <c r="I278" s="366"/>
      <c r="J278" s="366"/>
      <c r="K278" s="366"/>
      <c r="L278" s="367"/>
      <c r="M278" s="421"/>
    </row>
    <row r="279" spans="1:13" ht="15.75">
      <c r="A279" s="259" t="s">
        <v>74</v>
      </c>
      <c r="B279" s="260"/>
      <c r="C279" s="308" t="str">
        <f>'Data INPUT'!$B$12</f>
        <v>Select</v>
      </c>
      <c r="D279" s="308"/>
      <c r="E279" s="308"/>
      <c r="F279" s="309"/>
      <c r="G279" s="305" t="str">
        <f>'Data INPUT'!$B$8</f>
        <v xml:space="preserve"> </v>
      </c>
      <c r="H279" s="306"/>
      <c r="I279" s="306"/>
      <c r="J279" s="306"/>
      <c r="K279" s="306"/>
      <c r="L279" s="307"/>
      <c r="M279" s="421"/>
    </row>
    <row r="280" spans="1:13" ht="15.75">
      <c r="A280" s="232" t="s">
        <v>75</v>
      </c>
      <c r="B280" s="233"/>
      <c r="C280" s="310" t="str">
        <f>'Data INPUT'!AE23</f>
        <v>Select</v>
      </c>
      <c r="D280" s="311"/>
      <c r="E280" s="311"/>
      <c r="F280" s="312"/>
      <c r="G280" s="305" t="str">
        <f>'Data INPUT'!$B$9</f>
        <v xml:space="preserve"> </v>
      </c>
      <c r="H280" s="306"/>
      <c r="I280" s="306"/>
      <c r="J280" s="306"/>
      <c r="K280" s="306"/>
      <c r="L280" s="307"/>
      <c r="M280" s="421"/>
    </row>
    <row r="281" spans="1:13" ht="15.75">
      <c r="A281" s="270" t="s">
        <v>76</v>
      </c>
      <c r="B281" s="271"/>
      <c r="C281" s="276">
        <v>1</v>
      </c>
      <c r="D281" s="277"/>
      <c r="E281" s="277"/>
      <c r="F281" s="278"/>
      <c r="G281" s="285" t="str">
        <f>'Data INPUT'!$B$10</f>
        <v xml:space="preserve"> </v>
      </c>
      <c r="H281" s="286"/>
      <c r="I281" s="286"/>
      <c r="J281" s="286"/>
      <c r="K281" s="286"/>
      <c r="L281" s="287"/>
      <c r="M281" s="421"/>
    </row>
    <row r="282" spans="1:13" ht="15.75">
      <c r="A282" s="272"/>
      <c r="B282" s="273"/>
      <c r="C282" s="279"/>
      <c r="D282" s="280"/>
      <c r="E282" s="280"/>
      <c r="F282" s="281"/>
      <c r="G282" s="28" t="s">
        <v>77</v>
      </c>
      <c r="H282" s="29"/>
      <c r="I282" s="29"/>
      <c r="J282" s="288" t="str">
        <f>'Data INPUT'!$B$5</f>
        <v xml:space="preserve"> </v>
      </c>
      <c r="K282" s="288"/>
      <c r="L282" s="289"/>
      <c r="M282" s="421"/>
    </row>
    <row r="283" spans="1:13" ht="16.5" thickBot="1">
      <c r="A283" s="274"/>
      <c r="B283" s="275"/>
      <c r="C283" s="282"/>
      <c r="D283" s="283"/>
      <c r="E283" s="283"/>
      <c r="F283" s="284"/>
      <c r="G283" s="31" t="s">
        <v>78</v>
      </c>
      <c r="H283" s="32"/>
      <c r="I283" s="32"/>
      <c r="J283" s="290" t="str">
        <f>'Data INPUT'!$B$6</f>
        <v xml:space="preserve"> </v>
      </c>
      <c r="K283" s="290"/>
      <c r="L283" s="291"/>
      <c r="M283" s="421"/>
    </row>
    <row r="284" spans="1:13" ht="15.75">
      <c r="A284" s="292" t="s">
        <v>79</v>
      </c>
      <c r="B284" s="293"/>
      <c r="C284" s="296" t="str">
        <f>'Data INPUT'!$B$16</f>
        <v xml:space="preserve"> </v>
      </c>
      <c r="D284" s="297"/>
      <c r="E284" s="297"/>
      <c r="F284" s="297"/>
      <c r="G284" s="297"/>
      <c r="H284" s="297"/>
      <c r="I284" s="297"/>
      <c r="J284" s="297"/>
      <c r="K284" s="297"/>
      <c r="L284" s="298"/>
      <c r="M284" s="421"/>
    </row>
    <row r="285" spans="1:13" ht="15.75">
      <c r="A285" s="292"/>
      <c r="B285" s="293"/>
      <c r="C285" s="299" t="str">
        <f>'Data INPUT'!$B$17</f>
        <v xml:space="preserve"> </v>
      </c>
      <c r="D285" s="300"/>
      <c r="E285" s="300"/>
      <c r="F285" s="300"/>
      <c r="G285" s="300"/>
      <c r="H285" s="300"/>
      <c r="I285" s="300"/>
      <c r="J285" s="300"/>
      <c r="K285" s="300"/>
      <c r="L285" s="301"/>
      <c r="M285" s="421"/>
    </row>
    <row r="286" spans="1:13" ht="16.5" thickBot="1">
      <c r="A286" s="294"/>
      <c r="B286" s="295"/>
      <c r="C286" s="302" t="str">
        <f>'Data INPUT'!$B$18</f>
        <v xml:space="preserve"> </v>
      </c>
      <c r="D286" s="303"/>
      <c r="E286" s="303"/>
      <c r="F286" s="303"/>
      <c r="G286" s="303"/>
      <c r="H286" s="303"/>
      <c r="I286" s="303"/>
      <c r="J286" s="303"/>
      <c r="K286" s="303"/>
      <c r="L286" s="304"/>
      <c r="M286" s="421"/>
    </row>
    <row r="287" spans="1:13" ht="16.5" thickBot="1">
      <c r="A287" s="391" t="s">
        <v>80</v>
      </c>
      <c r="B287" s="392"/>
      <c r="C287" s="66" t="s">
        <v>42</v>
      </c>
      <c r="D287" s="66"/>
      <c r="E287" s="69" t="s">
        <v>43</v>
      </c>
      <c r="F287" s="66"/>
      <c r="G287" s="67"/>
      <c r="H287" s="275" t="s">
        <v>229</v>
      </c>
      <c r="I287" s="275"/>
      <c r="J287" s="275"/>
      <c r="K287" s="275"/>
      <c r="L287" s="393"/>
      <c r="M287" s="421"/>
    </row>
    <row r="288" spans="1:13" ht="15.75">
      <c r="A288" s="394" t="s">
        <v>81</v>
      </c>
      <c r="B288" s="395"/>
      <c r="C288" s="71" t="str">
        <f>'Data INPUT'!AE26</f>
        <v xml:space="preserve"> </v>
      </c>
      <c r="D288" s="72" t="s">
        <v>82</v>
      </c>
      <c r="E288" s="70" t="str">
        <f>'Data INPUT'!AE27</f>
        <v xml:space="preserve"> </v>
      </c>
      <c r="F288" s="73"/>
      <c r="G288" s="33"/>
      <c r="H288" s="396"/>
      <c r="I288" s="397"/>
      <c r="J288" s="397"/>
      <c r="K288" s="397"/>
      <c r="L288" s="398"/>
      <c r="M288" s="421"/>
    </row>
    <row r="289" spans="1:13" ht="16.5" thickBot="1">
      <c r="A289" s="34" t="s">
        <v>83</v>
      </c>
      <c r="B289" s="35" t="str">
        <f>E290</f>
        <v>(200mm x 400)</v>
      </c>
      <c r="C289" s="65" t="str">
        <f>C288</f>
        <v xml:space="preserve"> </v>
      </c>
      <c r="D289" s="37"/>
      <c r="E289" s="123"/>
      <c r="F289" s="124"/>
      <c r="G289" s="124"/>
      <c r="H289" s="399" t="s">
        <v>84</v>
      </c>
      <c r="I289" s="400"/>
      <c r="J289" s="400"/>
      <c r="K289" s="400"/>
      <c r="L289" s="401"/>
      <c r="M289" s="421"/>
    </row>
    <row r="290" spans="1:13" ht="16.5" thickBot="1">
      <c r="A290" s="39" t="s">
        <v>85</v>
      </c>
      <c r="B290" s="35" t="str">
        <f>'Data INPUT'!AE28</f>
        <v>Select</v>
      </c>
      <c r="C290" s="68" t="str">
        <f>'Data INPUT'!AE28</f>
        <v>Select</v>
      </c>
      <c r="D290" s="126"/>
      <c r="E290" s="430" t="s">
        <v>233</v>
      </c>
      <c r="F290" s="431"/>
      <c r="G290" s="432"/>
      <c r="H290" s="268" t="s">
        <v>33</v>
      </c>
      <c r="I290" s="268"/>
      <c r="J290" s="268"/>
      <c r="K290" s="268"/>
      <c r="L290" s="269"/>
      <c r="M290" s="421"/>
    </row>
    <row r="291" spans="1:13" ht="16.5" thickBot="1">
      <c r="A291" s="40" t="s">
        <v>86</v>
      </c>
      <c r="B291" s="41" t="s">
        <v>124</v>
      </c>
      <c r="C291" s="72" t="e">
        <f>E288-C290+10</f>
        <v>#VALUE!</v>
      </c>
      <c r="D291" s="42" t="s">
        <v>82</v>
      </c>
      <c r="E291" s="70">
        <v>100</v>
      </c>
      <c r="F291" s="72" t="s">
        <v>82</v>
      </c>
      <c r="G291" s="72">
        <v>53</v>
      </c>
      <c r="H291" s="373"/>
      <c r="I291" s="374"/>
      <c r="J291" s="374"/>
      <c r="K291" s="374"/>
      <c r="L291" s="375"/>
      <c r="M291" s="421"/>
    </row>
    <row r="292" spans="1:13" ht="16.5" thickBot="1">
      <c r="A292" s="118" t="s">
        <v>87</v>
      </c>
      <c r="B292" s="119" t="s">
        <v>170</v>
      </c>
      <c r="C292" s="81" t="e">
        <f>D293</f>
        <v>#VALUE!</v>
      </c>
      <c r="D292" s="52" t="s">
        <v>82</v>
      </c>
      <c r="E292" s="79" t="str">
        <f>C293</f>
        <v>Select</v>
      </c>
      <c r="F292" s="79"/>
      <c r="G292" s="128"/>
      <c r="H292" s="376" t="s">
        <v>120</v>
      </c>
      <c r="I292" s="377"/>
      <c r="J292" s="377"/>
      <c r="K292" s="377"/>
      <c r="L292" s="378"/>
      <c r="M292" s="421"/>
    </row>
    <row r="293" spans="1:13" ht="16.5" thickBot="1">
      <c r="A293" s="120" t="s">
        <v>90</v>
      </c>
      <c r="B293" s="121" t="s">
        <v>82</v>
      </c>
      <c r="C293" s="122" t="str">
        <f>'Data INPUT'!AE32</f>
        <v>Select</v>
      </c>
      <c r="D293" s="433" t="e">
        <f>(C288+(2*B297)-360)/2</f>
        <v>#VALUE!</v>
      </c>
      <c r="E293" s="433"/>
      <c r="F293" s="433"/>
      <c r="G293" s="434"/>
      <c r="H293" s="379"/>
      <c r="I293" s="380"/>
      <c r="J293" s="380"/>
      <c r="K293" s="380"/>
      <c r="L293" s="381"/>
      <c r="M293" s="421"/>
    </row>
    <row r="294" spans="1:13" ht="15.75">
      <c r="A294" s="382" t="s">
        <v>91</v>
      </c>
      <c r="B294" s="383"/>
      <c r="C294" s="52" t="e">
        <f>C288-230</f>
        <v>#VALUE!</v>
      </c>
      <c r="D294" s="384" t="s">
        <v>33</v>
      </c>
      <c r="E294" s="384"/>
      <c r="F294" s="384"/>
      <c r="G294" s="385"/>
      <c r="H294" s="386" t="s">
        <v>92</v>
      </c>
      <c r="I294" s="366"/>
      <c r="J294" s="366"/>
      <c r="K294" s="366"/>
      <c r="L294" s="367"/>
      <c r="M294" s="421"/>
    </row>
    <row r="295" spans="1:13" ht="16.5" thickBot="1">
      <c r="A295" s="387" t="s">
        <v>171</v>
      </c>
      <c r="B295" s="388"/>
      <c r="C295" s="37" t="e">
        <f>C294</f>
        <v>#VALUE!</v>
      </c>
      <c r="D295" s="389" t="s">
        <v>303</v>
      </c>
      <c r="E295" s="389"/>
      <c r="F295" s="389"/>
      <c r="G295" s="390"/>
      <c r="H295" s="373"/>
      <c r="I295" s="374"/>
      <c r="J295" s="374"/>
      <c r="K295" s="374"/>
      <c r="L295" s="375"/>
      <c r="M295" s="421"/>
    </row>
    <row r="296" spans="1:13" ht="16.5" thickBot="1">
      <c r="A296" s="435" t="s">
        <v>73</v>
      </c>
      <c r="B296" s="436"/>
      <c r="C296" s="52" t="e">
        <f>((C288-100)/2)+B297</f>
        <v>#VALUE!</v>
      </c>
      <c r="D296" s="52" t="s">
        <v>82</v>
      </c>
      <c r="E296" s="52" t="e">
        <f>E288+300</f>
        <v>#VALUE!</v>
      </c>
      <c r="F296" s="52" t="s">
        <v>82</v>
      </c>
      <c r="G296" s="80" t="str">
        <f>C293</f>
        <v>Select</v>
      </c>
      <c r="H296" s="351" t="s">
        <v>93</v>
      </c>
      <c r="I296" s="352"/>
      <c r="J296" s="352"/>
      <c r="K296" s="352"/>
      <c r="L296" s="353"/>
      <c r="M296" s="421"/>
    </row>
    <row r="297" spans="1:13" ht="16.5" thickBot="1">
      <c r="A297" s="125" t="s">
        <v>242</v>
      </c>
      <c r="B297" s="127" t="str">
        <f>'Data INPUT'!AE22</f>
        <v>Select</v>
      </c>
      <c r="C297" s="437" t="s">
        <v>136</v>
      </c>
      <c r="D297" s="437"/>
      <c r="E297" s="437"/>
      <c r="F297" s="437"/>
      <c r="G297" s="438"/>
      <c r="H297" s="357" t="s">
        <v>94</v>
      </c>
      <c r="I297" s="358"/>
      <c r="J297" s="358"/>
      <c r="K297" s="358"/>
      <c r="L297" s="359"/>
      <c r="M297" s="421"/>
    </row>
    <row r="298" spans="1:13" ht="16.5" thickBot="1">
      <c r="A298" s="360" t="s">
        <v>95</v>
      </c>
      <c r="B298" s="361"/>
      <c r="C298" s="55" t="s">
        <v>33</v>
      </c>
      <c r="D298" s="75" t="s">
        <v>96</v>
      </c>
      <c r="E298" s="75" t="s">
        <v>33</v>
      </c>
      <c r="F298" s="75" t="s">
        <v>97</v>
      </c>
      <c r="G298" s="56" t="s">
        <v>33</v>
      </c>
      <c r="H298" s="368" t="s">
        <v>140</v>
      </c>
      <c r="I298" s="369"/>
      <c r="J298" s="369"/>
      <c r="K298" s="57">
        <v>300</v>
      </c>
      <c r="L298" s="144" t="s">
        <v>98</v>
      </c>
      <c r="M298" s="421"/>
    </row>
    <row r="299" spans="1:13" ht="15.75">
      <c r="A299" s="345" t="s">
        <v>99</v>
      </c>
      <c r="B299" s="346"/>
      <c r="C299" s="405"/>
      <c r="D299" s="384"/>
      <c r="E299" s="384"/>
      <c r="F299" s="384"/>
      <c r="G299" s="385"/>
      <c r="H299" s="27" t="s">
        <v>100</v>
      </c>
      <c r="I299" s="265"/>
      <c r="J299" s="265"/>
      <c r="K299" s="265"/>
      <c r="L299" s="266"/>
      <c r="M299" s="421"/>
    </row>
    <row r="300" spans="1:13" ht="16.5" thickBot="1">
      <c r="A300" s="274" t="s">
        <v>62</v>
      </c>
      <c r="B300" s="347"/>
      <c r="C300" s="322" t="s">
        <v>33</v>
      </c>
      <c r="D300" s="323"/>
      <c r="E300" s="323"/>
      <c r="F300" s="323"/>
      <c r="G300" s="324"/>
      <c r="H300" s="32"/>
      <c r="I300" s="320"/>
      <c r="J300" s="320"/>
      <c r="K300" s="320"/>
      <c r="L300" s="321"/>
      <c r="M300" s="421"/>
    </row>
    <row r="301" spans="1:13" ht="16.5" thickBot="1">
      <c r="A301" s="348" t="s">
        <v>101</v>
      </c>
      <c r="B301" s="349"/>
      <c r="C301" s="76" t="str">
        <f>'Data INPUT'!AE35</f>
        <v>CSV x 2</v>
      </c>
      <c r="D301" s="72" t="s">
        <v>33</v>
      </c>
      <c r="E301" s="306" t="s">
        <v>33</v>
      </c>
      <c r="F301" s="306"/>
      <c r="G301" s="350"/>
      <c r="H301" s="32" t="s">
        <v>100</v>
      </c>
      <c r="I301" s="58"/>
      <c r="J301" s="58"/>
      <c r="K301" s="58"/>
      <c r="L301" s="94"/>
      <c r="M301" s="421"/>
    </row>
    <row r="302" spans="1:13" ht="15.75">
      <c r="A302" s="342" t="s">
        <v>137</v>
      </c>
      <c r="B302" s="343"/>
      <c r="C302" s="343"/>
      <c r="D302" s="343"/>
      <c r="E302" s="343"/>
      <c r="F302" s="343"/>
      <c r="G302" s="343"/>
      <c r="H302" s="26" t="s">
        <v>102</v>
      </c>
      <c r="I302" s="59"/>
      <c r="J302" s="24"/>
      <c r="K302" s="24"/>
      <c r="L302" s="145">
        <f>'Data INPUT'!AE42</f>
        <v>1</v>
      </c>
      <c r="M302" s="421"/>
    </row>
    <row r="303" spans="1:13" ht="15.75">
      <c r="A303" s="335" t="s">
        <v>65</v>
      </c>
      <c r="B303" s="336"/>
      <c r="C303" s="330">
        <f>'Data INPUT'!D310</f>
        <v>0</v>
      </c>
      <c r="D303" s="331"/>
      <c r="E303" s="331"/>
      <c r="F303" s="331"/>
      <c r="G303" s="332"/>
      <c r="H303" s="333" t="s">
        <v>103</v>
      </c>
      <c r="I303" s="235"/>
      <c r="J303" s="235"/>
      <c r="K303" s="334"/>
      <c r="L303" s="146">
        <f>'Data INPUT'!AE43</f>
        <v>0</v>
      </c>
      <c r="M303" s="421"/>
    </row>
    <row r="304" spans="1:13" ht="15.75">
      <c r="A304" s="327" t="s">
        <v>104</v>
      </c>
      <c r="B304" s="329"/>
      <c r="C304" s="330">
        <f>'Data INPUT'!D311</f>
        <v>0</v>
      </c>
      <c r="D304" s="331"/>
      <c r="E304" s="331"/>
      <c r="F304" s="331"/>
      <c r="G304" s="332"/>
      <c r="H304" s="333" t="s">
        <v>105</v>
      </c>
      <c r="I304" s="235"/>
      <c r="J304" s="235"/>
      <c r="K304" s="334"/>
      <c r="L304" s="146">
        <f>'Data INPUT'!AE44</f>
        <v>0</v>
      </c>
      <c r="M304" s="421"/>
    </row>
    <row r="305" spans="1:13" ht="15.75">
      <c r="A305" s="327" t="s">
        <v>106</v>
      </c>
      <c r="B305" s="329"/>
      <c r="C305" s="330">
        <f>'Data INPUT'!D312</f>
        <v>0</v>
      </c>
      <c r="D305" s="331"/>
      <c r="E305" s="331"/>
      <c r="F305" s="331"/>
      <c r="G305" s="332"/>
      <c r="H305" s="333" t="s">
        <v>107</v>
      </c>
      <c r="I305" s="235"/>
      <c r="J305" s="235"/>
      <c r="K305" s="334"/>
      <c r="L305" s="146">
        <f>'Data INPUT'!AE45</f>
        <v>0</v>
      </c>
      <c r="M305" s="421"/>
    </row>
    <row r="306" spans="1:13" ht="15.75">
      <c r="A306" s="335" t="s">
        <v>108</v>
      </c>
      <c r="B306" s="336"/>
      <c r="C306" s="330">
        <f>'Data INPUT'!D313</f>
        <v>0</v>
      </c>
      <c r="D306" s="331"/>
      <c r="E306" s="331"/>
      <c r="F306" s="331"/>
      <c r="G306" s="332"/>
      <c r="H306" s="60" t="s">
        <v>109</v>
      </c>
      <c r="I306" s="62"/>
      <c r="J306" s="25"/>
      <c r="K306" s="25"/>
      <c r="L306" s="146">
        <f>'Data INPUT'!AE46</f>
        <v>0</v>
      </c>
      <c r="M306" s="421"/>
    </row>
    <row r="307" spans="1:13" ht="15.75">
      <c r="A307" s="327" t="s">
        <v>110</v>
      </c>
      <c r="B307" s="329"/>
      <c r="C307" s="330">
        <f>'Data INPUT'!D314</f>
        <v>0</v>
      </c>
      <c r="D307" s="331"/>
      <c r="E307" s="331"/>
      <c r="F307" s="331"/>
      <c r="G307" s="332"/>
      <c r="H307" s="60" t="s">
        <v>111</v>
      </c>
      <c r="I307" s="25"/>
      <c r="J307" s="25"/>
      <c r="K307" s="61"/>
      <c r="L307" s="146">
        <f>'Data INPUT'!AE47</f>
        <v>0</v>
      </c>
      <c r="M307" s="421"/>
    </row>
    <row r="308" spans="1:13" ht="15.75" customHeight="1">
      <c r="A308" s="406" t="s">
        <v>112</v>
      </c>
      <c r="B308" s="407"/>
      <c r="C308" s="148"/>
      <c r="D308" s="148"/>
      <c r="E308" s="148"/>
      <c r="F308" s="408" t="s">
        <v>115</v>
      </c>
      <c r="G308" s="409"/>
      <c r="H308" s="60" t="s">
        <v>113</v>
      </c>
      <c r="I308" s="62"/>
      <c r="J308" s="25"/>
      <c r="K308" s="25"/>
      <c r="L308" s="146">
        <f>'Data INPUT'!AE48</f>
        <v>0</v>
      </c>
      <c r="M308" s="421"/>
    </row>
    <row r="309" spans="1:13" ht="15.75" customHeight="1">
      <c r="A309" s="327" t="s">
        <v>114</v>
      </c>
      <c r="B309" s="328"/>
      <c r="C309" s="328"/>
      <c r="D309" s="87"/>
      <c r="E309" s="87" t="s">
        <v>33</v>
      </c>
      <c r="F309" s="88" t="s">
        <v>33</v>
      </c>
      <c r="G309" s="89" t="s">
        <v>33</v>
      </c>
      <c r="H309" s="325"/>
      <c r="I309" s="326"/>
      <c r="J309" s="326"/>
      <c r="K309" s="74"/>
      <c r="L309" s="146" t="s">
        <v>33</v>
      </c>
      <c r="M309" s="421"/>
    </row>
    <row r="310" spans="1:13" ht="15.75" customHeight="1">
      <c r="A310" s="327" t="s">
        <v>116</v>
      </c>
      <c r="B310" s="328"/>
      <c r="C310" s="328"/>
      <c r="D310" s="328"/>
      <c r="E310" s="329"/>
      <c r="F310" s="88" t="s">
        <v>33</v>
      </c>
      <c r="G310" s="89"/>
      <c r="H310" s="60"/>
      <c r="I310" s="62"/>
      <c r="J310" s="25"/>
      <c r="K310" s="25"/>
      <c r="L310" s="146" t="s">
        <v>33</v>
      </c>
      <c r="M310" s="421"/>
    </row>
    <row r="311" spans="1:13" ht="16.5" customHeight="1" thickBot="1">
      <c r="A311" s="337" t="s">
        <v>117</v>
      </c>
      <c r="B311" s="362"/>
      <c r="C311" s="362"/>
      <c r="D311" s="362"/>
      <c r="E311" s="338"/>
      <c r="F311" s="90" t="s">
        <v>33</v>
      </c>
      <c r="G311" s="91"/>
      <c r="H311" s="363"/>
      <c r="I311" s="364"/>
      <c r="J311" s="364"/>
      <c r="K311" s="364"/>
      <c r="L311" s="147" t="s">
        <v>33</v>
      </c>
      <c r="M311" s="421"/>
    </row>
    <row r="312" spans="1:13" ht="52.5" customHeight="1" thickBot="1">
      <c r="A312" s="92" t="s">
        <v>118</v>
      </c>
      <c r="B312" s="93"/>
      <c r="C312" s="77" t="s">
        <v>119</v>
      </c>
      <c r="D312" s="82"/>
      <c r="E312" s="83"/>
      <c r="F312" s="84"/>
      <c r="G312" s="85"/>
      <c r="H312" s="402"/>
      <c r="I312" s="403"/>
      <c r="J312" s="403"/>
      <c r="K312" s="403"/>
      <c r="L312" s="404"/>
      <c r="M312" s="422"/>
    </row>
    <row r="313" spans="1:13" ht="16.5" thickBot="1">
      <c r="A313" s="251" t="s">
        <v>69</v>
      </c>
      <c r="B313" s="252"/>
      <c r="C313" s="253">
        <f ca="1">'Data INPUT'!$B$13</f>
        <v>46222</v>
      </c>
      <c r="D313" s="254"/>
      <c r="E313" s="254"/>
      <c r="F313" s="254"/>
      <c r="G313" s="255" t="s">
        <v>7</v>
      </c>
      <c r="H313" s="255"/>
      <c r="I313" s="255"/>
      <c r="J313" s="256" t="str">
        <f>'Data INPUT'!$B$14</f>
        <v xml:space="preserve"> </v>
      </c>
      <c r="K313" s="257"/>
      <c r="L313" s="258"/>
      <c r="M313" s="423" t="s">
        <v>150</v>
      </c>
    </row>
    <row r="314" spans="1:13" ht="15.75">
      <c r="A314" s="259" t="s">
        <v>70</v>
      </c>
      <c r="B314" s="260"/>
      <c r="C314" s="261" t="str">
        <f>'Data INPUT'!$B$4</f>
        <v xml:space="preserve"> </v>
      </c>
      <c r="D314" s="262"/>
      <c r="E314" s="262"/>
      <c r="F314" s="262"/>
      <c r="G314" s="262"/>
      <c r="H314" s="262"/>
      <c r="I314" s="263"/>
      <c r="J314" s="264" t="str">
        <f>'Data INPUT'!AF19</f>
        <v xml:space="preserve"> </v>
      </c>
      <c r="K314" s="265"/>
      <c r="L314" s="266"/>
      <c r="M314" s="424"/>
    </row>
    <row r="315" spans="1:13" ht="15.75">
      <c r="A315" s="232" t="s">
        <v>71</v>
      </c>
      <c r="B315" s="233"/>
      <c r="C315" s="234" t="str">
        <f>'Data INPUT'!$B$2</f>
        <v xml:space="preserve"> </v>
      </c>
      <c r="D315" s="235"/>
      <c r="E315" s="235"/>
      <c r="F315" s="235"/>
      <c r="G315" s="235"/>
      <c r="H315" s="235"/>
      <c r="I315" s="236"/>
      <c r="J315" s="237" t="str">
        <f>'Data INPUT'!AF24</f>
        <v xml:space="preserve"> </v>
      </c>
      <c r="K315" s="238"/>
      <c r="L315" s="239"/>
      <c r="M315" s="424"/>
    </row>
    <row r="316" spans="1:13" ht="16.5" thickBot="1">
      <c r="A316" s="240" t="s">
        <v>0</v>
      </c>
      <c r="B316" s="241"/>
      <c r="C316" s="242" t="str">
        <f>'Data INPUT'!$B$3</f>
        <v xml:space="preserve"> </v>
      </c>
      <c r="D316" s="243"/>
      <c r="E316" s="243"/>
      <c r="F316" s="243"/>
      <c r="G316" s="243"/>
      <c r="H316" s="243"/>
      <c r="I316" s="244"/>
      <c r="J316" s="317" t="str">
        <f>'Data INPUT'!AF18</f>
        <v>Curtain 9</v>
      </c>
      <c r="K316" s="318"/>
      <c r="L316" s="319"/>
      <c r="M316" s="424"/>
    </row>
    <row r="317" spans="1:13" ht="16.5" thickBot="1">
      <c r="A317" s="78" t="str">
        <f>'Data INPUT'!AF21</f>
        <v>Select</v>
      </c>
      <c r="B317" s="247" t="str">
        <f>'Data INPUT'!AF25</f>
        <v>Select</v>
      </c>
      <c r="C317" s="248"/>
      <c r="D317" s="313" t="str">
        <f>'Data INPUT'!AF20</f>
        <v>Select</v>
      </c>
      <c r="E317" s="313"/>
      <c r="F317" s="314"/>
      <c r="G317" s="365" t="s">
        <v>72</v>
      </c>
      <c r="H317" s="366"/>
      <c r="I317" s="366"/>
      <c r="J317" s="366"/>
      <c r="K317" s="366"/>
      <c r="L317" s="367"/>
      <c r="M317" s="424"/>
    </row>
    <row r="318" spans="1:13" ht="15.75">
      <c r="A318" s="259" t="s">
        <v>74</v>
      </c>
      <c r="B318" s="260"/>
      <c r="C318" s="308" t="str">
        <f>'Data INPUT'!$B$12</f>
        <v>Select</v>
      </c>
      <c r="D318" s="308"/>
      <c r="E318" s="308"/>
      <c r="F318" s="309"/>
      <c r="G318" s="305" t="str">
        <f>'Data INPUT'!$B$8</f>
        <v xml:space="preserve"> </v>
      </c>
      <c r="H318" s="306"/>
      <c r="I318" s="306"/>
      <c r="J318" s="306"/>
      <c r="K318" s="306"/>
      <c r="L318" s="307"/>
      <c r="M318" s="424"/>
    </row>
    <row r="319" spans="1:13" ht="15.75">
      <c r="A319" s="232" t="s">
        <v>75</v>
      </c>
      <c r="B319" s="233"/>
      <c r="C319" s="310" t="str">
        <f>'Data INPUT'!AF23</f>
        <v>Select</v>
      </c>
      <c r="D319" s="311"/>
      <c r="E319" s="311"/>
      <c r="F319" s="312"/>
      <c r="G319" s="305" t="str">
        <f>'Data INPUT'!$B$9</f>
        <v xml:space="preserve"> </v>
      </c>
      <c r="H319" s="306"/>
      <c r="I319" s="306"/>
      <c r="J319" s="306"/>
      <c r="K319" s="306"/>
      <c r="L319" s="307"/>
      <c r="M319" s="424"/>
    </row>
    <row r="320" spans="1:13" ht="15.75">
      <c r="A320" s="270" t="s">
        <v>76</v>
      </c>
      <c r="B320" s="271"/>
      <c r="C320" s="276">
        <v>1</v>
      </c>
      <c r="D320" s="277"/>
      <c r="E320" s="277"/>
      <c r="F320" s="278"/>
      <c r="G320" s="285" t="str">
        <f>'Data INPUT'!$B$10</f>
        <v xml:space="preserve"> </v>
      </c>
      <c r="H320" s="286"/>
      <c r="I320" s="286"/>
      <c r="J320" s="286"/>
      <c r="K320" s="286"/>
      <c r="L320" s="287"/>
      <c r="M320" s="424"/>
    </row>
    <row r="321" spans="1:13" ht="15.75">
      <c r="A321" s="272"/>
      <c r="B321" s="273"/>
      <c r="C321" s="279"/>
      <c r="D321" s="280"/>
      <c r="E321" s="280"/>
      <c r="F321" s="281"/>
      <c r="G321" s="28" t="s">
        <v>77</v>
      </c>
      <c r="H321" s="29"/>
      <c r="I321" s="29"/>
      <c r="J321" s="288" t="str">
        <f>'Data INPUT'!$B$5</f>
        <v xml:space="preserve"> </v>
      </c>
      <c r="K321" s="288"/>
      <c r="L321" s="289"/>
      <c r="M321" s="424"/>
    </row>
    <row r="322" spans="1:13" ht="16.5" thickBot="1">
      <c r="A322" s="274"/>
      <c r="B322" s="275"/>
      <c r="C322" s="282"/>
      <c r="D322" s="283"/>
      <c r="E322" s="283"/>
      <c r="F322" s="284"/>
      <c r="G322" s="31" t="s">
        <v>78</v>
      </c>
      <c r="H322" s="32"/>
      <c r="I322" s="32"/>
      <c r="J322" s="290" t="str">
        <f>'Data INPUT'!$B$6</f>
        <v xml:space="preserve"> </v>
      </c>
      <c r="K322" s="290"/>
      <c r="L322" s="291"/>
      <c r="M322" s="424"/>
    </row>
    <row r="323" spans="1:13" ht="15.75">
      <c r="A323" s="292" t="s">
        <v>79</v>
      </c>
      <c r="B323" s="293"/>
      <c r="C323" s="296" t="str">
        <f>'Data INPUT'!$B$16</f>
        <v xml:space="preserve"> </v>
      </c>
      <c r="D323" s="297"/>
      <c r="E323" s="297"/>
      <c r="F323" s="297"/>
      <c r="G323" s="297"/>
      <c r="H323" s="297"/>
      <c r="I323" s="297"/>
      <c r="J323" s="297"/>
      <c r="K323" s="297"/>
      <c r="L323" s="298"/>
      <c r="M323" s="424"/>
    </row>
    <row r="324" spans="1:13" ht="15.75">
      <c r="A324" s="292"/>
      <c r="B324" s="293"/>
      <c r="C324" s="299" t="str">
        <f>'Data INPUT'!$B$17</f>
        <v xml:space="preserve"> </v>
      </c>
      <c r="D324" s="300"/>
      <c r="E324" s="300"/>
      <c r="F324" s="300"/>
      <c r="G324" s="300"/>
      <c r="H324" s="300"/>
      <c r="I324" s="300"/>
      <c r="J324" s="300"/>
      <c r="K324" s="300"/>
      <c r="L324" s="301"/>
      <c r="M324" s="424"/>
    </row>
    <row r="325" spans="1:13" ht="16.5" thickBot="1">
      <c r="A325" s="294"/>
      <c r="B325" s="295"/>
      <c r="C325" s="302" t="str">
        <f>'Data INPUT'!$B$18</f>
        <v xml:space="preserve"> </v>
      </c>
      <c r="D325" s="303"/>
      <c r="E325" s="303"/>
      <c r="F325" s="303"/>
      <c r="G325" s="303"/>
      <c r="H325" s="303"/>
      <c r="I325" s="303"/>
      <c r="J325" s="303"/>
      <c r="K325" s="303"/>
      <c r="L325" s="304"/>
      <c r="M325" s="424"/>
    </row>
    <row r="326" spans="1:13" ht="16.5" thickBot="1">
      <c r="A326" s="391" t="s">
        <v>80</v>
      </c>
      <c r="B326" s="392"/>
      <c r="C326" s="66" t="s">
        <v>42</v>
      </c>
      <c r="D326" s="66"/>
      <c r="E326" s="69" t="s">
        <v>43</v>
      </c>
      <c r="F326" s="66"/>
      <c r="G326" s="67"/>
      <c r="H326" s="275" t="s">
        <v>229</v>
      </c>
      <c r="I326" s="275"/>
      <c r="J326" s="275"/>
      <c r="K326" s="275"/>
      <c r="L326" s="393"/>
      <c r="M326" s="424"/>
    </row>
    <row r="327" spans="1:13" ht="15.75">
      <c r="A327" s="394" t="s">
        <v>81</v>
      </c>
      <c r="B327" s="395"/>
      <c r="C327" s="71" t="str">
        <f>'Data INPUT'!AF26</f>
        <v xml:space="preserve"> </v>
      </c>
      <c r="D327" s="72" t="s">
        <v>82</v>
      </c>
      <c r="E327" s="70" t="str">
        <f>'Data INPUT'!AF27</f>
        <v xml:space="preserve"> </v>
      </c>
      <c r="F327" s="73"/>
      <c r="G327" s="33"/>
      <c r="H327" s="396"/>
      <c r="I327" s="397"/>
      <c r="J327" s="397"/>
      <c r="K327" s="397"/>
      <c r="L327" s="398"/>
      <c r="M327" s="424"/>
    </row>
    <row r="328" spans="1:13" ht="16.5" thickBot="1">
      <c r="A328" s="34" t="s">
        <v>83</v>
      </c>
      <c r="B328" s="35" t="str">
        <f>E329</f>
        <v>180 x 360</v>
      </c>
      <c r="C328" s="65" t="str">
        <f>C327</f>
        <v xml:space="preserve"> </v>
      </c>
      <c r="D328" s="37"/>
      <c r="E328" s="123"/>
      <c r="F328" s="124"/>
      <c r="G328" s="124"/>
      <c r="H328" s="399" t="s">
        <v>84</v>
      </c>
      <c r="I328" s="400"/>
      <c r="J328" s="400"/>
      <c r="K328" s="400"/>
      <c r="L328" s="401"/>
      <c r="M328" s="424"/>
    </row>
    <row r="329" spans="1:13" ht="16.5" thickBot="1">
      <c r="A329" s="39" t="s">
        <v>85</v>
      </c>
      <c r="B329" s="35" t="str">
        <f>'Data INPUT'!AF28</f>
        <v>Select</v>
      </c>
      <c r="C329" s="68" t="str">
        <f>'Data INPUT'!AF28</f>
        <v>Select</v>
      </c>
      <c r="D329" s="126"/>
      <c r="E329" s="430" t="s">
        <v>440</v>
      </c>
      <c r="F329" s="431"/>
      <c r="G329" s="432"/>
      <c r="H329" s="268" t="s">
        <v>33</v>
      </c>
      <c r="I329" s="268"/>
      <c r="J329" s="268"/>
      <c r="K329" s="268"/>
      <c r="L329" s="269"/>
      <c r="M329" s="424"/>
    </row>
    <row r="330" spans="1:13" ht="16.5" thickBot="1">
      <c r="A330" s="40" t="s">
        <v>86</v>
      </c>
      <c r="B330" s="41" t="s">
        <v>124</v>
      </c>
      <c r="C330" s="72" t="e">
        <f>E327-C329+10</f>
        <v>#VALUE!</v>
      </c>
      <c r="D330" s="42" t="s">
        <v>82</v>
      </c>
      <c r="E330" s="70">
        <v>100</v>
      </c>
      <c r="F330" s="72" t="s">
        <v>82</v>
      </c>
      <c r="G330" s="72">
        <v>53</v>
      </c>
      <c r="H330" s="373"/>
      <c r="I330" s="374"/>
      <c r="J330" s="374"/>
      <c r="K330" s="374"/>
      <c r="L330" s="375"/>
      <c r="M330" s="424"/>
    </row>
    <row r="331" spans="1:13" ht="16.5" thickBot="1">
      <c r="A331" s="118" t="s">
        <v>87</v>
      </c>
      <c r="B331" s="119" t="s">
        <v>170</v>
      </c>
      <c r="C331" s="81" t="e">
        <f>D332</f>
        <v>#VALUE!</v>
      </c>
      <c r="D331" s="52" t="s">
        <v>82</v>
      </c>
      <c r="E331" s="79" t="str">
        <f>C332</f>
        <v>Select</v>
      </c>
      <c r="F331" s="79"/>
      <c r="G331" s="128"/>
      <c r="H331" s="376" t="s">
        <v>120</v>
      </c>
      <c r="I331" s="377"/>
      <c r="J331" s="377"/>
      <c r="K331" s="377"/>
      <c r="L331" s="378"/>
      <c r="M331" s="424"/>
    </row>
    <row r="332" spans="1:13" ht="16.5" thickBot="1">
      <c r="A332" s="120" t="s">
        <v>90</v>
      </c>
      <c r="B332" s="121" t="s">
        <v>82</v>
      </c>
      <c r="C332" s="122" t="str">
        <f>'Data INPUT'!AF32</f>
        <v>Select</v>
      </c>
      <c r="D332" s="433" t="e">
        <f>(C327+(2*B336)-360)/2</f>
        <v>#VALUE!</v>
      </c>
      <c r="E332" s="433"/>
      <c r="F332" s="433"/>
      <c r="G332" s="434"/>
      <c r="H332" s="379"/>
      <c r="I332" s="380"/>
      <c r="J332" s="380"/>
      <c r="K332" s="380"/>
      <c r="L332" s="381"/>
      <c r="M332" s="424"/>
    </row>
    <row r="333" spans="1:13" ht="15.75">
      <c r="A333" s="382" t="s">
        <v>91</v>
      </c>
      <c r="B333" s="383"/>
      <c r="C333" s="52" t="e">
        <f>C327-230</f>
        <v>#VALUE!</v>
      </c>
      <c r="D333" s="384" t="s">
        <v>33</v>
      </c>
      <c r="E333" s="384"/>
      <c r="F333" s="384"/>
      <c r="G333" s="385"/>
      <c r="H333" s="386" t="s">
        <v>92</v>
      </c>
      <c r="I333" s="366"/>
      <c r="J333" s="366"/>
      <c r="K333" s="366"/>
      <c r="L333" s="367"/>
      <c r="M333" s="424"/>
    </row>
    <row r="334" spans="1:13" ht="16.5" thickBot="1">
      <c r="A334" s="387" t="s">
        <v>171</v>
      </c>
      <c r="B334" s="388"/>
      <c r="C334" s="37" t="e">
        <f>C333</f>
        <v>#VALUE!</v>
      </c>
      <c r="D334" s="389" t="s">
        <v>303</v>
      </c>
      <c r="E334" s="389"/>
      <c r="F334" s="389"/>
      <c r="G334" s="390"/>
      <c r="H334" s="373"/>
      <c r="I334" s="374"/>
      <c r="J334" s="374"/>
      <c r="K334" s="374"/>
      <c r="L334" s="375"/>
      <c r="M334" s="424"/>
    </row>
    <row r="335" spans="1:13" ht="16.5" thickBot="1">
      <c r="A335" s="435" t="s">
        <v>73</v>
      </c>
      <c r="B335" s="436"/>
      <c r="C335" s="52" t="e">
        <f>((C327-100)/2)+B336</f>
        <v>#VALUE!</v>
      </c>
      <c r="D335" s="52" t="s">
        <v>82</v>
      </c>
      <c r="E335" s="52" t="e">
        <f>E327+300</f>
        <v>#VALUE!</v>
      </c>
      <c r="F335" s="52" t="s">
        <v>82</v>
      </c>
      <c r="G335" s="80" t="str">
        <f>C332</f>
        <v>Select</v>
      </c>
      <c r="H335" s="351" t="s">
        <v>93</v>
      </c>
      <c r="I335" s="352"/>
      <c r="J335" s="352"/>
      <c r="K335" s="352"/>
      <c r="L335" s="353"/>
      <c r="M335" s="424"/>
    </row>
    <row r="336" spans="1:13" ht="16.5" thickBot="1">
      <c r="A336" s="125" t="s">
        <v>242</v>
      </c>
      <c r="B336" s="127" t="str">
        <f>'Data INPUT'!AF22</f>
        <v>Select</v>
      </c>
      <c r="C336" s="437" t="s">
        <v>136</v>
      </c>
      <c r="D336" s="437"/>
      <c r="E336" s="437"/>
      <c r="F336" s="437"/>
      <c r="G336" s="438"/>
      <c r="H336" s="357" t="s">
        <v>94</v>
      </c>
      <c r="I336" s="358"/>
      <c r="J336" s="358"/>
      <c r="K336" s="358"/>
      <c r="L336" s="359"/>
      <c r="M336" s="424"/>
    </row>
    <row r="337" spans="1:13" ht="16.5" thickBot="1">
      <c r="A337" s="360" t="s">
        <v>95</v>
      </c>
      <c r="B337" s="361"/>
      <c r="C337" s="55" t="s">
        <v>33</v>
      </c>
      <c r="D337" s="75" t="s">
        <v>96</v>
      </c>
      <c r="E337" s="75" t="s">
        <v>33</v>
      </c>
      <c r="F337" s="75" t="s">
        <v>97</v>
      </c>
      <c r="G337" s="56" t="s">
        <v>33</v>
      </c>
      <c r="H337" s="368" t="s">
        <v>140</v>
      </c>
      <c r="I337" s="369"/>
      <c r="J337" s="369"/>
      <c r="K337" s="57">
        <v>300</v>
      </c>
      <c r="L337" s="144" t="s">
        <v>98</v>
      </c>
      <c r="M337" s="424"/>
    </row>
    <row r="338" spans="1:13" ht="15.75">
      <c r="A338" s="345" t="s">
        <v>99</v>
      </c>
      <c r="B338" s="346"/>
      <c r="C338" s="405"/>
      <c r="D338" s="384"/>
      <c r="E338" s="384"/>
      <c r="F338" s="384"/>
      <c r="G338" s="385"/>
      <c r="H338" s="27" t="s">
        <v>100</v>
      </c>
      <c r="I338" s="265"/>
      <c r="J338" s="265"/>
      <c r="K338" s="265"/>
      <c r="L338" s="266"/>
      <c r="M338" s="424"/>
    </row>
    <row r="339" spans="1:13" ht="16.5" thickBot="1">
      <c r="A339" s="274" t="s">
        <v>62</v>
      </c>
      <c r="B339" s="347"/>
      <c r="C339" s="322" t="s">
        <v>33</v>
      </c>
      <c r="D339" s="323"/>
      <c r="E339" s="323"/>
      <c r="F339" s="323"/>
      <c r="G339" s="324"/>
      <c r="H339" s="32"/>
      <c r="I339" s="320"/>
      <c r="J339" s="320"/>
      <c r="K339" s="320"/>
      <c r="L339" s="321"/>
      <c r="M339" s="424"/>
    </row>
    <row r="340" spans="1:13" ht="16.5" thickBot="1">
      <c r="A340" s="348" t="s">
        <v>101</v>
      </c>
      <c r="B340" s="349"/>
      <c r="C340" s="76" t="str">
        <f>'Data INPUT'!AF35</f>
        <v>CSV x 2</v>
      </c>
      <c r="D340" s="72" t="s">
        <v>33</v>
      </c>
      <c r="E340" s="306" t="s">
        <v>33</v>
      </c>
      <c r="F340" s="306"/>
      <c r="G340" s="350"/>
      <c r="H340" s="32" t="s">
        <v>100</v>
      </c>
      <c r="I340" s="58"/>
      <c r="J340" s="58"/>
      <c r="K340" s="58"/>
      <c r="L340" s="94"/>
      <c r="M340" s="424"/>
    </row>
    <row r="341" spans="1:13" ht="15.75">
      <c r="A341" s="342" t="s">
        <v>137</v>
      </c>
      <c r="B341" s="343"/>
      <c r="C341" s="343"/>
      <c r="D341" s="343"/>
      <c r="E341" s="343"/>
      <c r="F341" s="343"/>
      <c r="G341" s="343"/>
      <c r="H341" s="26" t="s">
        <v>102</v>
      </c>
      <c r="I341" s="59"/>
      <c r="J341" s="24"/>
      <c r="K341" s="24"/>
      <c r="L341" s="145">
        <f>'Data INPUT'!AF42</f>
        <v>1</v>
      </c>
      <c r="M341" s="424"/>
    </row>
    <row r="342" spans="1:13" ht="15.75">
      <c r="A342" s="335" t="s">
        <v>65</v>
      </c>
      <c r="B342" s="336"/>
      <c r="C342" s="330">
        <f>'Data INPUT'!D349</f>
        <v>0</v>
      </c>
      <c r="D342" s="331"/>
      <c r="E342" s="331"/>
      <c r="F342" s="331"/>
      <c r="G342" s="332"/>
      <c r="H342" s="333" t="s">
        <v>103</v>
      </c>
      <c r="I342" s="235"/>
      <c r="J342" s="235"/>
      <c r="K342" s="334"/>
      <c r="L342" s="146">
        <f>'Data INPUT'!AF43</f>
        <v>0</v>
      </c>
      <c r="M342" s="424"/>
    </row>
    <row r="343" spans="1:13" ht="15.75">
      <c r="A343" s="327" t="s">
        <v>104</v>
      </c>
      <c r="B343" s="329"/>
      <c r="C343" s="330">
        <f>'Data INPUT'!D350</f>
        <v>0</v>
      </c>
      <c r="D343" s="331"/>
      <c r="E343" s="331"/>
      <c r="F343" s="331"/>
      <c r="G343" s="332"/>
      <c r="H343" s="333" t="s">
        <v>105</v>
      </c>
      <c r="I343" s="235"/>
      <c r="J343" s="235"/>
      <c r="K343" s="334"/>
      <c r="L343" s="146">
        <f>'Data INPUT'!AF44</f>
        <v>0</v>
      </c>
      <c r="M343" s="424"/>
    </row>
    <row r="344" spans="1:13" ht="15.75">
      <c r="A344" s="327" t="s">
        <v>106</v>
      </c>
      <c r="B344" s="329"/>
      <c r="C344" s="330">
        <f>'Data INPUT'!D351</f>
        <v>0</v>
      </c>
      <c r="D344" s="331"/>
      <c r="E344" s="331"/>
      <c r="F344" s="331"/>
      <c r="G344" s="332"/>
      <c r="H344" s="333" t="s">
        <v>107</v>
      </c>
      <c r="I344" s="235"/>
      <c r="J344" s="235"/>
      <c r="K344" s="334"/>
      <c r="L344" s="146">
        <f>'Data INPUT'!AF45</f>
        <v>0</v>
      </c>
      <c r="M344" s="424"/>
    </row>
    <row r="345" spans="1:13" ht="15.75">
      <c r="A345" s="335" t="s">
        <v>108</v>
      </c>
      <c r="B345" s="336"/>
      <c r="C345" s="330">
        <f>'Data INPUT'!D352</f>
        <v>0</v>
      </c>
      <c r="D345" s="331"/>
      <c r="E345" s="331"/>
      <c r="F345" s="331"/>
      <c r="G345" s="332"/>
      <c r="H345" s="60" t="s">
        <v>109</v>
      </c>
      <c r="I345" s="62"/>
      <c r="J345" s="25"/>
      <c r="K345" s="25"/>
      <c r="L345" s="146">
        <f>'Data INPUT'!AF46</f>
        <v>0</v>
      </c>
      <c r="M345" s="424"/>
    </row>
    <row r="346" spans="1:13" ht="15.75">
      <c r="A346" s="327" t="s">
        <v>110</v>
      </c>
      <c r="B346" s="329"/>
      <c r="C346" s="330">
        <f>'Data INPUT'!D353</f>
        <v>0</v>
      </c>
      <c r="D346" s="331"/>
      <c r="E346" s="331"/>
      <c r="F346" s="331"/>
      <c r="G346" s="332"/>
      <c r="H346" s="60" t="s">
        <v>111</v>
      </c>
      <c r="I346" s="25"/>
      <c r="J346" s="25"/>
      <c r="K346" s="61"/>
      <c r="L346" s="146">
        <f>'Data INPUT'!AF47</f>
        <v>0</v>
      </c>
      <c r="M346" s="424"/>
    </row>
    <row r="347" spans="1:13" ht="15.75" customHeight="1">
      <c r="A347" s="406" t="s">
        <v>112</v>
      </c>
      <c r="B347" s="407"/>
      <c r="C347" s="148"/>
      <c r="D347" s="148"/>
      <c r="E347" s="148"/>
      <c r="F347" s="408" t="s">
        <v>115</v>
      </c>
      <c r="G347" s="409"/>
      <c r="H347" s="60" t="s">
        <v>113</v>
      </c>
      <c r="I347" s="62"/>
      <c r="J347" s="25"/>
      <c r="K347" s="25"/>
      <c r="L347" s="146">
        <f>'Data INPUT'!AF48</f>
        <v>0</v>
      </c>
      <c r="M347" s="424"/>
    </row>
    <row r="348" spans="1:13" ht="15.75" customHeight="1">
      <c r="A348" s="327" t="s">
        <v>114</v>
      </c>
      <c r="B348" s="328"/>
      <c r="C348" s="328"/>
      <c r="D348" s="87"/>
      <c r="E348" s="87" t="s">
        <v>33</v>
      </c>
      <c r="F348" s="88" t="s">
        <v>33</v>
      </c>
      <c r="G348" s="89" t="s">
        <v>33</v>
      </c>
      <c r="H348" s="325"/>
      <c r="I348" s="326"/>
      <c r="J348" s="326"/>
      <c r="K348" s="74"/>
      <c r="L348" s="146" t="s">
        <v>33</v>
      </c>
      <c r="M348" s="424"/>
    </row>
    <row r="349" spans="1:13" ht="15.75" customHeight="1">
      <c r="A349" s="327" t="s">
        <v>116</v>
      </c>
      <c r="B349" s="328"/>
      <c r="C349" s="328"/>
      <c r="D349" s="328"/>
      <c r="E349" s="329"/>
      <c r="F349" s="88" t="s">
        <v>33</v>
      </c>
      <c r="G349" s="89"/>
      <c r="H349" s="60"/>
      <c r="I349" s="62"/>
      <c r="J349" s="25"/>
      <c r="K349" s="25"/>
      <c r="L349" s="146" t="s">
        <v>33</v>
      </c>
      <c r="M349" s="424"/>
    </row>
    <row r="350" spans="1:13" ht="16.5" customHeight="1" thickBot="1">
      <c r="A350" s="337" t="s">
        <v>117</v>
      </c>
      <c r="B350" s="362"/>
      <c r="C350" s="362"/>
      <c r="D350" s="362"/>
      <c r="E350" s="338"/>
      <c r="F350" s="90" t="s">
        <v>33</v>
      </c>
      <c r="G350" s="91"/>
      <c r="H350" s="363"/>
      <c r="I350" s="364"/>
      <c r="J350" s="364"/>
      <c r="K350" s="364"/>
      <c r="L350" s="147" t="s">
        <v>33</v>
      </c>
      <c r="M350" s="424"/>
    </row>
    <row r="351" spans="1:13" ht="51.75" customHeight="1" thickBot="1">
      <c r="A351" s="92" t="s">
        <v>118</v>
      </c>
      <c r="B351" s="93"/>
      <c r="C351" s="77" t="s">
        <v>119</v>
      </c>
      <c r="D351" s="82"/>
      <c r="E351" s="83"/>
      <c r="F351" s="84"/>
      <c r="G351" s="85"/>
      <c r="H351" s="402"/>
      <c r="I351" s="403"/>
      <c r="J351" s="403"/>
      <c r="K351" s="403"/>
      <c r="L351" s="404"/>
      <c r="M351" s="425"/>
    </row>
    <row r="352" spans="1:13" ht="16.5" thickBot="1">
      <c r="A352" s="251" t="s">
        <v>69</v>
      </c>
      <c r="B352" s="252"/>
      <c r="C352" s="253">
        <f ca="1">'Data INPUT'!$B$13</f>
        <v>46222</v>
      </c>
      <c r="D352" s="254"/>
      <c r="E352" s="254"/>
      <c r="F352" s="254"/>
      <c r="G352" s="255" t="s">
        <v>7</v>
      </c>
      <c r="H352" s="255"/>
      <c r="I352" s="255"/>
      <c r="J352" s="256" t="str">
        <f>'Data INPUT'!$B$14</f>
        <v xml:space="preserve"> </v>
      </c>
      <c r="K352" s="257"/>
      <c r="L352" s="258"/>
      <c r="M352" s="420" t="s">
        <v>151</v>
      </c>
    </row>
    <row r="353" spans="1:13" ht="15.75">
      <c r="A353" s="259" t="s">
        <v>70</v>
      </c>
      <c r="B353" s="260"/>
      <c r="C353" s="261" t="str">
        <f>'Data INPUT'!$B$4</f>
        <v xml:space="preserve"> </v>
      </c>
      <c r="D353" s="262"/>
      <c r="E353" s="262"/>
      <c r="F353" s="262"/>
      <c r="G353" s="262"/>
      <c r="H353" s="262"/>
      <c r="I353" s="263"/>
      <c r="J353" s="264" t="str">
        <f>'Data INPUT'!AG19</f>
        <v xml:space="preserve"> </v>
      </c>
      <c r="K353" s="265"/>
      <c r="L353" s="266"/>
      <c r="M353" s="421"/>
    </row>
    <row r="354" spans="1:13" ht="15.75">
      <c r="A354" s="232" t="s">
        <v>71</v>
      </c>
      <c r="B354" s="233"/>
      <c r="C354" s="234" t="str">
        <f>'Data INPUT'!$B$2</f>
        <v xml:space="preserve"> </v>
      </c>
      <c r="D354" s="235"/>
      <c r="E354" s="235"/>
      <c r="F354" s="235"/>
      <c r="G354" s="235"/>
      <c r="H354" s="235"/>
      <c r="I354" s="236"/>
      <c r="J354" s="237" t="str">
        <f>'Data INPUT'!AG24</f>
        <v xml:space="preserve"> </v>
      </c>
      <c r="K354" s="238"/>
      <c r="L354" s="239"/>
      <c r="M354" s="421"/>
    </row>
    <row r="355" spans="1:13" ht="16.5" thickBot="1">
      <c r="A355" s="240" t="s">
        <v>0</v>
      </c>
      <c r="B355" s="241"/>
      <c r="C355" s="242" t="str">
        <f>'Data INPUT'!$B$3</f>
        <v xml:space="preserve"> </v>
      </c>
      <c r="D355" s="243"/>
      <c r="E355" s="243"/>
      <c r="F355" s="243"/>
      <c r="G355" s="243"/>
      <c r="H355" s="243"/>
      <c r="I355" s="244"/>
      <c r="J355" s="317" t="str">
        <f>'Data INPUT'!AG18</f>
        <v>Curtain 10</v>
      </c>
      <c r="K355" s="318"/>
      <c r="L355" s="319"/>
      <c r="M355" s="421"/>
    </row>
    <row r="356" spans="1:13" ht="16.5" thickBot="1">
      <c r="A356" s="78" t="str">
        <f>'Data INPUT'!AG21</f>
        <v>Select</v>
      </c>
      <c r="B356" s="247" t="str">
        <f>'Data INPUT'!AG25</f>
        <v>Select</v>
      </c>
      <c r="C356" s="248"/>
      <c r="D356" s="313" t="str">
        <f>'Data INPUT'!AG20</f>
        <v>Select</v>
      </c>
      <c r="E356" s="313"/>
      <c r="F356" s="314"/>
      <c r="G356" s="365" t="s">
        <v>72</v>
      </c>
      <c r="H356" s="366"/>
      <c r="I356" s="366"/>
      <c r="J356" s="366"/>
      <c r="K356" s="366"/>
      <c r="L356" s="367"/>
      <c r="M356" s="421"/>
    </row>
    <row r="357" spans="1:13" ht="15.75">
      <c r="A357" s="259" t="s">
        <v>74</v>
      </c>
      <c r="B357" s="260"/>
      <c r="C357" s="308" t="str">
        <f>'Data INPUT'!$B$12</f>
        <v>Select</v>
      </c>
      <c r="D357" s="308"/>
      <c r="E357" s="308"/>
      <c r="F357" s="309"/>
      <c r="G357" s="305" t="str">
        <f>'Data INPUT'!$B$8</f>
        <v xml:space="preserve"> </v>
      </c>
      <c r="H357" s="306"/>
      <c r="I357" s="306"/>
      <c r="J357" s="306"/>
      <c r="K357" s="306"/>
      <c r="L357" s="307"/>
      <c r="M357" s="421"/>
    </row>
    <row r="358" spans="1:13" ht="15.75">
      <c r="A358" s="232" t="s">
        <v>75</v>
      </c>
      <c r="B358" s="233"/>
      <c r="C358" s="310" t="str">
        <f>'Data INPUT'!AG23</f>
        <v>Select</v>
      </c>
      <c r="D358" s="311"/>
      <c r="E358" s="311"/>
      <c r="F358" s="312"/>
      <c r="G358" s="305" t="str">
        <f>'Data INPUT'!$B$9</f>
        <v xml:space="preserve"> </v>
      </c>
      <c r="H358" s="306"/>
      <c r="I358" s="306"/>
      <c r="J358" s="306"/>
      <c r="K358" s="306"/>
      <c r="L358" s="307"/>
      <c r="M358" s="421"/>
    </row>
    <row r="359" spans="1:13" ht="15.75">
      <c r="A359" s="270" t="s">
        <v>76</v>
      </c>
      <c r="B359" s="271"/>
      <c r="C359" s="276">
        <v>1</v>
      </c>
      <c r="D359" s="277"/>
      <c r="E359" s="277"/>
      <c r="F359" s="278"/>
      <c r="G359" s="285" t="str">
        <f>'Data INPUT'!$B$10</f>
        <v xml:space="preserve"> </v>
      </c>
      <c r="H359" s="286"/>
      <c r="I359" s="286"/>
      <c r="J359" s="286"/>
      <c r="K359" s="286"/>
      <c r="L359" s="287"/>
      <c r="M359" s="421"/>
    </row>
    <row r="360" spans="1:13" ht="15.75">
      <c r="A360" s="272"/>
      <c r="B360" s="273"/>
      <c r="C360" s="279"/>
      <c r="D360" s="280"/>
      <c r="E360" s="280"/>
      <c r="F360" s="281"/>
      <c r="G360" s="28" t="s">
        <v>77</v>
      </c>
      <c r="H360" s="29"/>
      <c r="I360" s="29"/>
      <c r="J360" s="288" t="str">
        <f>'Data INPUT'!$B$5</f>
        <v xml:space="preserve"> </v>
      </c>
      <c r="K360" s="288"/>
      <c r="L360" s="289"/>
      <c r="M360" s="421"/>
    </row>
    <row r="361" spans="1:13" ht="16.5" thickBot="1">
      <c r="A361" s="274"/>
      <c r="B361" s="275"/>
      <c r="C361" s="282"/>
      <c r="D361" s="283"/>
      <c r="E361" s="283"/>
      <c r="F361" s="284"/>
      <c r="G361" s="31" t="s">
        <v>78</v>
      </c>
      <c r="H361" s="32"/>
      <c r="I361" s="32"/>
      <c r="J361" s="290" t="str">
        <f>'Data INPUT'!$B$6</f>
        <v xml:space="preserve"> </v>
      </c>
      <c r="K361" s="290"/>
      <c r="L361" s="291"/>
      <c r="M361" s="421"/>
    </row>
    <row r="362" spans="1:13" ht="15.75">
      <c r="A362" s="292" t="s">
        <v>79</v>
      </c>
      <c r="B362" s="293"/>
      <c r="C362" s="296" t="str">
        <f>'Data INPUT'!$B$16</f>
        <v xml:space="preserve"> </v>
      </c>
      <c r="D362" s="297"/>
      <c r="E362" s="297"/>
      <c r="F362" s="297"/>
      <c r="G362" s="297"/>
      <c r="H362" s="297"/>
      <c r="I362" s="297"/>
      <c r="J362" s="297"/>
      <c r="K362" s="297"/>
      <c r="L362" s="298"/>
      <c r="M362" s="421"/>
    </row>
    <row r="363" spans="1:13" ht="15.75">
      <c r="A363" s="292"/>
      <c r="B363" s="293"/>
      <c r="C363" s="299" t="str">
        <f>'Data INPUT'!$B$17</f>
        <v xml:space="preserve"> </v>
      </c>
      <c r="D363" s="300"/>
      <c r="E363" s="300"/>
      <c r="F363" s="300"/>
      <c r="G363" s="300"/>
      <c r="H363" s="300"/>
      <c r="I363" s="300"/>
      <c r="J363" s="300"/>
      <c r="K363" s="300"/>
      <c r="L363" s="301"/>
      <c r="M363" s="421"/>
    </row>
    <row r="364" spans="1:13" ht="16.5" thickBot="1">
      <c r="A364" s="294"/>
      <c r="B364" s="295"/>
      <c r="C364" s="302" t="str">
        <f>'Data INPUT'!$B$18</f>
        <v xml:space="preserve"> </v>
      </c>
      <c r="D364" s="303"/>
      <c r="E364" s="303"/>
      <c r="F364" s="303"/>
      <c r="G364" s="303"/>
      <c r="H364" s="303"/>
      <c r="I364" s="303"/>
      <c r="J364" s="303"/>
      <c r="K364" s="303"/>
      <c r="L364" s="304"/>
      <c r="M364" s="421"/>
    </row>
    <row r="365" spans="1:13" ht="16.5" thickBot="1">
      <c r="A365" s="391" t="s">
        <v>80</v>
      </c>
      <c r="B365" s="392"/>
      <c r="C365" s="66" t="s">
        <v>42</v>
      </c>
      <c r="D365" s="66"/>
      <c r="E365" s="69" t="s">
        <v>43</v>
      </c>
      <c r="F365" s="66"/>
      <c r="G365" s="67"/>
      <c r="H365" s="275" t="s">
        <v>229</v>
      </c>
      <c r="I365" s="275"/>
      <c r="J365" s="275"/>
      <c r="K365" s="275"/>
      <c r="L365" s="393"/>
      <c r="M365" s="421"/>
    </row>
    <row r="366" spans="1:13" ht="15.75">
      <c r="A366" s="394" t="s">
        <v>81</v>
      </c>
      <c r="B366" s="395"/>
      <c r="C366" s="71" t="str">
        <f>'Data INPUT'!AG26</f>
        <v xml:space="preserve"> </v>
      </c>
      <c r="D366" s="72" t="s">
        <v>82</v>
      </c>
      <c r="E366" s="70" t="str">
        <f>'Data INPUT'!AG27</f>
        <v xml:space="preserve"> </v>
      </c>
      <c r="F366" s="73"/>
      <c r="G366" s="33"/>
      <c r="H366" s="396"/>
      <c r="I366" s="397"/>
      <c r="J366" s="397"/>
      <c r="K366" s="397"/>
      <c r="L366" s="398"/>
      <c r="M366" s="421"/>
    </row>
    <row r="367" spans="1:13" ht="16.5" thickBot="1">
      <c r="A367" s="34" t="s">
        <v>83</v>
      </c>
      <c r="B367" s="35" t="str">
        <f>E368</f>
        <v>(200mm x 400)</v>
      </c>
      <c r="C367" s="65" t="str">
        <f>C366</f>
        <v xml:space="preserve"> </v>
      </c>
      <c r="D367" s="37"/>
      <c r="E367" s="123"/>
      <c r="F367" s="124"/>
      <c r="G367" s="124"/>
      <c r="H367" s="399" t="s">
        <v>84</v>
      </c>
      <c r="I367" s="400"/>
      <c r="J367" s="400"/>
      <c r="K367" s="400"/>
      <c r="L367" s="401"/>
      <c r="M367" s="421"/>
    </row>
    <row r="368" spans="1:13" ht="16.5" thickBot="1">
      <c r="A368" s="39" t="s">
        <v>85</v>
      </c>
      <c r="B368" s="35" t="str">
        <f>'Data INPUT'!AG28</f>
        <v>Select</v>
      </c>
      <c r="C368" s="68" t="str">
        <f>'Data INPUT'!AG28</f>
        <v>Select</v>
      </c>
      <c r="D368" s="126"/>
      <c r="E368" s="430" t="s">
        <v>233</v>
      </c>
      <c r="F368" s="431"/>
      <c r="G368" s="432"/>
      <c r="H368" s="268" t="s">
        <v>33</v>
      </c>
      <c r="I368" s="268"/>
      <c r="J368" s="268"/>
      <c r="K368" s="268"/>
      <c r="L368" s="269"/>
      <c r="M368" s="421"/>
    </row>
    <row r="369" spans="1:13" ht="16.5" thickBot="1">
      <c r="A369" s="40" t="s">
        <v>86</v>
      </c>
      <c r="B369" s="41" t="s">
        <v>124</v>
      </c>
      <c r="C369" s="72" t="e">
        <f>E366-C368+10</f>
        <v>#VALUE!</v>
      </c>
      <c r="D369" s="42" t="s">
        <v>82</v>
      </c>
      <c r="E369" s="70">
        <v>100</v>
      </c>
      <c r="F369" s="72" t="s">
        <v>82</v>
      </c>
      <c r="G369" s="72">
        <v>53</v>
      </c>
      <c r="H369" s="373"/>
      <c r="I369" s="374"/>
      <c r="J369" s="374"/>
      <c r="K369" s="374"/>
      <c r="L369" s="375"/>
      <c r="M369" s="421"/>
    </row>
    <row r="370" spans="1:13" ht="16.5" thickBot="1">
      <c r="A370" s="118" t="s">
        <v>87</v>
      </c>
      <c r="B370" s="119" t="s">
        <v>170</v>
      </c>
      <c r="C370" s="81" t="e">
        <f>D371</f>
        <v>#VALUE!</v>
      </c>
      <c r="D370" s="52" t="s">
        <v>82</v>
      </c>
      <c r="E370" s="79" t="str">
        <f>C371</f>
        <v>Select</v>
      </c>
      <c r="F370" s="79"/>
      <c r="G370" s="128"/>
      <c r="H370" s="376" t="s">
        <v>120</v>
      </c>
      <c r="I370" s="377"/>
      <c r="J370" s="377"/>
      <c r="K370" s="377"/>
      <c r="L370" s="378"/>
      <c r="M370" s="421"/>
    </row>
    <row r="371" spans="1:13" ht="16.5" thickBot="1">
      <c r="A371" s="120" t="s">
        <v>90</v>
      </c>
      <c r="B371" s="121" t="s">
        <v>82</v>
      </c>
      <c r="C371" s="122" t="str">
        <f>'Data INPUT'!AG32</f>
        <v>Select</v>
      </c>
      <c r="D371" s="433" t="e">
        <f>(C366+(2*B375)-360)/2</f>
        <v>#VALUE!</v>
      </c>
      <c r="E371" s="433"/>
      <c r="F371" s="433"/>
      <c r="G371" s="434"/>
      <c r="H371" s="379"/>
      <c r="I371" s="380"/>
      <c r="J371" s="380"/>
      <c r="K371" s="380"/>
      <c r="L371" s="381"/>
      <c r="M371" s="421"/>
    </row>
    <row r="372" spans="1:13" ht="15.75">
      <c r="A372" s="382" t="s">
        <v>91</v>
      </c>
      <c r="B372" s="383"/>
      <c r="C372" s="52" t="e">
        <f>C366-230</f>
        <v>#VALUE!</v>
      </c>
      <c r="D372" s="384" t="s">
        <v>33</v>
      </c>
      <c r="E372" s="384"/>
      <c r="F372" s="384"/>
      <c r="G372" s="385"/>
      <c r="H372" s="386" t="s">
        <v>92</v>
      </c>
      <c r="I372" s="366"/>
      <c r="J372" s="366"/>
      <c r="K372" s="366"/>
      <c r="L372" s="367"/>
      <c r="M372" s="421"/>
    </row>
    <row r="373" spans="1:13" ht="16.5" thickBot="1">
      <c r="A373" s="387" t="s">
        <v>171</v>
      </c>
      <c r="B373" s="388"/>
      <c r="C373" s="37" t="e">
        <f>C372</f>
        <v>#VALUE!</v>
      </c>
      <c r="D373" s="389" t="s">
        <v>303</v>
      </c>
      <c r="E373" s="389"/>
      <c r="F373" s="389"/>
      <c r="G373" s="390"/>
      <c r="H373" s="373"/>
      <c r="I373" s="374"/>
      <c r="J373" s="374"/>
      <c r="K373" s="374"/>
      <c r="L373" s="375"/>
      <c r="M373" s="421"/>
    </row>
    <row r="374" spans="1:13" ht="16.5" thickBot="1">
      <c r="A374" s="435" t="s">
        <v>73</v>
      </c>
      <c r="B374" s="436"/>
      <c r="C374" s="52" t="e">
        <f>((C366-100)/2)+B375</f>
        <v>#VALUE!</v>
      </c>
      <c r="D374" s="52" t="s">
        <v>82</v>
      </c>
      <c r="E374" s="52" t="e">
        <f>E366+300</f>
        <v>#VALUE!</v>
      </c>
      <c r="F374" s="52" t="s">
        <v>82</v>
      </c>
      <c r="G374" s="80" t="str">
        <f>C371</f>
        <v>Select</v>
      </c>
      <c r="H374" s="351" t="s">
        <v>93</v>
      </c>
      <c r="I374" s="352"/>
      <c r="J374" s="352"/>
      <c r="K374" s="352"/>
      <c r="L374" s="353"/>
      <c r="M374" s="421"/>
    </row>
    <row r="375" spans="1:13" ht="16.5" thickBot="1">
      <c r="A375" s="125" t="s">
        <v>242</v>
      </c>
      <c r="B375" s="127" t="str">
        <f>'Data INPUT'!AG22</f>
        <v>Select</v>
      </c>
      <c r="C375" s="437" t="s">
        <v>136</v>
      </c>
      <c r="D375" s="437"/>
      <c r="E375" s="437"/>
      <c r="F375" s="437"/>
      <c r="G375" s="438"/>
      <c r="H375" s="357" t="s">
        <v>94</v>
      </c>
      <c r="I375" s="358"/>
      <c r="J375" s="358"/>
      <c r="K375" s="358"/>
      <c r="L375" s="359"/>
      <c r="M375" s="421"/>
    </row>
    <row r="376" spans="1:13" ht="16.5" thickBot="1">
      <c r="A376" s="360" t="s">
        <v>95</v>
      </c>
      <c r="B376" s="361"/>
      <c r="C376" s="55" t="s">
        <v>33</v>
      </c>
      <c r="D376" s="75" t="s">
        <v>96</v>
      </c>
      <c r="E376" s="75" t="s">
        <v>33</v>
      </c>
      <c r="F376" s="75" t="s">
        <v>97</v>
      </c>
      <c r="G376" s="56" t="s">
        <v>33</v>
      </c>
      <c r="H376" s="368" t="s">
        <v>140</v>
      </c>
      <c r="I376" s="369"/>
      <c r="J376" s="369"/>
      <c r="K376" s="57">
        <v>300</v>
      </c>
      <c r="L376" s="144" t="s">
        <v>98</v>
      </c>
      <c r="M376" s="421"/>
    </row>
    <row r="377" spans="1:13" ht="15.75">
      <c r="A377" s="345" t="s">
        <v>99</v>
      </c>
      <c r="B377" s="346"/>
      <c r="C377" s="405"/>
      <c r="D377" s="384"/>
      <c r="E377" s="384"/>
      <c r="F377" s="384"/>
      <c r="G377" s="385"/>
      <c r="H377" s="27" t="s">
        <v>100</v>
      </c>
      <c r="I377" s="265"/>
      <c r="J377" s="265"/>
      <c r="K377" s="265"/>
      <c r="L377" s="266"/>
      <c r="M377" s="421"/>
    </row>
    <row r="378" spans="1:13" ht="16.5" thickBot="1">
      <c r="A378" s="274" t="s">
        <v>62</v>
      </c>
      <c r="B378" s="347"/>
      <c r="C378" s="322" t="s">
        <v>33</v>
      </c>
      <c r="D378" s="323"/>
      <c r="E378" s="323"/>
      <c r="F378" s="323"/>
      <c r="G378" s="324"/>
      <c r="H378" s="32"/>
      <c r="I378" s="320"/>
      <c r="J378" s="320"/>
      <c r="K378" s="320"/>
      <c r="L378" s="321"/>
      <c r="M378" s="421"/>
    </row>
    <row r="379" spans="1:13" ht="16.5" thickBot="1">
      <c r="A379" s="348" t="s">
        <v>101</v>
      </c>
      <c r="B379" s="349"/>
      <c r="C379" s="76" t="str">
        <f>'Data INPUT'!AG35</f>
        <v>CSV x 2</v>
      </c>
      <c r="D379" s="72" t="s">
        <v>33</v>
      </c>
      <c r="E379" s="306" t="s">
        <v>33</v>
      </c>
      <c r="F379" s="306"/>
      <c r="G379" s="350"/>
      <c r="H379" s="32" t="s">
        <v>100</v>
      </c>
      <c r="I379" s="58"/>
      <c r="J379" s="58"/>
      <c r="K379" s="58"/>
      <c r="L379" s="94"/>
      <c r="M379" s="421"/>
    </row>
    <row r="380" spans="1:13" ht="15.75">
      <c r="A380" s="342" t="s">
        <v>137</v>
      </c>
      <c r="B380" s="343"/>
      <c r="C380" s="343"/>
      <c r="D380" s="343"/>
      <c r="E380" s="343"/>
      <c r="F380" s="343"/>
      <c r="G380" s="343"/>
      <c r="H380" s="26" t="s">
        <v>102</v>
      </c>
      <c r="I380" s="59"/>
      <c r="J380" s="24"/>
      <c r="K380" s="24"/>
      <c r="L380" s="145">
        <f>'Data INPUT'!AG42</f>
        <v>1</v>
      </c>
      <c r="M380" s="421"/>
    </row>
    <row r="381" spans="1:13" ht="15.75">
      <c r="A381" s="335" t="s">
        <v>65</v>
      </c>
      <c r="B381" s="336"/>
      <c r="C381" s="330">
        <f>'Data INPUT'!D388</f>
        <v>0</v>
      </c>
      <c r="D381" s="331"/>
      <c r="E381" s="331"/>
      <c r="F381" s="331"/>
      <c r="G381" s="332"/>
      <c r="H381" s="333" t="s">
        <v>103</v>
      </c>
      <c r="I381" s="235"/>
      <c r="J381" s="235"/>
      <c r="K381" s="334"/>
      <c r="L381" s="146">
        <f>'Data INPUT'!AG43</f>
        <v>0</v>
      </c>
      <c r="M381" s="421"/>
    </row>
    <row r="382" spans="1:13" ht="15.75">
      <c r="A382" s="327" t="s">
        <v>104</v>
      </c>
      <c r="B382" s="329"/>
      <c r="C382" s="330">
        <f>'Data INPUT'!D389</f>
        <v>0</v>
      </c>
      <c r="D382" s="331"/>
      <c r="E382" s="331"/>
      <c r="F382" s="331"/>
      <c r="G382" s="332"/>
      <c r="H382" s="333" t="s">
        <v>105</v>
      </c>
      <c r="I382" s="235"/>
      <c r="J382" s="235"/>
      <c r="K382" s="334"/>
      <c r="L382" s="146">
        <f>'Data INPUT'!AG44</f>
        <v>0</v>
      </c>
      <c r="M382" s="421"/>
    </row>
    <row r="383" spans="1:13" ht="15.75">
      <c r="A383" s="327" t="s">
        <v>106</v>
      </c>
      <c r="B383" s="329"/>
      <c r="C383" s="330">
        <f>'Data INPUT'!D390</f>
        <v>0</v>
      </c>
      <c r="D383" s="331"/>
      <c r="E383" s="331"/>
      <c r="F383" s="331"/>
      <c r="G383" s="332"/>
      <c r="H383" s="333" t="s">
        <v>107</v>
      </c>
      <c r="I383" s="235"/>
      <c r="J383" s="235"/>
      <c r="K383" s="334"/>
      <c r="L383" s="146">
        <f>'Data INPUT'!AG45</f>
        <v>0</v>
      </c>
      <c r="M383" s="421"/>
    </row>
    <row r="384" spans="1:13" ht="15.75">
      <c r="A384" s="335" t="s">
        <v>108</v>
      </c>
      <c r="B384" s="336"/>
      <c r="C384" s="330">
        <f>'Data INPUT'!D391</f>
        <v>0</v>
      </c>
      <c r="D384" s="331"/>
      <c r="E384" s="331"/>
      <c r="F384" s="331"/>
      <c r="G384" s="332"/>
      <c r="H384" s="60" t="s">
        <v>109</v>
      </c>
      <c r="I384" s="62"/>
      <c r="J384" s="25"/>
      <c r="K384" s="25"/>
      <c r="L384" s="146">
        <f>'Data INPUT'!AG46</f>
        <v>0</v>
      </c>
      <c r="M384" s="421"/>
    </row>
    <row r="385" spans="1:13" ht="15.75">
      <c r="A385" s="327" t="s">
        <v>110</v>
      </c>
      <c r="B385" s="329"/>
      <c r="C385" s="330">
        <f>'Data INPUT'!D392</f>
        <v>0</v>
      </c>
      <c r="D385" s="331"/>
      <c r="E385" s="331"/>
      <c r="F385" s="331"/>
      <c r="G385" s="332"/>
      <c r="H385" s="60" t="s">
        <v>111</v>
      </c>
      <c r="I385" s="25"/>
      <c r="J385" s="25"/>
      <c r="K385" s="61"/>
      <c r="L385" s="146">
        <f>'Data INPUT'!AG47</f>
        <v>0</v>
      </c>
      <c r="M385" s="421"/>
    </row>
    <row r="386" spans="1:13" ht="15.75" customHeight="1">
      <c r="A386" s="406" t="s">
        <v>112</v>
      </c>
      <c r="B386" s="407"/>
      <c r="C386" s="148"/>
      <c r="D386" s="148"/>
      <c r="E386" s="148"/>
      <c r="F386" s="408" t="s">
        <v>115</v>
      </c>
      <c r="G386" s="409"/>
      <c r="H386" s="60" t="s">
        <v>113</v>
      </c>
      <c r="I386" s="62"/>
      <c r="J386" s="25"/>
      <c r="K386" s="25"/>
      <c r="L386" s="146">
        <f>'Data INPUT'!AG48</f>
        <v>0</v>
      </c>
      <c r="M386" s="421"/>
    </row>
    <row r="387" spans="1:13" ht="15.75" customHeight="1">
      <c r="A387" s="327" t="s">
        <v>114</v>
      </c>
      <c r="B387" s="328"/>
      <c r="C387" s="328"/>
      <c r="D387" s="87"/>
      <c r="E387" s="87" t="s">
        <v>33</v>
      </c>
      <c r="F387" s="88" t="s">
        <v>33</v>
      </c>
      <c r="G387" s="89" t="s">
        <v>33</v>
      </c>
      <c r="H387" s="325"/>
      <c r="I387" s="326"/>
      <c r="J387" s="326"/>
      <c r="K387" s="74"/>
      <c r="L387" s="146" t="s">
        <v>33</v>
      </c>
      <c r="M387" s="421"/>
    </row>
    <row r="388" spans="1:13" ht="15.75" customHeight="1">
      <c r="A388" s="327" t="s">
        <v>116</v>
      </c>
      <c r="B388" s="328"/>
      <c r="C388" s="328"/>
      <c r="D388" s="328"/>
      <c r="E388" s="329"/>
      <c r="F388" s="88" t="s">
        <v>33</v>
      </c>
      <c r="G388" s="89"/>
      <c r="H388" s="60"/>
      <c r="I388" s="62"/>
      <c r="J388" s="25"/>
      <c r="K388" s="25"/>
      <c r="L388" s="146" t="s">
        <v>33</v>
      </c>
      <c r="M388" s="421"/>
    </row>
    <row r="389" spans="1:13" ht="16.5" customHeight="1" thickBot="1">
      <c r="A389" s="337" t="s">
        <v>117</v>
      </c>
      <c r="B389" s="362"/>
      <c r="C389" s="362"/>
      <c r="D389" s="362"/>
      <c r="E389" s="338"/>
      <c r="F389" s="90" t="s">
        <v>33</v>
      </c>
      <c r="G389" s="91"/>
      <c r="H389" s="363"/>
      <c r="I389" s="364"/>
      <c r="J389" s="364"/>
      <c r="K389" s="364"/>
      <c r="L389" s="147" t="s">
        <v>33</v>
      </c>
      <c r="M389" s="421"/>
    </row>
    <row r="390" spans="1:13" ht="45.75" customHeight="1" thickBot="1">
      <c r="A390" s="92" t="s">
        <v>118</v>
      </c>
      <c r="B390" s="93"/>
      <c r="C390" s="77" t="s">
        <v>119</v>
      </c>
      <c r="D390" s="82"/>
      <c r="E390" s="83"/>
      <c r="F390" s="84"/>
      <c r="G390" s="85"/>
      <c r="H390" s="402"/>
      <c r="I390" s="403"/>
      <c r="J390" s="403"/>
      <c r="K390" s="403"/>
      <c r="L390" s="404"/>
      <c r="M390" s="422"/>
    </row>
  </sheetData>
  <mergeCells count="840">
    <mergeCell ref="A270:C270"/>
    <mergeCell ref="F308:G308"/>
    <mergeCell ref="A309:C309"/>
    <mergeCell ref="F347:G347"/>
    <mergeCell ref="A348:C348"/>
    <mergeCell ref="F386:G386"/>
    <mergeCell ref="A377:B377"/>
    <mergeCell ref="C377:G377"/>
    <mergeCell ref="G358:L358"/>
    <mergeCell ref="A359:B361"/>
    <mergeCell ref="C359:F361"/>
    <mergeCell ref="G359:L359"/>
    <mergeCell ref="A362:B364"/>
    <mergeCell ref="C362:L362"/>
    <mergeCell ref="C363:L363"/>
    <mergeCell ref="C364:L364"/>
    <mergeCell ref="D333:G333"/>
    <mergeCell ref="H333:L333"/>
    <mergeCell ref="D334:G334"/>
    <mergeCell ref="C336:G336"/>
    <mergeCell ref="A337:B337"/>
    <mergeCell ref="A340:B340"/>
    <mergeCell ref="A353:B353"/>
    <mergeCell ref="A354:B354"/>
    <mergeCell ref="A388:E388"/>
    <mergeCell ref="A389:E389"/>
    <mergeCell ref="H389:K389"/>
    <mergeCell ref="H390:L390"/>
    <mergeCell ref="M1:M39"/>
    <mergeCell ref="M40:M78"/>
    <mergeCell ref="M79:M117"/>
    <mergeCell ref="M118:M156"/>
    <mergeCell ref="M157:M195"/>
    <mergeCell ref="M196:M234"/>
    <mergeCell ref="M235:M273"/>
    <mergeCell ref="M274:M312"/>
    <mergeCell ref="M313:M351"/>
    <mergeCell ref="M352:M390"/>
    <mergeCell ref="A35:B35"/>
    <mergeCell ref="F35:G35"/>
    <mergeCell ref="A36:C36"/>
    <mergeCell ref="F74:G74"/>
    <mergeCell ref="A75:C75"/>
    <mergeCell ref="F113:G113"/>
    <mergeCell ref="A114:C114"/>
    <mergeCell ref="F152:G152"/>
    <mergeCell ref="A269:B269"/>
    <mergeCell ref="F269:G269"/>
    <mergeCell ref="A366:B366"/>
    <mergeCell ref="H366:L366"/>
    <mergeCell ref="A387:C387"/>
    <mergeCell ref="H387:J387"/>
    <mergeCell ref="E340:G340"/>
    <mergeCell ref="I377:L377"/>
    <mergeCell ref="A378:B378"/>
    <mergeCell ref="C378:G378"/>
    <mergeCell ref="I378:L378"/>
    <mergeCell ref="A379:B379"/>
    <mergeCell ref="E379:G379"/>
    <mergeCell ref="A380:G380"/>
    <mergeCell ref="A365:B365"/>
    <mergeCell ref="H365:L365"/>
    <mergeCell ref="H367:L367"/>
    <mergeCell ref="E368:G368"/>
    <mergeCell ref="H368:L368"/>
    <mergeCell ref="H369:L369"/>
    <mergeCell ref="H370:L371"/>
    <mergeCell ref="D371:G371"/>
    <mergeCell ref="A372:B372"/>
    <mergeCell ref="D372:G372"/>
    <mergeCell ref="H372:L372"/>
    <mergeCell ref="A373:B373"/>
    <mergeCell ref="C319:F319"/>
    <mergeCell ref="G319:L319"/>
    <mergeCell ref="A320:B322"/>
    <mergeCell ref="C320:F322"/>
    <mergeCell ref="G320:L320"/>
    <mergeCell ref="A323:B325"/>
    <mergeCell ref="C323:L323"/>
    <mergeCell ref="H337:J337"/>
    <mergeCell ref="A338:B338"/>
    <mergeCell ref="C338:G338"/>
    <mergeCell ref="I338:L338"/>
    <mergeCell ref="A326:B326"/>
    <mergeCell ref="A327:B327"/>
    <mergeCell ref="J321:L321"/>
    <mergeCell ref="J322:L322"/>
    <mergeCell ref="H326:L326"/>
    <mergeCell ref="A335:B335"/>
    <mergeCell ref="H335:L335"/>
    <mergeCell ref="H336:L336"/>
    <mergeCell ref="H328:L328"/>
    <mergeCell ref="E329:G329"/>
    <mergeCell ref="H329:L329"/>
    <mergeCell ref="H330:L330"/>
    <mergeCell ref="H331:L332"/>
    <mergeCell ref="H312:L312"/>
    <mergeCell ref="A319:B319"/>
    <mergeCell ref="A313:B313"/>
    <mergeCell ref="A314:B314"/>
    <mergeCell ref="C313:F313"/>
    <mergeCell ref="G313:I313"/>
    <mergeCell ref="J313:L313"/>
    <mergeCell ref="A341:G341"/>
    <mergeCell ref="C342:G342"/>
    <mergeCell ref="H342:K342"/>
    <mergeCell ref="C314:I314"/>
    <mergeCell ref="J314:L314"/>
    <mergeCell ref="A315:B315"/>
    <mergeCell ref="C315:I315"/>
    <mergeCell ref="J315:L315"/>
    <mergeCell ref="A316:B316"/>
    <mergeCell ref="C316:I316"/>
    <mergeCell ref="J316:L316"/>
    <mergeCell ref="B317:C317"/>
    <mergeCell ref="D317:F317"/>
    <mergeCell ref="G317:L317"/>
    <mergeCell ref="A318:B318"/>
    <mergeCell ref="C318:F318"/>
    <mergeCell ref="G318:L318"/>
    <mergeCell ref="B278:C278"/>
    <mergeCell ref="D278:F278"/>
    <mergeCell ref="G278:L278"/>
    <mergeCell ref="A271:E271"/>
    <mergeCell ref="A272:E272"/>
    <mergeCell ref="H273:L273"/>
    <mergeCell ref="C274:F274"/>
    <mergeCell ref="G274:I274"/>
    <mergeCell ref="J274:L274"/>
    <mergeCell ref="A275:B275"/>
    <mergeCell ref="C275:I275"/>
    <mergeCell ref="J275:L275"/>
    <mergeCell ref="A263:G263"/>
    <mergeCell ref="A264:B264"/>
    <mergeCell ref="H264:K264"/>
    <mergeCell ref="C265:G265"/>
    <mergeCell ref="H265:K265"/>
    <mergeCell ref="G235:I235"/>
    <mergeCell ref="J235:L235"/>
    <mergeCell ref="A236:B236"/>
    <mergeCell ref="C236:I236"/>
    <mergeCell ref="J236:L236"/>
    <mergeCell ref="A237:B237"/>
    <mergeCell ref="C237:I237"/>
    <mergeCell ref="J237:L237"/>
    <mergeCell ref="A238:B238"/>
    <mergeCell ref="C238:I238"/>
    <mergeCell ref="J238:L238"/>
    <mergeCell ref="B239:C239"/>
    <mergeCell ref="D239:F239"/>
    <mergeCell ref="G239:L239"/>
    <mergeCell ref="G240:L240"/>
    <mergeCell ref="G241:L241"/>
    <mergeCell ref="D255:G255"/>
    <mergeCell ref="A256:B256"/>
    <mergeCell ref="A233:E233"/>
    <mergeCell ref="H233:K233"/>
    <mergeCell ref="H234:L234"/>
    <mergeCell ref="A235:B235"/>
    <mergeCell ref="C235:F235"/>
    <mergeCell ref="A232:E232"/>
    <mergeCell ref="J243:L243"/>
    <mergeCell ref="A241:B241"/>
    <mergeCell ref="A240:B240"/>
    <mergeCell ref="C240:F240"/>
    <mergeCell ref="A242:B244"/>
    <mergeCell ref="C242:F244"/>
    <mergeCell ref="G242:L242"/>
    <mergeCell ref="C241:F241"/>
    <mergeCell ref="B200:C200"/>
    <mergeCell ref="D200:F200"/>
    <mergeCell ref="G200:L200"/>
    <mergeCell ref="G201:L201"/>
    <mergeCell ref="C202:F202"/>
    <mergeCell ref="G202:L202"/>
    <mergeCell ref="A203:B205"/>
    <mergeCell ref="C203:F205"/>
    <mergeCell ref="G203:L203"/>
    <mergeCell ref="J205:L205"/>
    <mergeCell ref="A201:B201"/>
    <mergeCell ref="A202:B202"/>
    <mergeCell ref="J204:L204"/>
    <mergeCell ref="A206:B208"/>
    <mergeCell ref="C206:L206"/>
    <mergeCell ref="C207:L207"/>
    <mergeCell ref="C208:L208"/>
    <mergeCell ref="C182:G182"/>
    <mergeCell ref="I182:L182"/>
    <mergeCell ref="C183:G183"/>
    <mergeCell ref="I183:L183"/>
    <mergeCell ref="A184:B184"/>
    <mergeCell ref="E184:G184"/>
    <mergeCell ref="A185:G185"/>
    <mergeCell ref="H186:K186"/>
    <mergeCell ref="H187:K187"/>
    <mergeCell ref="C188:G188"/>
    <mergeCell ref="H188:K188"/>
    <mergeCell ref="A189:B189"/>
    <mergeCell ref="C189:G189"/>
    <mergeCell ref="H192:J192"/>
    <mergeCell ref="A191:B191"/>
    <mergeCell ref="A188:B188"/>
    <mergeCell ref="A190:B190"/>
    <mergeCell ref="C190:G190"/>
    <mergeCell ref="A186:B186"/>
    <mergeCell ref="C186:G186"/>
    <mergeCell ref="C163:F163"/>
    <mergeCell ref="G163:L163"/>
    <mergeCell ref="J160:L160"/>
    <mergeCell ref="A163:B163"/>
    <mergeCell ref="A154:E154"/>
    <mergeCell ref="A155:E155"/>
    <mergeCell ref="H155:K155"/>
    <mergeCell ref="H156:L156"/>
    <mergeCell ref="A157:B157"/>
    <mergeCell ref="C157:F157"/>
    <mergeCell ref="G157:I157"/>
    <mergeCell ref="J157:L157"/>
    <mergeCell ref="A158:B158"/>
    <mergeCell ref="C158:I158"/>
    <mergeCell ref="J158:L158"/>
    <mergeCell ref="A162:B162"/>
    <mergeCell ref="A159:B159"/>
    <mergeCell ref="A160:B160"/>
    <mergeCell ref="C159:I159"/>
    <mergeCell ref="J159:L159"/>
    <mergeCell ref="C160:I160"/>
    <mergeCell ref="B161:C161"/>
    <mergeCell ref="D161:F161"/>
    <mergeCell ref="G161:L161"/>
    <mergeCell ref="C162:F162"/>
    <mergeCell ref="G162:L162"/>
    <mergeCell ref="D122:F122"/>
    <mergeCell ref="G122:L122"/>
    <mergeCell ref="C123:F123"/>
    <mergeCell ref="G123:L123"/>
    <mergeCell ref="A164:B166"/>
    <mergeCell ref="C164:F166"/>
    <mergeCell ref="G164:L164"/>
    <mergeCell ref="J165:L165"/>
    <mergeCell ref="J166:L166"/>
    <mergeCell ref="C141:G141"/>
    <mergeCell ref="H142:J142"/>
    <mergeCell ref="C143:G143"/>
    <mergeCell ref="I143:L143"/>
    <mergeCell ref="A144:B144"/>
    <mergeCell ref="I144:L144"/>
    <mergeCell ref="E145:G145"/>
    <mergeCell ref="A146:G146"/>
    <mergeCell ref="H147:K147"/>
    <mergeCell ref="C148:G148"/>
    <mergeCell ref="H148:K148"/>
    <mergeCell ref="A149:B149"/>
    <mergeCell ref="C149:G149"/>
    <mergeCell ref="H153:J153"/>
    <mergeCell ref="H103:J103"/>
    <mergeCell ref="A104:B104"/>
    <mergeCell ref="I104:L104"/>
    <mergeCell ref="C105:G105"/>
    <mergeCell ref="I105:L105"/>
    <mergeCell ref="E106:G106"/>
    <mergeCell ref="A107:G107"/>
    <mergeCell ref="C108:G108"/>
    <mergeCell ref="H108:K108"/>
    <mergeCell ref="H110:K110"/>
    <mergeCell ref="A106:B106"/>
    <mergeCell ref="C104:G104"/>
    <mergeCell ref="A105:B105"/>
    <mergeCell ref="A113:B113"/>
    <mergeCell ref="A116:E116"/>
    <mergeCell ref="A111:B111"/>
    <mergeCell ref="C111:G111"/>
    <mergeCell ref="A112:B112"/>
    <mergeCell ref="C112:G112"/>
    <mergeCell ref="H114:J114"/>
    <mergeCell ref="A115:E115"/>
    <mergeCell ref="H116:K116"/>
    <mergeCell ref="A153:C153"/>
    <mergeCell ref="C86:F88"/>
    <mergeCell ref="J87:L87"/>
    <mergeCell ref="J88:L88"/>
    <mergeCell ref="A89:B91"/>
    <mergeCell ref="C89:L89"/>
    <mergeCell ref="C90:L90"/>
    <mergeCell ref="A79:B79"/>
    <mergeCell ref="A80:B80"/>
    <mergeCell ref="J80:L80"/>
    <mergeCell ref="H17:L17"/>
    <mergeCell ref="H18:L18"/>
    <mergeCell ref="H19:L20"/>
    <mergeCell ref="A11:B13"/>
    <mergeCell ref="C11:L11"/>
    <mergeCell ref="C12:L12"/>
    <mergeCell ref="C13:L13"/>
    <mergeCell ref="A14:B14"/>
    <mergeCell ref="H53:L53"/>
    <mergeCell ref="I26:L26"/>
    <mergeCell ref="A27:B27"/>
    <mergeCell ref="C27:G27"/>
    <mergeCell ref="I27:L27"/>
    <mergeCell ref="H23:L23"/>
    <mergeCell ref="C24:G24"/>
    <mergeCell ref="H24:L24"/>
    <mergeCell ref="A25:B25"/>
    <mergeCell ref="H25:J25"/>
    <mergeCell ref="A23:B23"/>
    <mergeCell ref="A21:B21"/>
    <mergeCell ref="D21:G21"/>
    <mergeCell ref="H21:L21"/>
    <mergeCell ref="A22:B22"/>
    <mergeCell ref="D22:G22"/>
    <mergeCell ref="B5:C5"/>
    <mergeCell ref="D5:F5"/>
    <mergeCell ref="G5:L5"/>
    <mergeCell ref="A6:B6"/>
    <mergeCell ref="C6:F6"/>
    <mergeCell ref="G6:L6"/>
    <mergeCell ref="A15:B15"/>
    <mergeCell ref="H15:L15"/>
    <mergeCell ref="H16:L16"/>
    <mergeCell ref="H14:L14"/>
    <mergeCell ref="A7:B7"/>
    <mergeCell ref="C7:F7"/>
    <mergeCell ref="G7:L7"/>
    <mergeCell ref="A8:B10"/>
    <mergeCell ref="C8:F10"/>
    <mergeCell ref="G8:L8"/>
    <mergeCell ref="J9:L9"/>
    <mergeCell ref="J10:L10"/>
    <mergeCell ref="A3:B3"/>
    <mergeCell ref="C3:I3"/>
    <mergeCell ref="J3:L3"/>
    <mergeCell ref="A4:B4"/>
    <mergeCell ref="C4:I4"/>
    <mergeCell ref="J4:L4"/>
    <mergeCell ref="A1:B1"/>
    <mergeCell ref="C1:F1"/>
    <mergeCell ref="G1:I1"/>
    <mergeCell ref="J1:L1"/>
    <mergeCell ref="A2:B2"/>
    <mergeCell ref="C2:I2"/>
    <mergeCell ref="J2:L2"/>
    <mergeCell ref="H22:L22"/>
    <mergeCell ref="A33:B33"/>
    <mergeCell ref="C33:G33"/>
    <mergeCell ref="A34:B34"/>
    <mergeCell ref="C34:G34"/>
    <mergeCell ref="A31:B31"/>
    <mergeCell ref="C31:G31"/>
    <mergeCell ref="H31:K31"/>
    <mergeCell ref="A32:B32"/>
    <mergeCell ref="C32:G32"/>
    <mergeCell ref="H32:K32"/>
    <mergeCell ref="A28:B28"/>
    <mergeCell ref="E28:G28"/>
    <mergeCell ref="A29:G29"/>
    <mergeCell ref="A30:B30"/>
    <mergeCell ref="C30:G30"/>
    <mergeCell ref="H30:K30"/>
    <mergeCell ref="A26:B26"/>
    <mergeCell ref="C26:G26"/>
    <mergeCell ref="A41:B41"/>
    <mergeCell ref="J41:L41"/>
    <mergeCell ref="A42:B42"/>
    <mergeCell ref="C42:I42"/>
    <mergeCell ref="J42:L42"/>
    <mergeCell ref="H39:L39"/>
    <mergeCell ref="A40:B40"/>
    <mergeCell ref="C40:F40"/>
    <mergeCell ref="G40:I40"/>
    <mergeCell ref="J40:L40"/>
    <mergeCell ref="H36:J36"/>
    <mergeCell ref="A37:E37"/>
    <mergeCell ref="A38:E38"/>
    <mergeCell ref="H38:K38"/>
    <mergeCell ref="C41:I41"/>
    <mergeCell ref="J49:L49"/>
    <mergeCell ref="C51:L51"/>
    <mergeCell ref="C52:L52"/>
    <mergeCell ref="A46:B46"/>
    <mergeCell ref="C46:F46"/>
    <mergeCell ref="G46:L46"/>
    <mergeCell ref="G47:L47"/>
    <mergeCell ref="A43:B43"/>
    <mergeCell ref="C43:I43"/>
    <mergeCell ref="J43:L43"/>
    <mergeCell ref="G45:L45"/>
    <mergeCell ref="B44:C44"/>
    <mergeCell ref="D44:F44"/>
    <mergeCell ref="G44:L44"/>
    <mergeCell ref="A45:B45"/>
    <mergeCell ref="C45:F45"/>
    <mergeCell ref="A47:B49"/>
    <mergeCell ref="C47:F49"/>
    <mergeCell ref="J48:L48"/>
    <mergeCell ref="A65:B65"/>
    <mergeCell ref="A61:B61"/>
    <mergeCell ref="D61:G61"/>
    <mergeCell ref="H61:L61"/>
    <mergeCell ref="A62:B62"/>
    <mergeCell ref="H62:L62"/>
    <mergeCell ref="A54:B54"/>
    <mergeCell ref="H54:L54"/>
    <mergeCell ref="H55:L55"/>
    <mergeCell ref="H56:L56"/>
    <mergeCell ref="H57:L57"/>
    <mergeCell ref="C65:G65"/>
    <mergeCell ref="I65:L65"/>
    <mergeCell ref="E56:G56"/>
    <mergeCell ref="H58:L59"/>
    <mergeCell ref="D59:G59"/>
    <mergeCell ref="A60:B60"/>
    <mergeCell ref="H60:L60"/>
    <mergeCell ref="C63:G63"/>
    <mergeCell ref="A64:B64"/>
    <mergeCell ref="H64:J64"/>
    <mergeCell ref="H71:K71"/>
    <mergeCell ref="A72:B72"/>
    <mergeCell ref="C72:G72"/>
    <mergeCell ref="A70:B70"/>
    <mergeCell ref="C70:G70"/>
    <mergeCell ref="H70:K70"/>
    <mergeCell ref="A66:B66"/>
    <mergeCell ref="C66:G66"/>
    <mergeCell ref="I66:L66"/>
    <mergeCell ref="A67:B67"/>
    <mergeCell ref="E67:G67"/>
    <mergeCell ref="A68:G68"/>
    <mergeCell ref="A69:B69"/>
    <mergeCell ref="C69:G69"/>
    <mergeCell ref="H69:K69"/>
    <mergeCell ref="H75:J75"/>
    <mergeCell ref="H77:K77"/>
    <mergeCell ref="H78:L78"/>
    <mergeCell ref="G86:L86"/>
    <mergeCell ref="G85:L85"/>
    <mergeCell ref="A84:B84"/>
    <mergeCell ref="A81:B81"/>
    <mergeCell ref="J81:L81"/>
    <mergeCell ref="A82:B82"/>
    <mergeCell ref="C82:I82"/>
    <mergeCell ref="J82:L82"/>
    <mergeCell ref="C79:F79"/>
    <mergeCell ref="G79:I79"/>
    <mergeCell ref="J79:L79"/>
    <mergeCell ref="C80:I80"/>
    <mergeCell ref="C81:I81"/>
    <mergeCell ref="B83:C83"/>
    <mergeCell ref="D83:F83"/>
    <mergeCell ref="G83:L83"/>
    <mergeCell ref="C84:F84"/>
    <mergeCell ref="G84:L84"/>
    <mergeCell ref="A85:B85"/>
    <mergeCell ref="C85:F85"/>
    <mergeCell ref="A86:B88"/>
    <mergeCell ref="H101:L101"/>
    <mergeCell ref="H102:L102"/>
    <mergeCell ref="D100:G100"/>
    <mergeCell ref="H94:L94"/>
    <mergeCell ref="H95:L95"/>
    <mergeCell ref="H96:L96"/>
    <mergeCell ref="C91:L91"/>
    <mergeCell ref="A92:B92"/>
    <mergeCell ref="H92:L92"/>
    <mergeCell ref="A93:B93"/>
    <mergeCell ref="H93:L93"/>
    <mergeCell ref="E95:G95"/>
    <mergeCell ref="H97:L98"/>
    <mergeCell ref="D98:G98"/>
    <mergeCell ref="A99:B99"/>
    <mergeCell ref="D99:G99"/>
    <mergeCell ref="H99:L99"/>
    <mergeCell ref="A100:B100"/>
    <mergeCell ref="H100:L100"/>
    <mergeCell ref="C102:G102"/>
    <mergeCell ref="C109:G109"/>
    <mergeCell ref="H109:K109"/>
    <mergeCell ref="A109:B109"/>
    <mergeCell ref="H117:L117"/>
    <mergeCell ref="A118:B118"/>
    <mergeCell ref="C118:F118"/>
    <mergeCell ref="G118:I118"/>
    <mergeCell ref="A123:B123"/>
    <mergeCell ref="G125:L125"/>
    <mergeCell ref="A124:B124"/>
    <mergeCell ref="A121:B121"/>
    <mergeCell ref="J121:L121"/>
    <mergeCell ref="A119:B119"/>
    <mergeCell ref="A120:B120"/>
    <mergeCell ref="J120:L120"/>
    <mergeCell ref="C124:F124"/>
    <mergeCell ref="G124:L124"/>
    <mergeCell ref="A125:B127"/>
    <mergeCell ref="C125:F127"/>
    <mergeCell ref="J126:L126"/>
    <mergeCell ref="J127:L127"/>
    <mergeCell ref="J118:L118"/>
    <mergeCell ref="C119:I119"/>
    <mergeCell ref="J119:L119"/>
    <mergeCell ref="C120:I120"/>
    <mergeCell ref="C121:I121"/>
    <mergeCell ref="B122:C122"/>
    <mergeCell ref="H134:L134"/>
    <mergeCell ref="H135:L135"/>
    <mergeCell ref="A128:B130"/>
    <mergeCell ref="C130:L130"/>
    <mergeCell ref="A131:B131"/>
    <mergeCell ref="H131:L131"/>
    <mergeCell ref="A132:B132"/>
    <mergeCell ref="H132:L132"/>
    <mergeCell ref="H133:L133"/>
    <mergeCell ref="E134:G134"/>
    <mergeCell ref="C128:L128"/>
    <mergeCell ref="C129:L129"/>
    <mergeCell ref="H136:L137"/>
    <mergeCell ref="D137:G137"/>
    <mergeCell ref="A150:B150"/>
    <mergeCell ref="C150:G150"/>
    <mergeCell ref="A147:B147"/>
    <mergeCell ref="C147:G147"/>
    <mergeCell ref="C144:G144"/>
    <mergeCell ref="A145:B145"/>
    <mergeCell ref="H138:L138"/>
    <mergeCell ref="H141:L141"/>
    <mergeCell ref="A142:B142"/>
    <mergeCell ref="A138:B138"/>
    <mergeCell ref="D138:G138"/>
    <mergeCell ref="A139:B139"/>
    <mergeCell ref="D139:G139"/>
    <mergeCell ref="H139:L139"/>
    <mergeCell ref="A140:B140"/>
    <mergeCell ref="H140:L140"/>
    <mergeCell ref="H149:K149"/>
    <mergeCell ref="C167:L167"/>
    <mergeCell ref="C168:L168"/>
    <mergeCell ref="C169:L169"/>
    <mergeCell ref="A170:B170"/>
    <mergeCell ref="H170:L170"/>
    <mergeCell ref="A171:B171"/>
    <mergeCell ref="H171:L171"/>
    <mergeCell ref="H172:L172"/>
    <mergeCell ref="E173:G173"/>
    <mergeCell ref="H173:L173"/>
    <mergeCell ref="A167:B169"/>
    <mergeCell ref="H178:L178"/>
    <mergeCell ref="A181:B181"/>
    <mergeCell ref="A182:B182"/>
    <mergeCell ref="H174:L174"/>
    <mergeCell ref="H177:L177"/>
    <mergeCell ref="H175:L176"/>
    <mergeCell ref="D176:G176"/>
    <mergeCell ref="A177:B177"/>
    <mergeCell ref="D177:G177"/>
    <mergeCell ref="A178:B178"/>
    <mergeCell ref="D178:G178"/>
    <mergeCell ref="A179:B179"/>
    <mergeCell ref="H179:L179"/>
    <mergeCell ref="C180:G180"/>
    <mergeCell ref="H180:L180"/>
    <mergeCell ref="H181:J181"/>
    <mergeCell ref="A187:B187"/>
    <mergeCell ref="C187:G187"/>
    <mergeCell ref="A199:B199"/>
    <mergeCell ref="A193:E193"/>
    <mergeCell ref="A194:E194"/>
    <mergeCell ref="H194:K194"/>
    <mergeCell ref="H195:L195"/>
    <mergeCell ref="A196:B196"/>
    <mergeCell ref="C196:F196"/>
    <mergeCell ref="G196:I196"/>
    <mergeCell ref="J196:L196"/>
    <mergeCell ref="A197:B197"/>
    <mergeCell ref="C197:I197"/>
    <mergeCell ref="J197:L197"/>
    <mergeCell ref="A198:B198"/>
    <mergeCell ref="C198:I198"/>
    <mergeCell ref="J198:L198"/>
    <mergeCell ref="C199:I199"/>
    <mergeCell ref="J199:L199"/>
    <mergeCell ref="F191:G191"/>
    <mergeCell ref="A192:C192"/>
    <mergeCell ref="A209:B209"/>
    <mergeCell ref="H209:L209"/>
    <mergeCell ref="A210:B210"/>
    <mergeCell ref="H210:L210"/>
    <mergeCell ref="H211:L211"/>
    <mergeCell ref="E212:G212"/>
    <mergeCell ref="H212:L212"/>
    <mergeCell ref="H213:L213"/>
    <mergeCell ref="H214:L215"/>
    <mergeCell ref="D215:G215"/>
    <mergeCell ref="A225:B225"/>
    <mergeCell ref="A223:B223"/>
    <mergeCell ref="H218:L218"/>
    <mergeCell ref="A221:B221"/>
    <mergeCell ref="A222:B222"/>
    <mergeCell ref="H216:L216"/>
    <mergeCell ref="H217:L217"/>
    <mergeCell ref="A216:B216"/>
    <mergeCell ref="D216:G216"/>
    <mergeCell ref="A217:B217"/>
    <mergeCell ref="D217:G217"/>
    <mergeCell ref="A218:B218"/>
    <mergeCell ref="C219:G219"/>
    <mergeCell ref="H219:L219"/>
    <mergeCell ref="A220:B220"/>
    <mergeCell ref="H220:J220"/>
    <mergeCell ref="C221:G221"/>
    <mergeCell ref="I221:L221"/>
    <mergeCell ref="C222:G222"/>
    <mergeCell ref="I222:L222"/>
    <mergeCell ref="A224:G224"/>
    <mergeCell ref="C225:G225"/>
    <mergeCell ref="H226:K226"/>
    <mergeCell ref="H227:K227"/>
    <mergeCell ref="C228:G228"/>
    <mergeCell ref="A229:B229"/>
    <mergeCell ref="C229:G229"/>
    <mergeCell ref="F230:G230"/>
    <mergeCell ref="H231:J231"/>
    <mergeCell ref="A228:B228"/>
    <mergeCell ref="A230:B230"/>
    <mergeCell ref="A226:B226"/>
    <mergeCell ref="C226:G226"/>
    <mergeCell ref="A227:B227"/>
    <mergeCell ref="C227:G227"/>
    <mergeCell ref="A231:C231"/>
    <mergeCell ref="J282:L282"/>
    <mergeCell ref="A279:B279"/>
    <mergeCell ref="A280:B280"/>
    <mergeCell ref="C280:F280"/>
    <mergeCell ref="C246:L246"/>
    <mergeCell ref="C247:L247"/>
    <mergeCell ref="J244:L244"/>
    <mergeCell ref="C261:G261"/>
    <mergeCell ref="I261:L261"/>
    <mergeCell ref="D256:G256"/>
    <mergeCell ref="A257:B257"/>
    <mergeCell ref="C258:G258"/>
    <mergeCell ref="A259:B259"/>
    <mergeCell ref="H259:J259"/>
    <mergeCell ref="A260:B260"/>
    <mergeCell ref="C260:G260"/>
    <mergeCell ref="I260:L260"/>
    <mergeCell ref="A255:B255"/>
    <mergeCell ref="H255:L255"/>
    <mergeCell ref="H256:L256"/>
    <mergeCell ref="H257:L257"/>
    <mergeCell ref="A245:B247"/>
    <mergeCell ref="C245:L245"/>
    <mergeCell ref="E262:G262"/>
    <mergeCell ref="A287:B287"/>
    <mergeCell ref="J283:L283"/>
    <mergeCell ref="C286:L286"/>
    <mergeCell ref="H287:L287"/>
    <mergeCell ref="A266:B266"/>
    <mergeCell ref="C266:G266"/>
    <mergeCell ref="A267:B267"/>
    <mergeCell ref="C267:G267"/>
    <mergeCell ref="H266:K266"/>
    <mergeCell ref="C279:F279"/>
    <mergeCell ref="G279:L279"/>
    <mergeCell ref="G280:L280"/>
    <mergeCell ref="A281:B283"/>
    <mergeCell ref="C281:F283"/>
    <mergeCell ref="G281:L281"/>
    <mergeCell ref="A284:B286"/>
    <mergeCell ref="C284:L284"/>
    <mergeCell ref="C285:L285"/>
    <mergeCell ref="A276:B276"/>
    <mergeCell ref="C276:I276"/>
    <mergeCell ref="J276:L276"/>
    <mergeCell ref="A277:B277"/>
    <mergeCell ref="C277:I277"/>
    <mergeCell ref="J277:L277"/>
    <mergeCell ref="A288:B288"/>
    <mergeCell ref="H288:L288"/>
    <mergeCell ref="H289:L289"/>
    <mergeCell ref="E290:G290"/>
    <mergeCell ref="H290:L290"/>
    <mergeCell ref="H291:L291"/>
    <mergeCell ref="H292:L293"/>
    <mergeCell ref="D293:G293"/>
    <mergeCell ref="C304:G304"/>
    <mergeCell ref="A301:B301"/>
    <mergeCell ref="A294:B294"/>
    <mergeCell ref="H294:L294"/>
    <mergeCell ref="A295:B295"/>
    <mergeCell ref="H295:L295"/>
    <mergeCell ref="H296:L296"/>
    <mergeCell ref="H297:L297"/>
    <mergeCell ref="D294:G294"/>
    <mergeCell ref="D295:G295"/>
    <mergeCell ref="A296:B296"/>
    <mergeCell ref="C297:G297"/>
    <mergeCell ref="A298:B298"/>
    <mergeCell ref="H298:J298"/>
    <mergeCell ref="A299:B299"/>
    <mergeCell ref="C299:G299"/>
    <mergeCell ref="I299:L299"/>
    <mergeCell ref="A300:B300"/>
    <mergeCell ref="C300:G300"/>
    <mergeCell ref="H311:K311"/>
    <mergeCell ref="A308:B308"/>
    <mergeCell ref="A306:B306"/>
    <mergeCell ref="C306:G306"/>
    <mergeCell ref="A307:B307"/>
    <mergeCell ref="C307:G307"/>
    <mergeCell ref="A303:B303"/>
    <mergeCell ref="I300:L300"/>
    <mergeCell ref="E301:G301"/>
    <mergeCell ref="A302:G302"/>
    <mergeCell ref="C303:G303"/>
    <mergeCell ref="H303:K303"/>
    <mergeCell ref="A304:B304"/>
    <mergeCell ref="H304:K304"/>
    <mergeCell ref="C305:G305"/>
    <mergeCell ref="H305:K305"/>
    <mergeCell ref="H309:J309"/>
    <mergeCell ref="A310:E310"/>
    <mergeCell ref="A311:E311"/>
    <mergeCell ref="A305:B305"/>
    <mergeCell ref="D332:G332"/>
    <mergeCell ref="A333:B333"/>
    <mergeCell ref="C324:L324"/>
    <mergeCell ref="C325:L325"/>
    <mergeCell ref="A339:B339"/>
    <mergeCell ref="C339:G339"/>
    <mergeCell ref="I339:L339"/>
    <mergeCell ref="H350:K350"/>
    <mergeCell ref="A346:B346"/>
    <mergeCell ref="C346:G346"/>
    <mergeCell ref="A347:B347"/>
    <mergeCell ref="C344:G344"/>
    <mergeCell ref="A345:B345"/>
    <mergeCell ref="C343:G343"/>
    <mergeCell ref="H343:K343"/>
    <mergeCell ref="A344:B344"/>
    <mergeCell ref="H344:K344"/>
    <mergeCell ref="C345:G345"/>
    <mergeCell ref="H348:J348"/>
    <mergeCell ref="A349:E349"/>
    <mergeCell ref="A350:E350"/>
    <mergeCell ref="A343:B343"/>
    <mergeCell ref="H327:L327"/>
    <mergeCell ref="A342:B342"/>
    <mergeCell ref="A334:B334"/>
    <mergeCell ref="H334:L334"/>
    <mergeCell ref="A352:B352"/>
    <mergeCell ref="H351:L351"/>
    <mergeCell ref="C352:F352"/>
    <mergeCell ref="G352:I352"/>
    <mergeCell ref="J352:L352"/>
    <mergeCell ref="J361:L361"/>
    <mergeCell ref="J360:L360"/>
    <mergeCell ref="C353:I353"/>
    <mergeCell ref="J353:L353"/>
    <mergeCell ref="C354:I354"/>
    <mergeCell ref="J354:L354"/>
    <mergeCell ref="A355:B355"/>
    <mergeCell ref="C355:I355"/>
    <mergeCell ref="J355:L355"/>
    <mergeCell ref="B356:C356"/>
    <mergeCell ref="D356:F356"/>
    <mergeCell ref="G356:L356"/>
    <mergeCell ref="A357:B357"/>
    <mergeCell ref="C357:F357"/>
    <mergeCell ref="G357:L357"/>
    <mergeCell ref="A358:B358"/>
    <mergeCell ref="C358:F358"/>
    <mergeCell ref="D373:G373"/>
    <mergeCell ref="H373:L373"/>
    <mergeCell ref="C375:G375"/>
    <mergeCell ref="A386:B386"/>
    <mergeCell ref="C384:G384"/>
    <mergeCell ref="A385:B385"/>
    <mergeCell ref="A381:B381"/>
    <mergeCell ref="A382:B382"/>
    <mergeCell ref="C382:G382"/>
    <mergeCell ref="H382:K382"/>
    <mergeCell ref="C383:G383"/>
    <mergeCell ref="H383:K383"/>
    <mergeCell ref="A384:B384"/>
    <mergeCell ref="C385:G385"/>
    <mergeCell ref="A383:B383"/>
    <mergeCell ref="C381:G381"/>
    <mergeCell ref="H381:K381"/>
    <mergeCell ref="A376:B376"/>
    <mergeCell ref="H376:J376"/>
    <mergeCell ref="A374:B374"/>
    <mergeCell ref="H374:L374"/>
    <mergeCell ref="H375:L375"/>
    <mergeCell ref="E17:G17"/>
    <mergeCell ref="D20:G20"/>
    <mergeCell ref="D60:G60"/>
    <mergeCell ref="A143:B143"/>
    <mergeCell ref="A103:B103"/>
    <mergeCell ref="A151:B151"/>
    <mergeCell ref="C151:G151"/>
    <mergeCell ref="A152:B152"/>
    <mergeCell ref="A148:B148"/>
    <mergeCell ref="A108:B108"/>
    <mergeCell ref="A110:B110"/>
    <mergeCell ref="C110:G110"/>
    <mergeCell ref="A101:B101"/>
    <mergeCell ref="A77:E77"/>
    <mergeCell ref="A73:B73"/>
    <mergeCell ref="C73:G73"/>
    <mergeCell ref="A74:B74"/>
    <mergeCell ref="A76:E76"/>
    <mergeCell ref="A71:B71"/>
    <mergeCell ref="C71:G71"/>
    <mergeCell ref="A50:B52"/>
    <mergeCell ref="C50:L50"/>
    <mergeCell ref="A53:B53"/>
    <mergeCell ref="H63:L63"/>
    <mergeCell ref="A183:B183"/>
    <mergeCell ref="C201:F201"/>
    <mergeCell ref="A274:B274"/>
    <mergeCell ref="H272:K272"/>
    <mergeCell ref="A268:B268"/>
    <mergeCell ref="C268:G268"/>
    <mergeCell ref="H270:J270"/>
    <mergeCell ref="C264:G264"/>
    <mergeCell ref="A265:B265"/>
    <mergeCell ref="H258:L258"/>
    <mergeCell ref="A261:B261"/>
    <mergeCell ref="A262:B262"/>
    <mergeCell ref="A248:B248"/>
    <mergeCell ref="H248:L248"/>
    <mergeCell ref="A249:B249"/>
    <mergeCell ref="H249:L249"/>
    <mergeCell ref="H250:L250"/>
    <mergeCell ref="E251:G251"/>
    <mergeCell ref="H251:L251"/>
    <mergeCell ref="H252:L252"/>
    <mergeCell ref="H253:L254"/>
    <mergeCell ref="D254:G254"/>
    <mergeCell ref="E223:G223"/>
    <mergeCell ref="H225:K225"/>
  </mergeCells>
  <dataValidations count="2">
    <dataValidation type="list" allowBlank="1" showInputMessage="1" showErrorMessage="1" promptTitle="Input" prompt="Select the CSV option from the list" sqref="P14:P19" xr:uid="{00121E5F-EDC6-4E15-AE18-CE5003B2674E}">
      <formula1>"Select, CSV x 1, CSV x 2, CSV x 3, CSV x 4, CSV x 5, CSV x 6"</formula1>
    </dataValidation>
    <dataValidation type="list" allowBlank="1" showInputMessage="1" showErrorMessage="1" sqref="E17 E56 E95 E134 E173 E212 E251 E290 E329 E368" xr:uid="{FF88664C-CD4E-4FC5-95FE-D7D43C7AF9B1}">
      <formula1>"Select,180 x 360,200 x 400"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6F9A-0A8D-4FA2-8102-EE2B5C43B59E}">
  <sheetPr>
    <tabColor rgb="FFFF0000"/>
  </sheetPr>
  <dimension ref="A2:C27"/>
  <sheetViews>
    <sheetView topLeftCell="A3" workbookViewId="0">
      <selection activeCell="I16" sqref="I16"/>
    </sheetView>
  </sheetViews>
  <sheetFormatPr defaultRowHeight="15"/>
  <cols>
    <col min="1" max="1" width="35.140625" customWidth="1"/>
    <col min="2" max="2" width="47.28515625" customWidth="1"/>
    <col min="3" max="3" width="9.85546875" style="8" customWidth="1"/>
  </cols>
  <sheetData>
    <row r="2" spans="1:3" ht="27.75" customHeight="1">
      <c r="A2" s="97" t="s">
        <v>172</v>
      </c>
    </row>
    <row r="3" spans="1:3" ht="14.25" customHeight="1"/>
    <row r="4" spans="1:3" ht="27.75" customHeight="1">
      <c r="A4" s="96" t="s">
        <v>173</v>
      </c>
      <c r="B4" s="96" t="s">
        <v>174</v>
      </c>
      <c r="C4" s="99" t="s">
        <v>217</v>
      </c>
    </row>
    <row r="5" spans="1:3" ht="27.75" customHeight="1">
      <c r="A5" s="95" t="s">
        <v>304</v>
      </c>
      <c r="B5" s="95" t="s">
        <v>175</v>
      </c>
      <c r="C5" s="8">
        <f t="shared" ref="C5:C26" si="0">_xlfn.NUMBERVALUE(_xlfn.TEXTBEFORE(B5, " ", 1), ".", ",")</f>
        <v>10</v>
      </c>
    </row>
    <row r="6" spans="1:3" ht="27.75" customHeight="1">
      <c r="A6" s="95" t="s">
        <v>305</v>
      </c>
      <c r="B6" s="95" t="s">
        <v>176</v>
      </c>
      <c r="C6" s="8">
        <f t="shared" si="0"/>
        <v>10.4</v>
      </c>
    </row>
    <row r="7" spans="1:3" ht="27.75" customHeight="1">
      <c r="A7" s="95" t="s">
        <v>306</v>
      </c>
      <c r="B7" s="95" t="s">
        <v>177</v>
      </c>
      <c r="C7" s="8">
        <f t="shared" si="0"/>
        <v>12.4</v>
      </c>
    </row>
    <row r="8" spans="1:3" ht="27.75" customHeight="1">
      <c r="A8" s="95" t="s">
        <v>178</v>
      </c>
      <c r="B8" s="95" t="s">
        <v>179</v>
      </c>
      <c r="C8" s="8">
        <f t="shared" si="0"/>
        <v>12.1</v>
      </c>
    </row>
    <row r="9" spans="1:3" ht="27.75" customHeight="1">
      <c r="A9" s="95" t="s">
        <v>180</v>
      </c>
      <c r="B9" s="95" t="s">
        <v>181</v>
      </c>
      <c r="C9" s="8">
        <f t="shared" si="0"/>
        <v>10.3</v>
      </c>
    </row>
    <row r="10" spans="1:3" ht="27.75" customHeight="1">
      <c r="A10" s="95" t="s">
        <v>182</v>
      </c>
      <c r="B10" s="95" t="s">
        <v>183</v>
      </c>
      <c r="C10" s="8">
        <f t="shared" si="0"/>
        <v>6</v>
      </c>
    </row>
    <row r="11" spans="1:3" ht="27.75" customHeight="1">
      <c r="A11" s="95" t="s">
        <v>184</v>
      </c>
      <c r="B11" s="95" t="s">
        <v>185</v>
      </c>
      <c r="C11" s="8">
        <f t="shared" si="0"/>
        <v>0.75</v>
      </c>
    </row>
    <row r="12" spans="1:3" ht="27.75" customHeight="1">
      <c r="A12" s="95" t="s">
        <v>186</v>
      </c>
      <c r="B12" s="95" t="s">
        <v>187</v>
      </c>
      <c r="C12" s="8">
        <f t="shared" si="0"/>
        <v>2.7</v>
      </c>
    </row>
    <row r="13" spans="1:3" ht="27.75" customHeight="1">
      <c r="A13" s="95" t="s">
        <v>188</v>
      </c>
      <c r="B13" s="95" t="s">
        <v>189</v>
      </c>
      <c r="C13" s="8">
        <f t="shared" si="0"/>
        <v>5</v>
      </c>
    </row>
    <row r="14" spans="1:3" ht="27.75" customHeight="1">
      <c r="A14" s="95" t="s">
        <v>190</v>
      </c>
      <c r="B14" s="95" t="s">
        <v>191</v>
      </c>
      <c r="C14" s="8">
        <f t="shared" si="0"/>
        <v>2.5</v>
      </c>
    </row>
    <row r="15" spans="1:3" ht="27.75" customHeight="1">
      <c r="A15" s="95" t="s">
        <v>192</v>
      </c>
      <c r="B15" s="95" t="s">
        <v>193</v>
      </c>
      <c r="C15" s="8">
        <f t="shared" si="0"/>
        <v>8</v>
      </c>
    </row>
    <row r="16" spans="1:3" ht="27.75" customHeight="1">
      <c r="A16" s="95" t="s">
        <v>194</v>
      </c>
      <c r="B16" s="95" t="s">
        <v>195</v>
      </c>
      <c r="C16" s="8">
        <f t="shared" si="0"/>
        <v>9</v>
      </c>
    </row>
    <row r="17" spans="1:3" ht="27.75" customHeight="1">
      <c r="A17" s="95" t="s">
        <v>196</v>
      </c>
      <c r="B17" s="95" t="s">
        <v>197</v>
      </c>
      <c r="C17" s="8">
        <f t="shared" si="0"/>
        <v>6</v>
      </c>
    </row>
    <row r="18" spans="1:3" ht="27.75" customHeight="1">
      <c r="A18" s="95" t="s">
        <v>198</v>
      </c>
      <c r="B18" s="95" t="s">
        <v>199</v>
      </c>
      <c r="C18" s="8">
        <f t="shared" si="0"/>
        <v>0.3</v>
      </c>
    </row>
    <row r="19" spans="1:3" ht="27.75" customHeight="1">
      <c r="A19" s="95" t="s">
        <v>200</v>
      </c>
      <c r="B19" s="95" t="s">
        <v>201</v>
      </c>
      <c r="C19" s="8">
        <f t="shared" si="0"/>
        <v>0.1</v>
      </c>
    </row>
    <row r="20" spans="1:3" ht="27.75" customHeight="1">
      <c r="A20" s="95" t="s">
        <v>202</v>
      </c>
      <c r="B20" s="95" t="s">
        <v>203</v>
      </c>
      <c r="C20" s="8">
        <f t="shared" si="0"/>
        <v>0.5</v>
      </c>
    </row>
    <row r="21" spans="1:3" ht="27.75" customHeight="1">
      <c r="A21" s="95" t="s">
        <v>204</v>
      </c>
      <c r="B21" s="95" t="s">
        <v>205</v>
      </c>
      <c r="C21" s="8">
        <f t="shared" si="0"/>
        <v>0.4</v>
      </c>
    </row>
    <row r="22" spans="1:3" ht="27.75" customHeight="1">
      <c r="A22" s="95" t="s">
        <v>206</v>
      </c>
      <c r="B22" s="95" t="s">
        <v>199</v>
      </c>
      <c r="C22" s="8">
        <f t="shared" si="0"/>
        <v>0.3</v>
      </c>
    </row>
    <row r="23" spans="1:3" ht="27.75" customHeight="1">
      <c r="A23" s="95" t="s">
        <v>207</v>
      </c>
      <c r="B23" s="95" t="s">
        <v>208</v>
      </c>
      <c r="C23" s="8">
        <v>0.2</v>
      </c>
    </row>
    <row r="24" spans="1:3" ht="27.75" customHeight="1">
      <c r="A24" s="95" t="s">
        <v>209</v>
      </c>
      <c r="B24" s="95" t="s">
        <v>210</v>
      </c>
      <c r="C24" s="8">
        <v>0</v>
      </c>
    </row>
    <row r="25" spans="1:3" ht="27.75" customHeight="1">
      <c r="A25" s="95" t="s">
        <v>211</v>
      </c>
      <c r="B25" s="95" t="s">
        <v>212</v>
      </c>
      <c r="C25" s="8">
        <f t="shared" si="0"/>
        <v>2</v>
      </c>
    </row>
    <row r="26" spans="1:3" ht="27.75" customHeight="1">
      <c r="A26" s="95" t="s">
        <v>213</v>
      </c>
      <c r="B26" s="95" t="s">
        <v>214</v>
      </c>
      <c r="C26" s="8">
        <f t="shared" si="0"/>
        <v>4</v>
      </c>
    </row>
    <row r="27" spans="1:3" ht="27.75" customHeight="1">
      <c r="A27" s="95" t="s">
        <v>215</v>
      </c>
      <c r="B27" s="95" t="s">
        <v>216</v>
      </c>
      <c r="C27" s="8">
        <v>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0EF6-06AB-4F37-AA2E-7E55DA6A4976}">
  <sheetPr>
    <tabColor theme="6" tint="0.39997558519241921"/>
  </sheetPr>
  <dimension ref="A1:H30"/>
  <sheetViews>
    <sheetView workbookViewId="0">
      <selection activeCell="J17" sqref="J17"/>
    </sheetView>
  </sheetViews>
  <sheetFormatPr defaultRowHeight="15"/>
  <cols>
    <col min="1" max="1" width="27.42578125" customWidth="1"/>
    <col min="2" max="2" width="22.85546875" customWidth="1"/>
    <col min="3" max="3" width="20.5703125" customWidth="1"/>
    <col min="4" max="4" width="32" customWidth="1"/>
    <col min="5" max="5" width="27.42578125" customWidth="1"/>
    <col min="6" max="6" width="22.85546875" customWidth="1"/>
    <col min="7" max="7" width="27.42578125" customWidth="1"/>
    <col min="8" max="8" width="36.5703125" customWidth="1"/>
  </cols>
  <sheetData>
    <row r="1" spans="1:8" ht="54">
      <c r="A1" s="129" t="s">
        <v>247</v>
      </c>
      <c r="B1" s="129"/>
      <c r="C1" s="129"/>
      <c r="D1" s="129"/>
      <c r="E1" s="129"/>
      <c r="F1" s="129"/>
      <c r="G1" s="129"/>
      <c r="H1" s="129"/>
    </row>
    <row r="2" spans="1:8">
      <c r="A2" s="130" t="s">
        <v>248</v>
      </c>
      <c r="B2" s="130" t="s">
        <v>249</v>
      </c>
      <c r="C2" s="130" t="s">
        <v>250</v>
      </c>
      <c r="D2" s="130" t="s">
        <v>251</v>
      </c>
      <c r="E2" s="130" t="s">
        <v>252</v>
      </c>
      <c r="F2" s="130"/>
      <c r="G2" s="130"/>
      <c r="H2" s="130"/>
    </row>
    <row r="3" spans="1:8" ht="30">
      <c r="A3" s="95" t="s">
        <v>253</v>
      </c>
      <c r="B3" s="95" t="s">
        <v>254</v>
      </c>
      <c r="C3" s="131">
        <v>30000</v>
      </c>
      <c r="D3" s="95" t="s">
        <v>98</v>
      </c>
      <c r="E3" s="95" t="s">
        <v>255</v>
      </c>
      <c r="F3" s="95"/>
      <c r="G3" s="95"/>
      <c r="H3" s="95"/>
    </row>
    <row r="4" spans="1:8" ht="30">
      <c r="A4" s="95" t="s">
        <v>256</v>
      </c>
      <c r="B4" s="95" t="s">
        <v>257</v>
      </c>
      <c r="C4" s="131">
        <v>5500</v>
      </c>
      <c r="D4" s="95" t="s">
        <v>98</v>
      </c>
      <c r="E4" s="95" t="s">
        <v>258</v>
      </c>
      <c r="F4" s="95"/>
      <c r="G4" s="95"/>
      <c r="H4" s="95"/>
    </row>
    <row r="5" spans="1:8">
      <c r="A5" s="95" t="s">
        <v>259</v>
      </c>
      <c r="B5" s="95" t="s">
        <v>260</v>
      </c>
      <c r="C5" s="131">
        <v>6</v>
      </c>
      <c r="D5" s="95" t="s">
        <v>261</v>
      </c>
      <c r="E5" s="95" t="s">
        <v>262</v>
      </c>
      <c r="F5" s="95"/>
      <c r="G5" s="95"/>
      <c r="H5" s="95"/>
    </row>
    <row r="6" spans="1:8" ht="30">
      <c r="A6" s="95" t="s">
        <v>263</v>
      </c>
      <c r="B6" s="95" t="s">
        <v>264</v>
      </c>
      <c r="C6" s="131">
        <v>100</v>
      </c>
      <c r="D6" s="95" t="s">
        <v>98</v>
      </c>
      <c r="E6" s="95" t="s">
        <v>265</v>
      </c>
      <c r="F6" s="95"/>
      <c r="G6" s="95"/>
      <c r="H6" s="95"/>
    </row>
    <row r="7" spans="1:8" ht="30">
      <c r="A7" s="95" t="s">
        <v>266</v>
      </c>
      <c r="B7" s="95" t="s">
        <v>267</v>
      </c>
      <c r="C7" s="131">
        <v>180</v>
      </c>
      <c r="D7" s="95" t="s">
        <v>98</v>
      </c>
      <c r="E7" s="95" t="s">
        <v>268</v>
      </c>
      <c r="F7" s="95"/>
      <c r="G7" s="95"/>
      <c r="H7" s="95"/>
    </row>
    <row r="8" spans="1:8" ht="30">
      <c r="A8" s="95" t="s">
        <v>269</v>
      </c>
      <c r="B8" s="95" t="s">
        <v>270</v>
      </c>
      <c r="C8" s="131">
        <v>300</v>
      </c>
      <c r="D8" s="95" t="s">
        <v>98</v>
      </c>
      <c r="E8" s="95" t="s">
        <v>271</v>
      </c>
      <c r="F8" s="95"/>
      <c r="G8" s="95"/>
      <c r="H8" s="95"/>
    </row>
    <row r="9" spans="1:8">
      <c r="A9" s="95" t="s">
        <v>272</v>
      </c>
      <c r="B9" s="95" t="s">
        <v>273</v>
      </c>
      <c r="C9" s="131">
        <v>400</v>
      </c>
      <c r="D9" s="95" t="s">
        <v>98</v>
      </c>
      <c r="E9" s="95" t="s">
        <v>309</v>
      </c>
      <c r="F9" s="95"/>
      <c r="G9" s="95"/>
      <c r="H9" s="95"/>
    </row>
    <row r="10" spans="1:8">
      <c r="A10" s="95" t="s">
        <v>274</v>
      </c>
      <c r="B10" s="95" t="s">
        <v>275</v>
      </c>
      <c r="C10" s="131">
        <v>230</v>
      </c>
      <c r="D10" s="95" t="s">
        <v>98</v>
      </c>
      <c r="E10" s="95" t="s">
        <v>276</v>
      </c>
      <c r="F10" s="95"/>
      <c r="G10" s="95"/>
      <c r="H10" s="95"/>
    </row>
    <row r="11" spans="1:8">
      <c r="A11" s="95" t="s">
        <v>277</v>
      </c>
      <c r="B11" s="95" t="s">
        <v>278</v>
      </c>
      <c r="C11" s="131">
        <v>176</v>
      </c>
      <c r="D11" s="95" t="s">
        <v>98</v>
      </c>
      <c r="E11" s="95" t="s">
        <v>279</v>
      </c>
      <c r="F11" s="95"/>
      <c r="G11" s="95"/>
      <c r="H11" s="95"/>
    </row>
    <row r="12" spans="1:8">
      <c r="A12" s="95"/>
      <c r="B12" s="95"/>
      <c r="C12" s="95"/>
      <c r="D12" s="95"/>
      <c r="E12" s="95"/>
      <c r="F12" s="95"/>
      <c r="G12" s="95"/>
      <c r="H12" s="95"/>
    </row>
    <row r="13" spans="1:8">
      <c r="A13" s="134" t="s">
        <v>280</v>
      </c>
      <c r="B13" s="134" t="s">
        <v>281</v>
      </c>
      <c r="C13" s="134" t="s">
        <v>282</v>
      </c>
      <c r="D13" s="134" t="s">
        <v>283</v>
      </c>
      <c r="E13" s="134" t="s">
        <v>284</v>
      </c>
      <c r="F13" s="134" t="s">
        <v>285</v>
      </c>
      <c r="G13" s="134" t="s">
        <v>135</v>
      </c>
      <c r="H13" s="95"/>
    </row>
    <row r="14" spans="1:8">
      <c r="A14" s="135">
        <v>300</v>
      </c>
      <c r="B14" s="135">
        <f>(($C$3-$C$6)/$C$5)+A14</f>
        <v>5283.333333333333</v>
      </c>
      <c r="C14" s="135">
        <f>$C$4+$C$8</f>
        <v>5800</v>
      </c>
      <c r="D14" s="135" t="str">
        <f>$C$5&amp;" x "&amp;ROUND(B14,0)&amp;" x "&amp;C14</f>
        <v>6 x 5283 x 5800</v>
      </c>
      <c r="E14" s="135">
        <f>($C$3+($C$5*A14)-($C$5*$C$7))/$C$5</f>
        <v>5120</v>
      </c>
      <c r="F14" s="135">
        <f>E14</f>
        <v>5120</v>
      </c>
      <c r="G14" s="135">
        <f>($C$3-$C$10)+$C$11</f>
        <v>29946</v>
      </c>
      <c r="H14" s="95" t="s">
        <v>441</v>
      </c>
    </row>
    <row r="15" spans="1:8">
      <c r="A15" s="135">
        <v>600</v>
      </c>
      <c r="B15" s="135">
        <f>(($C$3-$C$6)/$C$5)+A15</f>
        <v>5583.333333333333</v>
      </c>
      <c r="C15" s="135">
        <f>$C$4+$C$8</f>
        <v>5800</v>
      </c>
      <c r="D15" s="135" t="str">
        <f>$C$5&amp;" x "&amp;ROUND(B15,0)&amp;" x "&amp;C15</f>
        <v>6 x 5583 x 5800</v>
      </c>
      <c r="E15" s="135">
        <f>($C$3+($C$5*A15)-($C$5*$C$7))/$C$5</f>
        <v>5420</v>
      </c>
      <c r="F15" s="135">
        <f>E15</f>
        <v>5420</v>
      </c>
      <c r="G15" s="135">
        <f>($C$3-$C$10)+$C$11</f>
        <v>29946</v>
      </c>
      <c r="H15" s="95" t="s">
        <v>122</v>
      </c>
    </row>
    <row r="16" spans="1:8">
      <c r="A16" s="135">
        <v>1000</v>
      </c>
      <c r="B16" s="135">
        <f>(($C$3-$C$6)/$C$5)+A16</f>
        <v>5983.333333333333</v>
      </c>
      <c r="C16" s="135">
        <f>$C$4+$C$8</f>
        <v>5800</v>
      </c>
      <c r="D16" s="135" t="str">
        <f>$C$5&amp;" x "&amp;ROUND(B16,0)&amp;" x "&amp;C16</f>
        <v>6 x 5983 x 5800</v>
      </c>
      <c r="E16" s="135">
        <f>($C$3+($C$5*A16)-($C$5*$C$7))/$C$5</f>
        <v>5820</v>
      </c>
      <c r="F16" s="135">
        <f>E16</f>
        <v>5820</v>
      </c>
      <c r="G16" s="135">
        <f>($C$3-$C$10)+$C$11</f>
        <v>29946</v>
      </c>
      <c r="H16" s="95" t="s">
        <v>442</v>
      </c>
    </row>
    <row r="17" spans="1:8">
      <c r="A17" s="95"/>
      <c r="B17" s="95"/>
      <c r="C17" s="95"/>
      <c r="D17" s="95"/>
      <c r="E17" s="95"/>
      <c r="F17" s="95"/>
      <c r="G17" s="95"/>
      <c r="H17" s="95"/>
    </row>
    <row r="18" spans="1:8" ht="30">
      <c r="A18" s="132" t="s">
        <v>286</v>
      </c>
      <c r="B18" s="132"/>
      <c r="C18" s="132"/>
      <c r="D18" s="132"/>
      <c r="E18" s="132"/>
      <c r="F18" s="132"/>
      <c r="G18" s="132"/>
      <c r="H18" s="95"/>
    </row>
    <row r="19" spans="1:8">
      <c r="A19" s="133" t="s">
        <v>173</v>
      </c>
      <c r="B19" s="133" t="s">
        <v>287</v>
      </c>
      <c r="C19" s="133" t="s">
        <v>288</v>
      </c>
      <c r="D19" s="95"/>
      <c r="E19" s="95"/>
      <c r="F19" s="95"/>
      <c r="G19" s="95"/>
      <c r="H19" s="95"/>
    </row>
    <row r="20" spans="1:8" ht="45">
      <c r="A20" s="95" t="s">
        <v>281</v>
      </c>
      <c r="B20" s="95" t="s">
        <v>289</v>
      </c>
      <c r="C20" s="95" t="s">
        <v>290</v>
      </c>
      <c r="D20" s="95"/>
      <c r="E20" s="95"/>
      <c r="F20" s="95"/>
      <c r="G20" s="95"/>
      <c r="H20" s="95"/>
    </row>
    <row r="21" spans="1:8" ht="45">
      <c r="A21" s="95" t="s">
        <v>282</v>
      </c>
      <c r="B21" s="95" t="s">
        <v>291</v>
      </c>
      <c r="C21" s="95" t="s">
        <v>292</v>
      </c>
      <c r="D21" s="95"/>
      <c r="E21" s="95"/>
      <c r="F21" s="95"/>
      <c r="G21" s="95"/>
      <c r="H21" s="95"/>
    </row>
    <row r="22" spans="1:8" ht="60">
      <c r="A22" s="95" t="s">
        <v>284</v>
      </c>
      <c r="B22" s="95" t="s">
        <v>293</v>
      </c>
      <c r="C22" s="95" t="s">
        <v>294</v>
      </c>
      <c r="D22" s="95"/>
      <c r="E22" s="95"/>
      <c r="F22" s="95"/>
      <c r="G22" s="95"/>
      <c r="H22" s="95"/>
    </row>
    <row r="23" spans="1:8" ht="30">
      <c r="A23" s="95" t="s">
        <v>285</v>
      </c>
      <c r="B23" s="95" t="s">
        <v>293</v>
      </c>
      <c r="C23" s="95" t="s">
        <v>295</v>
      </c>
      <c r="D23" s="95"/>
      <c r="E23" s="95"/>
      <c r="F23" s="95"/>
      <c r="G23" s="95"/>
      <c r="H23" s="95"/>
    </row>
    <row r="24" spans="1:8" ht="30">
      <c r="A24" s="95" t="s">
        <v>169</v>
      </c>
      <c r="B24" s="95" t="s">
        <v>296</v>
      </c>
      <c r="C24" s="95" t="s">
        <v>297</v>
      </c>
      <c r="D24" s="95"/>
      <c r="E24" s="95"/>
      <c r="F24" s="95"/>
      <c r="G24" s="95"/>
      <c r="H24" s="95"/>
    </row>
    <row r="25" spans="1:8" ht="30">
      <c r="A25" s="95" t="s">
        <v>135</v>
      </c>
      <c r="B25" s="95" t="s">
        <v>298</v>
      </c>
      <c r="C25" s="95" t="s">
        <v>297</v>
      </c>
      <c r="D25" s="95"/>
      <c r="E25" s="95"/>
      <c r="F25" s="95"/>
      <c r="G25" s="95"/>
      <c r="H25" s="95"/>
    </row>
    <row r="26" spans="1:8">
      <c r="A26" s="95"/>
      <c r="B26" s="95"/>
      <c r="C26" s="95"/>
      <c r="D26" s="95"/>
      <c r="E26" s="95"/>
      <c r="F26" s="95"/>
      <c r="G26" s="95"/>
      <c r="H26" s="95"/>
    </row>
    <row r="27" spans="1:8">
      <c r="A27" s="439" t="s">
        <v>299</v>
      </c>
      <c r="B27" s="439"/>
      <c r="C27" s="439"/>
      <c r="D27" s="439"/>
      <c r="E27" s="439"/>
      <c r="F27" s="439"/>
      <c r="G27" s="439"/>
      <c r="H27" s="95"/>
    </row>
    <row r="28" spans="1:8" ht="20.25" customHeight="1">
      <c r="A28" s="440" t="s">
        <v>300</v>
      </c>
      <c r="B28" s="440"/>
      <c r="C28" s="440"/>
      <c r="D28" s="440"/>
      <c r="E28" s="440"/>
      <c r="F28" s="440"/>
      <c r="G28" s="440"/>
      <c r="H28" s="95"/>
    </row>
    <row r="29" spans="1:8" ht="20.25" customHeight="1">
      <c r="A29" s="440" t="s">
        <v>301</v>
      </c>
      <c r="B29" s="440"/>
      <c r="C29" s="440"/>
      <c r="D29" s="440"/>
      <c r="E29" s="440"/>
      <c r="F29" s="440"/>
      <c r="G29" s="440"/>
      <c r="H29" s="95"/>
    </row>
    <row r="30" spans="1:8" ht="20.25" customHeight="1">
      <c r="A30" s="440" t="s">
        <v>302</v>
      </c>
      <c r="B30" s="440"/>
      <c r="C30" s="440"/>
      <c r="D30" s="440"/>
      <c r="E30" s="440"/>
      <c r="F30" s="440"/>
      <c r="G30" s="440"/>
      <c r="H30" s="95"/>
    </row>
  </sheetData>
  <mergeCells count="4">
    <mergeCell ref="A27:G27"/>
    <mergeCell ref="A28:G28"/>
    <mergeCell ref="A29:G29"/>
    <mergeCell ref="A30:G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1860-3C1D-449F-9305-9C4D7E2906C1}">
  <sheetPr>
    <tabColor rgb="FFFFC000"/>
    <pageSetUpPr fitToPage="1"/>
  </sheetPr>
  <dimension ref="A1:G207"/>
  <sheetViews>
    <sheetView workbookViewId="0">
      <selection activeCell="P20" sqref="P20"/>
    </sheetView>
  </sheetViews>
  <sheetFormatPr defaultRowHeight="15"/>
  <cols>
    <col min="1" max="1" width="32.5703125" style="167" customWidth="1"/>
    <col min="2" max="2" width="11.42578125" customWidth="1"/>
    <col min="3" max="3" width="12.7109375" customWidth="1"/>
    <col min="4" max="4" width="7.5703125" customWidth="1"/>
    <col min="5" max="5" width="15.7109375" customWidth="1"/>
    <col min="6" max="6" width="19" customWidth="1"/>
    <col min="7" max="7" width="15.28515625" customWidth="1"/>
  </cols>
  <sheetData>
    <row r="1" spans="1:7" ht="18.75">
      <c r="A1" s="445" t="s">
        <v>338</v>
      </c>
      <c r="B1" s="446"/>
      <c r="C1" s="446"/>
      <c r="D1" s="446"/>
      <c r="E1" s="446"/>
      <c r="F1" s="446"/>
      <c r="G1" s="447"/>
    </row>
    <row r="2" spans="1:7">
      <c r="A2" s="163" t="s">
        <v>435</v>
      </c>
      <c r="D2" s="213"/>
      <c r="G2" s="164"/>
    </row>
    <row r="3" spans="1:7">
      <c r="A3" s="153" t="s">
        <v>315</v>
      </c>
      <c r="B3" s="450" t="str">
        <f>'Data INPUT'!B3</f>
        <v xml:space="preserve"> </v>
      </c>
      <c r="C3" s="450"/>
      <c r="D3" s="450"/>
      <c r="E3" s="450"/>
      <c r="F3" s="450"/>
      <c r="G3" s="451"/>
    </row>
    <row r="4" spans="1:7" ht="24.75" customHeight="1">
      <c r="A4" s="189" t="s">
        <v>339</v>
      </c>
      <c r="B4" s="450" t="str">
        <f>'Data INPUT'!B2</f>
        <v xml:space="preserve"> </v>
      </c>
      <c r="C4" s="450"/>
      <c r="D4" s="450"/>
      <c r="E4" s="450"/>
      <c r="F4" s="450"/>
      <c r="G4" s="451"/>
    </row>
    <row r="5" spans="1:7" ht="18.75" customHeight="1">
      <c r="A5" s="153" t="s">
        <v>340</v>
      </c>
      <c r="B5" s="441"/>
      <c r="C5" s="441"/>
      <c r="D5" s="441"/>
      <c r="E5" s="441"/>
      <c r="F5" s="441"/>
      <c r="G5" s="442"/>
    </row>
    <row r="6" spans="1:7" ht="15" customHeight="1">
      <c r="A6" s="153" t="s">
        <v>341</v>
      </c>
      <c r="B6" s="165"/>
      <c r="C6" s="165"/>
      <c r="D6" s="165"/>
      <c r="E6" s="165"/>
      <c r="F6" s="165"/>
      <c r="G6" s="166"/>
    </row>
    <row r="7" spans="1:7">
      <c r="A7" s="163"/>
      <c r="G7" s="164"/>
    </row>
    <row r="8" spans="1:7">
      <c r="A8" s="454" t="s">
        <v>316</v>
      </c>
      <c r="B8" s="455"/>
      <c r="C8" s="455"/>
      <c r="D8" s="455"/>
      <c r="E8" s="455"/>
      <c r="F8" s="455"/>
      <c r="G8" s="456"/>
    </row>
    <row r="9" spans="1:7">
      <c r="A9" s="457" t="s">
        <v>317</v>
      </c>
      <c r="B9" s="458"/>
      <c r="C9" s="458"/>
      <c r="D9" s="458"/>
      <c r="E9" s="458"/>
      <c r="F9" s="458"/>
      <c r="G9" s="459"/>
    </row>
    <row r="10" spans="1:7">
      <c r="A10" s="163"/>
      <c r="G10" s="164"/>
    </row>
    <row r="11" spans="1:7">
      <c r="A11" s="155" t="s">
        <v>342</v>
      </c>
      <c r="B11" s="149" t="s">
        <v>42</v>
      </c>
      <c r="C11" s="149" t="s">
        <v>43</v>
      </c>
      <c r="D11" s="452" t="s">
        <v>343</v>
      </c>
      <c r="E11" s="452"/>
      <c r="F11" s="149" t="s">
        <v>318</v>
      </c>
      <c r="G11" s="156" t="s">
        <v>319</v>
      </c>
    </row>
    <row r="12" spans="1:7">
      <c r="A12" s="157"/>
      <c r="B12" s="151"/>
      <c r="C12" s="151"/>
      <c r="D12" s="159" t="s">
        <v>320</v>
      </c>
      <c r="E12" s="159" t="s">
        <v>321</v>
      </c>
      <c r="F12" s="151"/>
      <c r="G12" s="158"/>
    </row>
    <row r="13" spans="1:7" ht="18" customHeight="1">
      <c r="A13" s="206" t="s">
        <v>322</v>
      </c>
      <c r="B13" s="195"/>
      <c r="C13" s="195"/>
      <c r="D13" s="195"/>
      <c r="E13" s="195"/>
      <c r="F13" s="195"/>
      <c r="G13" s="207"/>
    </row>
    <row r="14" spans="1:7" ht="18" customHeight="1">
      <c r="A14" s="208" t="s">
        <v>323</v>
      </c>
      <c r="B14" s="194"/>
      <c r="C14" s="194"/>
      <c r="D14" s="194"/>
      <c r="E14" s="194"/>
      <c r="F14" s="194"/>
      <c r="G14" s="209"/>
    </row>
    <row r="15" spans="1:7" ht="18" customHeight="1">
      <c r="A15" s="208" t="s">
        <v>324</v>
      </c>
      <c r="B15" s="194"/>
      <c r="C15" s="194"/>
      <c r="D15" s="194"/>
      <c r="E15" s="194"/>
      <c r="F15" s="194"/>
      <c r="G15" s="209"/>
    </row>
    <row r="16" spans="1:7" ht="18" customHeight="1">
      <c r="A16" s="208" t="s">
        <v>325</v>
      </c>
      <c r="B16" s="194"/>
      <c r="C16" s="194"/>
      <c r="D16" s="194"/>
      <c r="E16" s="194"/>
      <c r="F16" s="194"/>
      <c r="G16" s="209"/>
    </row>
    <row r="17" spans="1:7" ht="18" customHeight="1">
      <c r="A17" s="206" t="s">
        <v>326</v>
      </c>
      <c r="B17" s="195"/>
      <c r="C17" s="195"/>
      <c r="D17" s="195"/>
      <c r="E17" s="195"/>
      <c r="F17" s="195"/>
      <c r="G17" s="207"/>
    </row>
    <row r="18" spans="1:7" ht="18" customHeight="1">
      <c r="A18" s="208" t="s">
        <v>168</v>
      </c>
      <c r="B18" s="194"/>
      <c r="C18" s="194"/>
      <c r="D18" s="194"/>
      <c r="E18" s="194"/>
      <c r="F18" s="194"/>
      <c r="G18" s="209"/>
    </row>
    <row r="19" spans="1:7" ht="18" customHeight="1">
      <c r="A19" s="208" t="s">
        <v>139</v>
      </c>
      <c r="B19" s="194"/>
      <c r="C19" s="194"/>
      <c r="D19" s="194"/>
      <c r="E19" s="194"/>
      <c r="F19" s="194"/>
      <c r="G19" s="209"/>
    </row>
    <row r="20" spans="1:7" ht="18" customHeight="1">
      <c r="A20" s="208" t="s">
        <v>327</v>
      </c>
      <c r="B20" s="194"/>
      <c r="C20" s="194"/>
      <c r="D20" s="194"/>
      <c r="E20" s="194"/>
      <c r="F20" s="194"/>
      <c r="G20" s="209"/>
    </row>
    <row r="21" spans="1:7" ht="18" customHeight="1">
      <c r="A21" s="208" t="s">
        <v>328</v>
      </c>
      <c r="B21" s="194"/>
      <c r="C21" s="194"/>
      <c r="D21" s="194"/>
      <c r="E21" s="194"/>
      <c r="F21" s="194"/>
      <c r="G21" s="209"/>
    </row>
    <row r="22" spans="1:7" ht="18" customHeight="1">
      <c r="A22" s="208" t="s">
        <v>329</v>
      </c>
      <c r="B22" s="194"/>
      <c r="C22" s="194"/>
      <c r="D22" s="194"/>
      <c r="E22" s="194"/>
      <c r="F22" s="194"/>
      <c r="G22" s="209"/>
    </row>
    <row r="23" spans="1:7" ht="18" customHeight="1">
      <c r="A23" s="206" t="s">
        <v>330</v>
      </c>
      <c r="B23" s="195"/>
      <c r="C23" s="195"/>
      <c r="D23" s="195"/>
      <c r="E23" s="195"/>
      <c r="F23" s="195"/>
      <c r="G23" s="207"/>
    </row>
    <row r="24" spans="1:7" ht="18" customHeight="1">
      <c r="A24" s="208" t="s">
        <v>168</v>
      </c>
      <c r="B24" s="194"/>
      <c r="C24" s="194"/>
      <c r="D24" s="194"/>
      <c r="E24" s="194"/>
      <c r="F24" s="194"/>
      <c r="G24" s="209"/>
    </row>
    <row r="25" spans="1:7" ht="18" customHeight="1">
      <c r="A25" s="208" t="s">
        <v>139</v>
      </c>
      <c r="B25" s="194"/>
      <c r="C25" s="194"/>
      <c r="D25" s="194"/>
      <c r="E25" s="194"/>
      <c r="F25" s="194"/>
      <c r="G25" s="209"/>
    </row>
    <row r="26" spans="1:7" ht="18" customHeight="1">
      <c r="A26" s="206" t="s">
        <v>344</v>
      </c>
      <c r="B26" s="195"/>
      <c r="C26" s="195"/>
      <c r="D26" s="195"/>
      <c r="E26" s="195"/>
      <c r="F26" s="195"/>
      <c r="G26" s="207"/>
    </row>
    <row r="27" spans="1:7" ht="18" customHeight="1">
      <c r="A27" s="208" t="s">
        <v>48</v>
      </c>
      <c r="B27" s="194"/>
      <c r="C27" s="194"/>
      <c r="D27" s="194"/>
      <c r="E27" s="194"/>
      <c r="F27" s="194"/>
      <c r="G27" s="209"/>
    </row>
    <row r="28" spans="1:7" ht="18" customHeight="1">
      <c r="A28" s="208" t="s">
        <v>331</v>
      </c>
      <c r="B28" s="194"/>
      <c r="C28" s="194"/>
      <c r="D28" s="194"/>
      <c r="E28" s="194"/>
      <c r="F28" s="194"/>
      <c r="G28" s="209"/>
    </row>
    <row r="29" spans="1:7" ht="18" customHeight="1">
      <c r="A29" s="208" t="s">
        <v>332</v>
      </c>
      <c r="B29" s="194"/>
      <c r="C29" s="194"/>
      <c r="D29" s="194"/>
      <c r="E29" s="194"/>
      <c r="F29" s="194"/>
      <c r="G29" s="209"/>
    </row>
    <row r="30" spans="1:7" ht="29.25" customHeight="1">
      <c r="A30" s="208" t="s">
        <v>333</v>
      </c>
      <c r="B30" s="194"/>
      <c r="C30" s="194"/>
      <c r="D30" s="194"/>
      <c r="E30" s="194"/>
      <c r="F30" s="194"/>
      <c r="G30" s="209"/>
    </row>
    <row r="31" spans="1:7" ht="18" customHeight="1">
      <c r="A31" s="206" t="s">
        <v>345</v>
      </c>
      <c r="B31" s="195"/>
      <c r="C31" s="195"/>
      <c r="D31" s="195"/>
      <c r="E31" s="195"/>
      <c r="F31" s="195"/>
      <c r="G31" s="207"/>
    </row>
    <row r="32" spans="1:7" ht="18" customHeight="1">
      <c r="A32" s="208" t="s">
        <v>334</v>
      </c>
      <c r="B32" s="194"/>
      <c r="C32" s="194"/>
      <c r="D32" s="194"/>
      <c r="E32" s="194"/>
      <c r="F32" s="194"/>
      <c r="G32" s="209"/>
    </row>
    <row r="33" spans="1:7" ht="18" customHeight="1">
      <c r="A33" s="208" t="s">
        <v>335</v>
      </c>
      <c r="B33" s="194"/>
      <c r="C33" s="194"/>
      <c r="D33" s="194"/>
      <c r="E33" s="194"/>
      <c r="F33" s="194"/>
      <c r="G33" s="209"/>
    </row>
    <row r="34" spans="1:7" ht="18" customHeight="1">
      <c r="A34" s="208" t="s">
        <v>346</v>
      </c>
      <c r="B34" s="194"/>
      <c r="C34" s="194"/>
      <c r="D34" s="194"/>
      <c r="E34" s="194"/>
      <c r="F34" s="194"/>
      <c r="G34" s="209"/>
    </row>
    <row r="35" spans="1:7" ht="18" customHeight="1">
      <c r="A35" s="206" t="s">
        <v>347</v>
      </c>
      <c r="B35" s="195"/>
      <c r="C35" s="195"/>
      <c r="D35" s="195"/>
      <c r="E35" s="195"/>
      <c r="F35" s="195"/>
      <c r="G35" s="207"/>
    </row>
    <row r="36" spans="1:7" ht="18" customHeight="1">
      <c r="A36" s="208" t="s">
        <v>336</v>
      </c>
      <c r="B36" s="194"/>
      <c r="C36" s="194"/>
      <c r="D36" s="194"/>
      <c r="E36" s="194"/>
      <c r="F36" s="194"/>
      <c r="G36" s="209"/>
    </row>
    <row r="37" spans="1:7" ht="18" customHeight="1">
      <c r="A37" s="208" t="s">
        <v>337</v>
      </c>
      <c r="B37" s="194"/>
      <c r="C37" s="194"/>
      <c r="D37" s="194"/>
      <c r="E37" s="194"/>
      <c r="F37" s="194"/>
      <c r="G37" s="209"/>
    </row>
    <row r="38" spans="1:7" ht="18" customHeight="1" thickBot="1">
      <c r="A38" s="215" t="s">
        <v>348</v>
      </c>
      <c r="B38" s="216"/>
      <c r="C38" s="216"/>
      <c r="D38" s="216"/>
      <c r="E38" s="216"/>
      <c r="F38" s="216"/>
      <c r="G38" s="217"/>
    </row>
    <row r="40" spans="1:7" ht="15.75" thickBot="1"/>
    <row r="41" spans="1:7" ht="18.75">
      <c r="A41" s="445" t="s">
        <v>349</v>
      </c>
      <c r="B41" s="446"/>
      <c r="C41" s="446"/>
      <c r="D41" s="446"/>
      <c r="E41" s="446"/>
      <c r="F41" s="446"/>
      <c r="G41" s="447"/>
    </row>
    <row r="42" spans="1:7">
      <c r="A42" s="163" t="s">
        <v>435</v>
      </c>
      <c r="G42" s="164"/>
    </row>
    <row r="43" spans="1:7">
      <c r="A43" s="153" t="s">
        <v>315</v>
      </c>
      <c r="B43" s="441" t="str">
        <f>'Data INPUT'!B3</f>
        <v xml:space="preserve"> </v>
      </c>
      <c r="C43" s="441"/>
      <c r="D43" s="441"/>
      <c r="E43" s="441"/>
      <c r="F43" s="441"/>
      <c r="G43" s="442"/>
    </row>
    <row r="44" spans="1:7">
      <c r="A44" s="153" t="s">
        <v>350</v>
      </c>
      <c r="B44" s="441" t="str">
        <f>'Data INPUT'!B2</f>
        <v xml:space="preserve"> </v>
      </c>
      <c r="C44" s="441"/>
      <c r="D44" s="441"/>
      <c r="E44" s="441"/>
      <c r="F44" s="441"/>
      <c r="G44" s="442"/>
    </row>
    <row r="45" spans="1:7">
      <c r="A45" s="153" t="s">
        <v>340</v>
      </c>
      <c r="B45" s="441"/>
      <c r="C45" s="441"/>
      <c r="D45" s="441"/>
      <c r="E45" s="441"/>
      <c r="F45" s="441"/>
      <c r="G45" s="442"/>
    </row>
    <row r="46" spans="1:7">
      <c r="A46" s="163"/>
      <c r="G46" s="164"/>
    </row>
    <row r="47" spans="1:7">
      <c r="A47" s="460" t="s">
        <v>351</v>
      </c>
      <c r="B47" s="461"/>
      <c r="C47" s="461"/>
      <c r="D47" s="461"/>
      <c r="E47" s="461"/>
      <c r="F47" s="461"/>
      <c r="G47" s="462"/>
    </row>
    <row r="48" spans="1:7">
      <c r="A48" s="163"/>
      <c r="G48" s="164"/>
    </row>
    <row r="49" spans="1:7">
      <c r="A49" s="155" t="s">
        <v>352</v>
      </c>
      <c r="B49" s="149" t="s">
        <v>342</v>
      </c>
      <c r="C49" s="149" t="s">
        <v>42</v>
      </c>
      <c r="D49" s="149" t="s">
        <v>43</v>
      </c>
      <c r="E49" s="452" t="s">
        <v>353</v>
      </c>
      <c r="F49" s="452"/>
      <c r="G49" s="156" t="s">
        <v>318</v>
      </c>
    </row>
    <row r="50" spans="1:7">
      <c r="A50" s="161"/>
      <c r="B50" s="150"/>
      <c r="C50" s="150"/>
      <c r="D50" s="150"/>
      <c r="E50" s="150" t="s">
        <v>320</v>
      </c>
      <c r="F50" s="150" t="s">
        <v>321</v>
      </c>
      <c r="G50" s="162" t="s">
        <v>354</v>
      </c>
    </row>
    <row r="51" spans="1:7">
      <c r="A51" s="163"/>
      <c r="G51" s="164"/>
    </row>
    <row r="52" spans="1:7" ht="18" customHeight="1">
      <c r="A52" s="206" t="s">
        <v>355</v>
      </c>
      <c r="B52" s="195"/>
      <c r="C52" s="195"/>
      <c r="D52" s="195"/>
      <c r="E52" s="195"/>
      <c r="F52" s="195"/>
      <c r="G52" s="207"/>
    </row>
    <row r="53" spans="1:7" ht="17.25" customHeight="1">
      <c r="A53" s="208" t="s">
        <v>436</v>
      </c>
      <c r="B53" s="194"/>
      <c r="C53" s="194"/>
      <c r="D53" s="194"/>
      <c r="E53" s="194"/>
      <c r="F53" s="194"/>
      <c r="G53" s="209"/>
    </row>
    <row r="54" spans="1:7" ht="18" customHeight="1">
      <c r="A54" s="208" t="s">
        <v>437</v>
      </c>
      <c r="B54" s="194"/>
      <c r="C54" s="194"/>
      <c r="D54" s="194"/>
      <c r="E54" s="194"/>
      <c r="F54" s="194"/>
      <c r="G54" s="209"/>
    </row>
    <row r="55" spans="1:7" ht="17.25" customHeight="1">
      <c r="A55" s="208" t="s">
        <v>438</v>
      </c>
      <c r="B55" s="194"/>
      <c r="C55" s="194"/>
      <c r="D55" s="194"/>
      <c r="E55" s="194"/>
      <c r="F55" s="194"/>
      <c r="G55" s="209"/>
    </row>
    <row r="56" spans="1:7" ht="20.25" customHeight="1">
      <c r="A56" s="208" t="s">
        <v>439</v>
      </c>
      <c r="B56" s="194"/>
      <c r="C56" s="194"/>
      <c r="D56" s="194"/>
      <c r="E56" s="194"/>
      <c r="F56" s="194"/>
      <c r="G56" s="209"/>
    </row>
    <row r="57" spans="1:7" ht="17.25" customHeight="1">
      <c r="A57" s="206" t="s">
        <v>356</v>
      </c>
      <c r="B57" s="195"/>
      <c r="C57" s="195"/>
      <c r="D57" s="195"/>
      <c r="E57" s="195"/>
      <c r="F57" s="195"/>
      <c r="G57" s="207"/>
    </row>
    <row r="58" spans="1:7" ht="18" customHeight="1">
      <c r="A58" s="203"/>
      <c r="B58" s="204"/>
      <c r="C58" s="204"/>
      <c r="D58" s="204"/>
      <c r="E58" s="204"/>
      <c r="F58" s="204"/>
      <c r="G58" s="205"/>
    </row>
    <row r="59" spans="1:7" ht="18" customHeight="1">
      <c r="A59" s="206" t="s">
        <v>357</v>
      </c>
      <c r="B59" s="195"/>
      <c r="C59" s="195"/>
      <c r="D59" s="195"/>
      <c r="E59" s="195"/>
      <c r="F59" s="195"/>
      <c r="G59" s="207"/>
    </row>
    <row r="60" spans="1:7" ht="30" customHeight="1">
      <c r="A60" s="208" t="s">
        <v>358</v>
      </c>
      <c r="B60" s="194"/>
      <c r="C60" s="194"/>
      <c r="D60" s="194"/>
      <c r="E60" s="194"/>
      <c r="F60" s="194"/>
      <c r="G60" s="209"/>
    </row>
    <row r="61" spans="1:7" ht="20.25" customHeight="1">
      <c r="A61" s="203"/>
      <c r="B61" s="204"/>
      <c r="C61" s="204"/>
      <c r="D61" s="204"/>
      <c r="E61" s="204"/>
      <c r="F61" s="204"/>
      <c r="G61" s="205"/>
    </row>
    <row r="62" spans="1:7" ht="30" customHeight="1">
      <c r="A62" s="206" t="s">
        <v>359</v>
      </c>
      <c r="B62" s="195"/>
      <c r="C62" s="195"/>
      <c r="D62" s="195"/>
      <c r="E62" s="195"/>
      <c r="F62" s="195"/>
      <c r="G62" s="207"/>
    </row>
    <row r="63" spans="1:7" ht="18" customHeight="1">
      <c r="A63" s="203"/>
      <c r="B63" s="204"/>
      <c r="C63" s="204"/>
      <c r="D63" s="204"/>
      <c r="E63" s="204"/>
      <c r="F63" s="204"/>
      <c r="G63" s="205"/>
    </row>
    <row r="64" spans="1:7" ht="35.25" customHeight="1">
      <c r="A64" s="206" t="s">
        <v>360</v>
      </c>
      <c r="B64" s="195"/>
      <c r="C64" s="195"/>
      <c r="D64" s="195"/>
      <c r="E64" s="195"/>
      <c r="F64" s="195"/>
      <c r="G64" s="207"/>
    </row>
    <row r="65" spans="1:7" ht="18" customHeight="1" thickBot="1">
      <c r="A65" s="210"/>
      <c r="B65" s="211"/>
      <c r="C65" s="211"/>
      <c r="D65" s="211"/>
      <c r="E65" s="211"/>
      <c r="F65" s="211"/>
      <c r="G65" s="212"/>
    </row>
    <row r="67" spans="1:7" ht="15.75" thickBot="1"/>
    <row r="68" spans="1:7" ht="18.75">
      <c r="A68" s="445" t="s">
        <v>361</v>
      </c>
      <c r="B68" s="446"/>
      <c r="C68" s="446"/>
      <c r="D68" s="446"/>
      <c r="E68" s="446"/>
      <c r="F68" s="446"/>
      <c r="G68" s="447"/>
    </row>
    <row r="69" spans="1:7">
      <c r="A69" s="163" t="s">
        <v>435</v>
      </c>
      <c r="G69" s="164"/>
    </row>
    <row r="70" spans="1:7">
      <c r="A70" s="153" t="s">
        <v>315</v>
      </c>
      <c r="B70" s="441" t="str">
        <f>'Data INPUT'!B3</f>
        <v xml:space="preserve"> </v>
      </c>
      <c r="C70" s="441"/>
      <c r="D70" s="441"/>
      <c r="E70" s="441"/>
      <c r="F70" s="441"/>
      <c r="G70" s="442"/>
    </row>
    <row r="71" spans="1:7">
      <c r="A71" s="153" t="s">
        <v>350</v>
      </c>
      <c r="B71" s="441" t="str">
        <f>'Data INPUT'!B2</f>
        <v xml:space="preserve"> </v>
      </c>
      <c r="C71" s="441"/>
      <c r="D71" s="441"/>
      <c r="E71" s="441"/>
      <c r="F71" s="441"/>
      <c r="G71" s="442"/>
    </row>
    <row r="72" spans="1:7">
      <c r="A72" s="153" t="s">
        <v>340</v>
      </c>
      <c r="B72" s="441"/>
      <c r="C72" s="441"/>
      <c r="D72" s="441"/>
      <c r="E72" s="441"/>
      <c r="F72" s="441"/>
      <c r="G72" s="442"/>
    </row>
    <row r="73" spans="1:7">
      <c r="A73" s="163"/>
      <c r="G73" s="164"/>
    </row>
    <row r="74" spans="1:7">
      <c r="A74" s="155" t="s">
        <v>362</v>
      </c>
      <c r="B74" s="149" t="s">
        <v>363</v>
      </c>
      <c r="C74" s="452" t="s">
        <v>353</v>
      </c>
      <c r="D74" s="452"/>
      <c r="E74" s="149" t="s">
        <v>318</v>
      </c>
      <c r="F74" s="452" t="s">
        <v>354</v>
      </c>
      <c r="G74" s="453"/>
    </row>
    <row r="75" spans="1:7">
      <c r="A75" s="161"/>
      <c r="B75" s="150"/>
      <c r="C75" s="150" t="s">
        <v>320</v>
      </c>
      <c r="D75" s="150" t="s">
        <v>321</v>
      </c>
      <c r="E75" s="150"/>
      <c r="F75" s="443"/>
      <c r="G75" s="444"/>
    </row>
    <row r="76" spans="1:7">
      <c r="A76" s="163"/>
      <c r="G76" s="164"/>
    </row>
    <row r="77" spans="1:7" ht="30.75" customHeight="1">
      <c r="A77" s="206" t="s">
        <v>364</v>
      </c>
      <c r="B77" s="194"/>
      <c r="C77" s="194"/>
      <c r="D77" s="194"/>
      <c r="E77" s="194"/>
      <c r="F77" s="194"/>
      <c r="G77" s="209"/>
    </row>
    <row r="78" spans="1:7" ht="30.75" customHeight="1">
      <c r="A78" s="206" t="s">
        <v>365</v>
      </c>
      <c r="B78" s="194"/>
      <c r="C78" s="194"/>
      <c r="D78" s="194"/>
      <c r="E78" s="194"/>
      <c r="F78" s="194"/>
      <c r="G78" s="209"/>
    </row>
    <row r="79" spans="1:7" ht="18" customHeight="1">
      <c r="A79" s="206" t="s">
        <v>366</v>
      </c>
      <c r="B79" s="194"/>
      <c r="C79" s="194"/>
      <c r="D79" s="194"/>
      <c r="E79" s="194"/>
      <c r="F79" s="194"/>
      <c r="G79" s="209"/>
    </row>
    <row r="80" spans="1:7" ht="18" customHeight="1">
      <c r="A80" s="208" t="s">
        <v>367</v>
      </c>
      <c r="B80" s="194"/>
      <c r="C80" s="194"/>
      <c r="D80" s="194"/>
      <c r="E80" s="194"/>
      <c r="F80" s="194"/>
      <c r="G80" s="209"/>
    </row>
    <row r="81" spans="1:7" ht="18" customHeight="1">
      <c r="A81" s="208" t="s">
        <v>368</v>
      </c>
      <c r="B81" s="194"/>
      <c r="C81" s="194"/>
      <c r="D81" s="194"/>
      <c r="E81" s="194"/>
      <c r="F81" s="194"/>
      <c r="G81" s="209"/>
    </row>
    <row r="82" spans="1:7" ht="18" customHeight="1">
      <c r="A82" s="208" t="s">
        <v>369</v>
      </c>
      <c r="B82" s="194"/>
      <c r="C82" s="194"/>
      <c r="D82" s="194"/>
      <c r="E82" s="194"/>
      <c r="F82" s="194"/>
      <c r="G82" s="209"/>
    </row>
    <row r="83" spans="1:7" ht="18" customHeight="1">
      <c r="A83" s="208" t="s">
        <v>370</v>
      </c>
      <c r="B83" s="194"/>
      <c r="C83" s="194"/>
      <c r="D83" s="194"/>
      <c r="E83" s="194"/>
      <c r="F83" s="194"/>
      <c r="G83" s="209"/>
    </row>
    <row r="84" spans="1:7" ht="18" customHeight="1">
      <c r="A84" s="206" t="s">
        <v>371</v>
      </c>
      <c r="B84" s="194"/>
      <c r="C84" s="194"/>
      <c r="D84" s="194"/>
      <c r="E84" s="194"/>
      <c r="F84" s="194"/>
      <c r="G84" s="209"/>
    </row>
    <row r="85" spans="1:7" ht="18" customHeight="1">
      <c r="A85" s="208" t="s">
        <v>372</v>
      </c>
      <c r="B85" s="194"/>
      <c r="C85" s="194"/>
      <c r="D85" s="194"/>
      <c r="E85" s="194"/>
      <c r="F85" s="194"/>
      <c r="G85" s="209"/>
    </row>
    <row r="86" spans="1:7" ht="18" customHeight="1">
      <c r="A86" s="208" t="s">
        <v>373</v>
      </c>
      <c r="B86" s="194"/>
      <c r="C86" s="194"/>
      <c r="D86" s="194"/>
      <c r="E86" s="194"/>
      <c r="F86" s="194"/>
      <c r="G86" s="209"/>
    </row>
    <row r="87" spans="1:7" ht="18" customHeight="1">
      <c r="A87" s="208" t="s">
        <v>374</v>
      </c>
      <c r="B87" s="194"/>
      <c r="C87" s="194"/>
      <c r="D87" s="194"/>
      <c r="E87" s="194"/>
      <c r="F87" s="194"/>
      <c r="G87" s="209"/>
    </row>
    <row r="88" spans="1:7" ht="18" customHeight="1">
      <c r="A88" s="208" t="s">
        <v>375</v>
      </c>
      <c r="B88" s="194"/>
      <c r="C88" s="194"/>
      <c r="D88" s="194"/>
      <c r="E88" s="194"/>
      <c r="F88" s="194"/>
      <c r="G88" s="209"/>
    </row>
    <row r="89" spans="1:7" ht="18" customHeight="1">
      <c r="A89" s="208" t="s">
        <v>376</v>
      </c>
      <c r="B89" s="194"/>
      <c r="C89" s="194"/>
      <c r="D89" s="194"/>
      <c r="E89" s="194"/>
      <c r="F89" s="194"/>
      <c r="G89" s="209"/>
    </row>
    <row r="90" spans="1:7" ht="18" customHeight="1">
      <c r="A90" s="206" t="s">
        <v>377</v>
      </c>
      <c r="B90" s="194"/>
      <c r="C90" s="194"/>
      <c r="D90" s="194"/>
      <c r="E90" s="194"/>
      <c r="F90" s="194"/>
      <c r="G90" s="209"/>
    </row>
    <row r="91" spans="1:7" ht="18" customHeight="1">
      <c r="A91" s="208" t="s">
        <v>378</v>
      </c>
      <c r="B91" s="194"/>
      <c r="C91" s="194"/>
      <c r="D91" s="194"/>
      <c r="E91" s="194"/>
      <c r="F91" s="194"/>
      <c r="G91" s="209"/>
    </row>
    <row r="92" spans="1:7" ht="18" customHeight="1">
      <c r="A92" s="208" t="s">
        <v>379</v>
      </c>
      <c r="B92" s="194"/>
      <c r="C92" s="194"/>
      <c r="D92" s="194"/>
      <c r="E92" s="194"/>
      <c r="F92" s="194"/>
      <c r="G92" s="209"/>
    </row>
    <row r="93" spans="1:7" ht="18" customHeight="1">
      <c r="A93" s="208" t="s">
        <v>380</v>
      </c>
      <c r="B93" s="194"/>
      <c r="C93" s="194"/>
      <c r="D93" s="194"/>
      <c r="E93" s="194"/>
      <c r="F93" s="194"/>
      <c r="G93" s="209"/>
    </row>
    <row r="94" spans="1:7" ht="18" customHeight="1">
      <c r="A94" s="206" t="s">
        <v>381</v>
      </c>
      <c r="B94" s="194"/>
      <c r="C94" s="194"/>
      <c r="D94" s="194"/>
      <c r="E94" s="194"/>
      <c r="F94" s="194"/>
      <c r="G94" s="209"/>
    </row>
    <row r="95" spans="1:7" ht="18" customHeight="1">
      <c r="A95" s="208" t="s">
        <v>382</v>
      </c>
      <c r="B95" s="194"/>
      <c r="C95" s="194"/>
      <c r="D95" s="194"/>
      <c r="E95" s="194"/>
      <c r="F95" s="194"/>
      <c r="G95" s="209"/>
    </row>
    <row r="96" spans="1:7" ht="18" customHeight="1">
      <c r="A96" s="208" t="s">
        <v>429</v>
      </c>
      <c r="B96" s="194"/>
      <c r="C96" s="194"/>
      <c r="D96" s="194"/>
      <c r="E96" s="194"/>
      <c r="F96" s="194"/>
      <c r="G96" s="209"/>
    </row>
    <row r="97" spans="1:7" ht="18" customHeight="1">
      <c r="A97" s="208" t="s">
        <v>383</v>
      </c>
      <c r="B97" s="194"/>
      <c r="C97" s="194"/>
      <c r="D97" s="194"/>
      <c r="E97" s="194"/>
      <c r="F97" s="194"/>
      <c r="G97" s="209"/>
    </row>
    <row r="98" spans="1:7" ht="18" customHeight="1">
      <c r="A98" s="208" t="s">
        <v>384</v>
      </c>
      <c r="B98" s="194"/>
      <c r="C98" s="194"/>
      <c r="D98" s="194"/>
      <c r="E98" s="194"/>
      <c r="F98" s="194"/>
      <c r="G98" s="209"/>
    </row>
    <row r="99" spans="1:7" ht="18" customHeight="1">
      <c r="A99" s="208" t="s">
        <v>385</v>
      </c>
      <c r="B99" s="194"/>
      <c r="C99" s="194"/>
      <c r="D99" s="194"/>
      <c r="E99" s="194"/>
      <c r="F99" s="194"/>
      <c r="G99" s="209"/>
    </row>
    <row r="100" spans="1:7" ht="18" customHeight="1">
      <c r="A100" s="206" t="s">
        <v>386</v>
      </c>
      <c r="B100" s="194"/>
      <c r="C100" s="194"/>
      <c r="D100" s="194"/>
      <c r="E100" s="194"/>
      <c r="F100" s="194"/>
      <c r="G100" s="209"/>
    </row>
    <row r="101" spans="1:7" ht="18" customHeight="1">
      <c r="A101" s="208" t="s">
        <v>387</v>
      </c>
      <c r="B101" s="194"/>
      <c r="C101" s="194"/>
      <c r="D101" s="194"/>
      <c r="E101" s="194"/>
      <c r="F101" s="194"/>
      <c r="G101" s="209"/>
    </row>
    <row r="102" spans="1:7" ht="18" customHeight="1">
      <c r="A102" s="208" t="s">
        <v>388</v>
      </c>
      <c r="B102" s="194"/>
      <c r="C102" s="194"/>
      <c r="D102" s="194"/>
      <c r="E102" s="194"/>
      <c r="F102" s="194"/>
      <c r="G102" s="209"/>
    </row>
    <row r="103" spans="1:7" ht="18" customHeight="1">
      <c r="A103" s="208" t="s">
        <v>389</v>
      </c>
      <c r="B103" s="194"/>
      <c r="C103" s="194"/>
      <c r="D103" s="194"/>
      <c r="E103" s="194"/>
      <c r="F103" s="194"/>
      <c r="G103" s="209"/>
    </row>
    <row r="104" spans="1:7" ht="38.25" customHeight="1" thickBot="1">
      <c r="A104" s="218" t="s">
        <v>390</v>
      </c>
      <c r="B104" s="219"/>
      <c r="C104" s="219"/>
      <c r="D104" s="219"/>
      <c r="E104" s="219"/>
      <c r="F104" s="219"/>
      <c r="G104" s="220"/>
    </row>
    <row r="106" spans="1:7" ht="15.75" thickBot="1"/>
    <row r="107" spans="1:7" ht="18.75">
      <c r="A107" s="445" t="s">
        <v>391</v>
      </c>
      <c r="B107" s="446"/>
      <c r="C107" s="446"/>
      <c r="D107" s="446"/>
      <c r="E107" s="446"/>
      <c r="F107" s="446"/>
      <c r="G107" s="447"/>
    </row>
    <row r="108" spans="1:7">
      <c r="A108" s="163" t="s">
        <v>435</v>
      </c>
      <c r="G108" s="164"/>
    </row>
    <row r="109" spans="1:7">
      <c r="A109" s="153" t="s">
        <v>315</v>
      </c>
      <c r="B109" s="441" t="str">
        <f>'Data INPUT'!B3</f>
        <v xml:space="preserve"> </v>
      </c>
      <c r="C109" s="441"/>
      <c r="D109" s="441"/>
      <c r="E109" s="441"/>
      <c r="F109" s="441"/>
      <c r="G109" s="442"/>
    </row>
    <row r="110" spans="1:7">
      <c r="A110" s="153" t="s">
        <v>350</v>
      </c>
      <c r="B110" s="441" t="str">
        <f>'Data INPUT'!B2</f>
        <v xml:space="preserve"> </v>
      </c>
      <c r="C110" s="441"/>
      <c r="D110" s="441"/>
      <c r="E110" s="441"/>
      <c r="F110" s="441"/>
      <c r="G110" s="442"/>
    </row>
    <row r="111" spans="1:7">
      <c r="A111" s="153" t="s">
        <v>340</v>
      </c>
      <c r="B111" s="441"/>
      <c r="C111" s="441"/>
      <c r="D111" s="441"/>
      <c r="E111" s="441"/>
      <c r="F111" s="441"/>
      <c r="G111" s="442"/>
    </row>
    <row r="112" spans="1:7">
      <c r="A112" s="163"/>
      <c r="G112" s="164"/>
    </row>
    <row r="113" spans="1:7">
      <c r="A113" s="155" t="s">
        <v>362</v>
      </c>
      <c r="B113" s="149" t="s">
        <v>363</v>
      </c>
      <c r="C113" s="149" t="s">
        <v>392</v>
      </c>
      <c r="D113" s="452" t="s">
        <v>353</v>
      </c>
      <c r="E113" s="452"/>
      <c r="F113" s="149" t="s">
        <v>318</v>
      </c>
      <c r="G113" s="156" t="s">
        <v>354</v>
      </c>
    </row>
    <row r="114" spans="1:7">
      <c r="A114" s="161"/>
      <c r="B114" s="150"/>
      <c r="C114" s="150"/>
      <c r="D114" s="150" t="s">
        <v>320</v>
      </c>
      <c r="E114" s="150" t="s">
        <v>321</v>
      </c>
      <c r="F114" s="150"/>
      <c r="G114" s="162"/>
    </row>
    <row r="115" spans="1:7" ht="30" customHeight="1">
      <c r="A115" s="208" t="s">
        <v>393</v>
      </c>
      <c r="B115" s="194"/>
      <c r="C115" s="194"/>
      <c r="D115" s="194"/>
      <c r="E115" s="194"/>
      <c r="F115" s="194"/>
      <c r="G115" s="209"/>
    </row>
    <row r="116" spans="1:7" ht="18" customHeight="1">
      <c r="A116" s="203"/>
      <c r="B116" s="204"/>
      <c r="C116" s="204"/>
      <c r="D116" s="204"/>
      <c r="E116" s="204"/>
      <c r="F116" s="204"/>
      <c r="G116" s="205"/>
    </row>
    <row r="117" spans="1:7" ht="32.25" customHeight="1">
      <c r="A117" s="208" t="s">
        <v>394</v>
      </c>
      <c r="B117" s="194"/>
      <c r="C117" s="194"/>
      <c r="D117" s="194"/>
      <c r="E117" s="194"/>
      <c r="F117" s="194"/>
      <c r="G117" s="209"/>
    </row>
    <row r="118" spans="1:7" ht="18" customHeight="1">
      <c r="A118" s="203"/>
      <c r="B118" s="204"/>
      <c r="C118" s="204"/>
      <c r="D118" s="204"/>
      <c r="E118" s="204"/>
      <c r="F118" s="204"/>
      <c r="G118" s="205"/>
    </row>
    <row r="119" spans="1:7" ht="36" customHeight="1">
      <c r="A119" s="208" t="s">
        <v>395</v>
      </c>
      <c r="B119" s="194"/>
      <c r="C119" s="194"/>
      <c r="D119" s="194"/>
      <c r="E119" s="194"/>
      <c r="F119" s="194"/>
      <c r="G119" s="209"/>
    </row>
    <row r="120" spans="1:7" ht="18" customHeight="1">
      <c r="A120" s="203"/>
      <c r="B120" s="204"/>
      <c r="C120" s="204"/>
      <c r="D120" s="204"/>
      <c r="E120" s="204"/>
      <c r="F120" s="204"/>
      <c r="G120" s="205"/>
    </row>
    <row r="121" spans="1:7" ht="18" customHeight="1">
      <c r="A121" s="208" t="s">
        <v>396</v>
      </c>
      <c r="B121" s="194"/>
      <c r="C121" s="194"/>
      <c r="D121" s="194"/>
      <c r="E121" s="194"/>
      <c r="F121" s="194"/>
      <c r="G121" s="209"/>
    </row>
    <row r="122" spans="1:7" ht="51" customHeight="1">
      <c r="A122" s="208" t="s">
        <v>397</v>
      </c>
      <c r="B122" s="194"/>
      <c r="C122" s="194"/>
      <c r="D122" s="194"/>
      <c r="E122" s="194"/>
      <c r="F122" s="194"/>
      <c r="G122" s="209"/>
    </row>
    <row r="123" spans="1:7" ht="11.25" customHeight="1">
      <c r="A123" s="203"/>
      <c r="B123" s="204"/>
      <c r="C123" s="204"/>
      <c r="D123" s="204"/>
      <c r="E123" s="204"/>
      <c r="F123" s="204"/>
      <c r="G123" s="205"/>
    </row>
    <row r="124" spans="1:7" ht="44.25" customHeight="1">
      <c r="A124" s="208" t="s">
        <v>398</v>
      </c>
      <c r="B124" s="194"/>
      <c r="C124" s="194"/>
      <c r="D124" s="194"/>
      <c r="E124" s="194"/>
      <c r="F124" s="194"/>
      <c r="G124" s="209"/>
    </row>
    <row r="125" spans="1:7" ht="44.25" customHeight="1">
      <c r="A125" s="206" t="s">
        <v>399</v>
      </c>
      <c r="B125" s="194"/>
      <c r="C125" s="194"/>
      <c r="D125" s="194"/>
      <c r="E125" s="194"/>
      <c r="F125" s="194"/>
      <c r="G125" s="209"/>
    </row>
    <row r="126" spans="1:7" ht="18" customHeight="1">
      <c r="A126" s="160" t="s">
        <v>400</v>
      </c>
      <c r="B126" s="214"/>
      <c r="C126" s="214"/>
      <c r="D126" s="214"/>
      <c r="E126" s="214"/>
      <c r="F126" s="214"/>
      <c r="G126" s="154"/>
    </row>
    <row r="127" spans="1:7" ht="18" customHeight="1">
      <c r="A127" s="190"/>
      <c r="B127" s="223"/>
      <c r="C127" s="223"/>
      <c r="D127" s="223"/>
      <c r="E127" s="223"/>
      <c r="F127" s="223"/>
      <c r="G127" s="191"/>
    </row>
    <row r="128" spans="1:7" ht="18" customHeight="1">
      <c r="A128" s="190"/>
      <c r="B128" s="223"/>
      <c r="C128" s="223"/>
      <c r="D128" s="223"/>
      <c r="E128" s="223"/>
      <c r="F128" s="223"/>
      <c r="G128" s="191"/>
    </row>
    <row r="129" spans="1:7" ht="18" customHeight="1">
      <c r="A129" s="190"/>
      <c r="B129" s="223"/>
      <c r="C129" s="223"/>
      <c r="D129" s="223"/>
      <c r="E129" s="223"/>
      <c r="F129" s="223"/>
      <c r="G129" s="191"/>
    </row>
    <row r="130" spans="1:7" ht="18" customHeight="1">
      <c r="A130" s="190"/>
      <c r="B130" s="223"/>
      <c r="C130" s="223"/>
      <c r="D130" s="223"/>
      <c r="E130" s="223"/>
      <c r="F130" s="223"/>
      <c r="G130" s="191"/>
    </row>
    <row r="131" spans="1:7" ht="18" customHeight="1" thickBot="1">
      <c r="A131" s="175" t="s">
        <v>33</v>
      </c>
      <c r="B131" s="192"/>
      <c r="C131" s="192"/>
      <c r="D131" s="192"/>
      <c r="E131" s="192"/>
      <c r="F131" s="192"/>
      <c r="G131" s="193"/>
    </row>
    <row r="133" spans="1:7" ht="15.75" thickBot="1"/>
    <row r="134" spans="1:7" ht="18.75">
      <c r="A134" s="445" t="s">
        <v>401</v>
      </c>
      <c r="B134" s="446"/>
      <c r="C134" s="446"/>
      <c r="D134" s="446"/>
      <c r="E134" s="446"/>
      <c r="F134" s="446"/>
      <c r="G134" s="447"/>
    </row>
    <row r="135" spans="1:7">
      <c r="A135" s="163" t="s">
        <v>435</v>
      </c>
      <c r="G135" s="164"/>
    </row>
    <row r="136" spans="1:7">
      <c r="A136" s="153" t="s">
        <v>315</v>
      </c>
      <c r="B136" s="441" t="str">
        <f>'Data INPUT'!B3</f>
        <v xml:space="preserve"> </v>
      </c>
      <c r="C136" s="441"/>
      <c r="D136" s="441"/>
      <c r="E136" s="441"/>
      <c r="F136" s="441"/>
      <c r="G136" s="442"/>
    </row>
    <row r="137" spans="1:7">
      <c r="A137" s="153" t="s">
        <v>350</v>
      </c>
      <c r="B137" s="441" t="str">
        <f>'Data INPUT'!B2</f>
        <v xml:space="preserve"> </v>
      </c>
      <c r="C137" s="441"/>
      <c r="D137" s="441"/>
      <c r="E137" s="441"/>
      <c r="F137" s="441"/>
      <c r="G137" s="442"/>
    </row>
    <row r="138" spans="1:7">
      <c r="A138" s="153" t="s">
        <v>340</v>
      </c>
      <c r="B138" s="441"/>
      <c r="C138" s="441"/>
      <c r="D138" s="441"/>
      <c r="E138" s="441"/>
      <c r="F138" s="441"/>
      <c r="G138" s="442"/>
    </row>
    <row r="139" spans="1:7">
      <c r="A139" s="163" t="s">
        <v>33</v>
      </c>
      <c r="F139" t="s">
        <v>33</v>
      </c>
      <c r="G139" s="164"/>
    </row>
    <row r="140" spans="1:7">
      <c r="A140" s="155" t="s">
        <v>362</v>
      </c>
      <c r="B140" s="149" t="s">
        <v>402</v>
      </c>
      <c r="C140" s="452" t="s">
        <v>353</v>
      </c>
      <c r="D140" s="452"/>
      <c r="E140" s="149" t="s">
        <v>318</v>
      </c>
      <c r="F140" s="452" t="s">
        <v>354</v>
      </c>
      <c r="G140" s="453"/>
    </row>
    <row r="141" spans="1:7">
      <c r="A141" s="161"/>
      <c r="B141" s="150"/>
      <c r="C141" s="150" t="s">
        <v>320</v>
      </c>
      <c r="D141" s="150" t="s">
        <v>321</v>
      </c>
      <c r="E141" s="150"/>
      <c r="F141" s="443"/>
      <c r="G141" s="444"/>
    </row>
    <row r="142" spans="1:7">
      <c r="A142" s="163"/>
      <c r="G142" s="164"/>
    </row>
    <row r="143" spans="1:7" ht="18" customHeight="1">
      <c r="A143" s="208" t="s">
        <v>403</v>
      </c>
      <c r="B143" s="194"/>
      <c r="C143" s="194"/>
      <c r="D143" s="194"/>
      <c r="E143" s="194"/>
      <c r="F143" s="194"/>
      <c r="G143" s="209"/>
    </row>
    <row r="144" spans="1:7" ht="18" customHeight="1">
      <c r="A144" s="208" t="s">
        <v>83</v>
      </c>
      <c r="B144" s="194"/>
      <c r="C144" s="194"/>
      <c r="D144" s="194"/>
      <c r="E144" s="194"/>
      <c r="F144" s="194"/>
      <c r="G144" s="209"/>
    </row>
    <row r="145" spans="1:7" ht="46.5" customHeight="1">
      <c r="A145" s="208" t="s">
        <v>404</v>
      </c>
      <c r="B145" s="194"/>
      <c r="C145" s="194"/>
      <c r="D145" s="194"/>
      <c r="E145" s="194"/>
      <c r="F145" s="194"/>
      <c r="G145" s="209"/>
    </row>
    <row r="146" spans="1:7" ht="48.75" customHeight="1">
      <c r="A146" s="208" t="s">
        <v>405</v>
      </c>
      <c r="B146" s="194"/>
      <c r="C146" s="194"/>
      <c r="D146" s="194"/>
      <c r="E146" s="194"/>
      <c r="F146" s="194"/>
      <c r="G146" s="209"/>
    </row>
    <row r="147" spans="1:7" ht="49.5" customHeight="1">
      <c r="A147" s="208" t="s">
        <v>406</v>
      </c>
      <c r="B147" s="194"/>
      <c r="C147" s="194"/>
      <c r="D147" s="194"/>
      <c r="E147" s="194"/>
      <c r="F147" s="194"/>
      <c r="G147" s="209"/>
    </row>
    <row r="148" spans="1:7" ht="18" customHeight="1">
      <c r="A148" s="208" t="s">
        <v>407</v>
      </c>
      <c r="B148" s="194"/>
      <c r="C148" s="194"/>
      <c r="D148" s="194"/>
      <c r="E148" s="194"/>
      <c r="F148" s="194"/>
      <c r="G148" s="209"/>
    </row>
    <row r="149" spans="1:7" ht="18" customHeight="1">
      <c r="A149" s="208" t="s">
        <v>408</v>
      </c>
      <c r="B149" s="194"/>
      <c r="C149" s="194"/>
      <c r="D149" s="194"/>
      <c r="E149" s="194"/>
      <c r="F149" s="194"/>
      <c r="G149" s="209"/>
    </row>
    <row r="150" spans="1:7" ht="18.75" customHeight="1">
      <c r="A150" s="208" t="s">
        <v>409</v>
      </c>
      <c r="B150" s="194"/>
      <c r="C150" s="194"/>
      <c r="D150" s="194"/>
      <c r="E150" s="194"/>
      <c r="F150" s="194"/>
      <c r="G150" s="209"/>
    </row>
    <row r="151" spans="1:7" ht="18" customHeight="1">
      <c r="A151" s="203"/>
      <c r="B151" s="204"/>
      <c r="C151" s="204"/>
      <c r="D151" s="204"/>
      <c r="E151" s="204"/>
      <c r="F151" s="204"/>
      <c r="G151" s="205"/>
    </row>
    <row r="152" spans="1:7" ht="48.75" customHeight="1">
      <c r="A152" s="208" t="s">
        <v>410</v>
      </c>
      <c r="B152" s="194"/>
      <c r="C152" s="194"/>
      <c r="D152" s="194"/>
      <c r="E152" s="194"/>
      <c r="F152" s="194"/>
      <c r="G152" s="209"/>
    </row>
    <row r="153" spans="1:7" ht="18" customHeight="1">
      <c r="A153" s="203"/>
      <c r="B153" s="204"/>
      <c r="C153" s="204"/>
      <c r="D153" s="204"/>
      <c r="E153" s="204"/>
      <c r="F153" s="204"/>
      <c r="G153" s="205"/>
    </row>
    <row r="154" spans="1:7" ht="33" customHeight="1">
      <c r="A154" s="208" t="s">
        <v>411</v>
      </c>
      <c r="B154" s="194"/>
      <c r="C154" s="194"/>
      <c r="D154" s="194"/>
      <c r="E154" s="194"/>
      <c r="F154" s="194"/>
      <c r="G154" s="209"/>
    </row>
    <row r="155" spans="1:7" ht="18" customHeight="1">
      <c r="A155" s="203"/>
      <c r="B155" s="204"/>
      <c r="C155" s="204"/>
      <c r="D155" s="204"/>
      <c r="E155" s="204"/>
      <c r="F155" s="204"/>
      <c r="G155" s="205"/>
    </row>
    <row r="156" spans="1:7" ht="18" customHeight="1">
      <c r="A156" s="206" t="s">
        <v>412</v>
      </c>
      <c r="B156" s="194"/>
      <c r="C156" s="194"/>
      <c r="D156" s="194"/>
      <c r="E156" s="194"/>
      <c r="F156" s="194"/>
      <c r="G156" s="209"/>
    </row>
    <row r="157" spans="1:7" ht="18" customHeight="1">
      <c r="A157" s="208" t="s">
        <v>413</v>
      </c>
      <c r="B157" s="194"/>
      <c r="C157" s="194"/>
      <c r="D157" s="194"/>
      <c r="E157" s="194"/>
      <c r="F157" s="194"/>
      <c r="G157" s="209"/>
    </row>
    <row r="158" spans="1:7" ht="18" customHeight="1">
      <c r="A158" s="208" t="s">
        <v>414</v>
      </c>
      <c r="B158" s="194"/>
      <c r="C158" s="194"/>
      <c r="D158" s="194"/>
      <c r="E158" s="194"/>
      <c r="F158" s="194"/>
      <c r="G158" s="209"/>
    </row>
    <row r="159" spans="1:7" ht="35.25" customHeight="1">
      <c r="A159" s="208" t="s">
        <v>415</v>
      </c>
      <c r="B159" s="194"/>
      <c r="C159" s="194"/>
      <c r="D159" s="194"/>
      <c r="E159" s="194"/>
      <c r="F159" s="194"/>
      <c r="G159" s="209"/>
    </row>
    <row r="160" spans="1:7" ht="33.75" customHeight="1">
      <c r="A160" s="208" t="s">
        <v>416</v>
      </c>
      <c r="B160" s="194"/>
      <c r="C160" s="194"/>
      <c r="D160" s="194"/>
      <c r="E160" s="194"/>
      <c r="F160" s="194"/>
      <c r="G160" s="209"/>
    </row>
    <row r="161" spans="1:7" ht="33.75" customHeight="1">
      <c r="A161" s="206" t="s">
        <v>417</v>
      </c>
      <c r="B161" s="194"/>
      <c r="C161" s="194"/>
      <c r="D161" s="194"/>
      <c r="E161" s="194"/>
      <c r="F161" s="194"/>
      <c r="G161" s="209"/>
    </row>
    <row r="162" spans="1:7" ht="18" customHeight="1">
      <c r="A162" s="208" t="s">
        <v>382</v>
      </c>
      <c r="B162" s="194"/>
      <c r="C162" s="194"/>
      <c r="D162" s="194"/>
      <c r="E162" s="194"/>
      <c r="F162" s="194"/>
      <c r="G162" s="209"/>
    </row>
    <row r="163" spans="1:7" ht="18" customHeight="1">
      <c r="A163" s="208" t="s">
        <v>107</v>
      </c>
      <c r="B163" s="194"/>
      <c r="C163" s="194"/>
      <c r="D163" s="194"/>
      <c r="E163" s="194"/>
      <c r="F163" s="194"/>
      <c r="G163" s="209"/>
    </row>
    <row r="164" spans="1:7" ht="18" customHeight="1">
      <c r="A164" s="208" t="s">
        <v>383</v>
      </c>
      <c r="B164" s="194"/>
      <c r="C164" s="194"/>
      <c r="D164" s="194"/>
      <c r="E164" s="194"/>
      <c r="F164" s="194"/>
      <c r="G164" s="209"/>
    </row>
    <row r="165" spans="1:7" ht="18" customHeight="1">
      <c r="A165" s="208" t="s">
        <v>384</v>
      </c>
      <c r="B165" s="194"/>
      <c r="C165" s="194"/>
      <c r="D165" s="194"/>
      <c r="E165" s="194"/>
      <c r="F165" s="194"/>
      <c r="G165" s="209"/>
    </row>
    <row r="166" spans="1:7" ht="18" customHeight="1">
      <c r="A166" s="208" t="s">
        <v>385</v>
      </c>
      <c r="B166" s="194"/>
      <c r="C166" s="194"/>
      <c r="D166" s="194"/>
      <c r="E166" s="194"/>
      <c r="F166" s="194"/>
      <c r="G166" s="209"/>
    </row>
    <row r="167" spans="1:7" ht="18" customHeight="1">
      <c r="A167" s="203"/>
      <c r="B167" s="204"/>
      <c r="C167" s="204"/>
      <c r="D167" s="204"/>
      <c r="E167" s="204"/>
      <c r="F167" s="204"/>
      <c r="G167" s="205"/>
    </row>
    <row r="168" spans="1:7" ht="32.25" customHeight="1" thickBot="1">
      <c r="A168" s="215" t="s">
        <v>418</v>
      </c>
      <c r="B168" s="216"/>
      <c r="C168" s="216"/>
      <c r="D168" s="216"/>
      <c r="E168" s="216"/>
      <c r="F168" s="216"/>
      <c r="G168" s="217"/>
    </row>
    <row r="170" spans="1:7" ht="15.75" thickBot="1"/>
    <row r="171" spans="1:7" ht="18.75">
      <c r="A171" s="445" t="s">
        <v>419</v>
      </c>
      <c r="B171" s="446"/>
      <c r="C171" s="446"/>
      <c r="D171" s="446"/>
      <c r="E171" s="446"/>
      <c r="F171" s="446"/>
      <c r="G171" s="447"/>
    </row>
    <row r="172" spans="1:7">
      <c r="A172" s="163" t="s">
        <v>435</v>
      </c>
      <c r="G172" s="164"/>
    </row>
    <row r="173" spans="1:7">
      <c r="A173" s="153" t="s">
        <v>315</v>
      </c>
      <c r="B173" s="441" t="str">
        <f>'Data INPUT'!B3</f>
        <v xml:space="preserve"> </v>
      </c>
      <c r="C173" s="441"/>
      <c r="D173" s="441"/>
      <c r="E173" s="441"/>
      <c r="F173" s="441"/>
      <c r="G173" s="442"/>
    </row>
    <row r="174" spans="1:7">
      <c r="A174" s="153" t="s">
        <v>350</v>
      </c>
      <c r="B174" s="441" t="str">
        <f>'Data INPUT'!B2</f>
        <v xml:space="preserve"> </v>
      </c>
      <c r="C174" s="441"/>
      <c r="D174" s="441"/>
      <c r="E174" s="441"/>
      <c r="F174" s="441"/>
      <c r="G174" s="442"/>
    </row>
    <row r="175" spans="1:7">
      <c r="A175" s="153" t="s">
        <v>420</v>
      </c>
      <c r="B175" s="441"/>
      <c r="C175" s="441"/>
      <c r="D175" s="441"/>
      <c r="E175" s="441"/>
      <c r="F175" s="441"/>
      <c r="G175" s="442"/>
    </row>
    <row r="176" spans="1:7">
      <c r="A176" s="163"/>
      <c r="G176" s="164"/>
    </row>
    <row r="177" spans="1:7">
      <c r="A177" s="168" t="s">
        <v>362</v>
      </c>
      <c r="B177" s="152" t="s">
        <v>402</v>
      </c>
      <c r="C177" s="152" t="s">
        <v>311</v>
      </c>
      <c r="D177" s="448" t="s">
        <v>421</v>
      </c>
      <c r="E177" s="448"/>
      <c r="F177" s="448"/>
      <c r="G177" s="449"/>
    </row>
    <row r="178" spans="1:7">
      <c r="A178" s="163"/>
      <c r="G178" s="164"/>
    </row>
    <row r="179" spans="1:7" ht="18" customHeight="1">
      <c r="A179" s="208" t="s">
        <v>422</v>
      </c>
      <c r="B179" s="194"/>
      <c r="C179" s="194"/>
      <c r="D179" s="194"/>
      <c r="E179" s="194"/>
      <c r="F179" s="194"/>
      <c r="G179" s="209"/>
    </row>
    <row r="180" spans="1:7" ht="18" customHeight="1">
      <c r="A180" s="208" t="s">
        <v>83</v>
      </c>
      <c r="B180" s="194"/>
      <c r="C180" s="194"/>
      <c r="D180" s="194"/>
      <c r="E180" s="194"/>
      <c r="F180" s="194"/>
      <c r="G180" s="209"/>
    </row>
    <row r="181" spans="1:7" ht="46.5" customHeight="1">
      <c r="A181" s="208" t="s">
        <v>405</v>
      </c>
      <c r="B181" s="194"/>
      <c r="C181" s="194"/>
      <c r="D181" s="194"/>
      <c r="E181" s="194"/>
      <c r="F181" s="194"/>
      <c r="G181" s="209"/>
    </row>
    <row r="182" spans="1:7" ht="46.5" customHeight="1">
      <c r="A182" s="208" t="s">
        <v>406</v>
      </c>
      <c r="B182" s="194"/>
      <c r="C182" s="194"/>
      <c r="D182" s="194"/>
      <c r="E182" s="194"/>
      <c r="F182" s="194"/>
      <c r="G182" s="209"/>
    </row>
    <row r="183" spans="1:7" ht="17.25" customHeight="1">
      <c r="A183" s="208" t="s">
        <v>407</v>
      </c>
      <c r="B183" s="194"/>
      <c r="C183" s="194"/>
      <c r="D183" s="194"/>
      <c r="E183" s="194"/>
      <c r="F183" s="194"/>
      <c r="G183" s="209"/>
    </row>
    <row r="184" spans="1:7" ht="18" customHeight="1">
      <c r="A184" s="208" t="s">
        <v>408</v>
      </c>
      <c r="B184" s="194"/>
      <c r="C184" s="194"/>
      <c r="D184" s="194"/>
      <c r="E184" s="194"/>
      <c r="F184" s="194"/>
      <c r="G184" s="209"/>
    </row>
    <row r="185" spans="1:7" ht="18" customHeight="1">
      <c r="A185" s="208" t="s">
        <v>409</v>
      </c>
      <c r="B185" s="194"/>
      <c r="C185" s="194"/>
      <c r="D185" s="194"/>
      <c r="E185" s="194"/>
      <c r="F185" s="194"/>
      <c r="G185" s="209"/>
    </row>
    <row r="186" spans="1:7" ht="32.25" customHeight="1">
      <c r="A186" s="208" t="s">
        <v>423</v>
      </c>
      <c r="B186" s="194"/>
      <c r="C186" s="194"/>
      <c r="D186" s="194"/>
      <c r="E186" s="194"/>
      <c r="F186" s="194"/>
      <c r="G186" s="209"/>
    </row>
    <row r="187" spans="1:7" ht="18" customHeight="1">
      <c r="A187" s="203"/>
      <c r="B187" s="204"/>
      <c r="C187" s="204"/>
      <c r="D187" s="204"/>
      <c r="E187" s="204"/>
      <c r="F187" s="204"/>
      <c r="G187" s="205"/>
    </row>
    <row r="188" spans="1:7" ht="18" customHeight="1">
      <c r="A188" s="208" t="s">
        <v>424</v>
      </c>
      <c r="B188" s="194"/>
      <c r="C188" s="194"/>
      <c r="D188" s="194"/>
      <c r="E188" s="194"/>
      <c r="F188" s="194"/>
      <c r="G188" s="209"/>
    </row>
    <row r="189" spans="1:7" ht="18" customHeight="1">
      <c r="A189" s="208" t="s">
        <v>414</v>
      </c>
      <c r="B189" s="194"/>
      <c r="C189" s="194"/>
      <c r="D189" s="194"/>
      <c r="E189" s="194"/>
      <c r="F189" s="194"/>
      <c r="G189" s="209"/>
    </row>
    <row r="190" spans="1:7" ht="30" customHeight="1">
      <c r="A190" s="208" t="s">
        <v>425</v>
      </c>
      <c r="B190" s="194"/>
      <c r="C190" s="194"/>
      <c r="D190" s="194"/>
      <c r="E190" s="194"/>
      <c r="F190" s="194"/>
      <c r="G190" s="209"/>
    </row>
    <row r="191" spans="1:7" ht="32.25" customHeight="1">
      <c r="A191" s="208" t="s">
        <v>416</v>
      </c>
      <c r="B191" s="194"/>
      <c r="C191" s="194"/>
      <c r="D191" s="194"/>
      <c r="E191" s="194"/>
      <c r="F191" s="194"/>
      <c r="G191" s="209"/>
    </row>
    <row r="192" spans="1:7" ht="31.5" customHeight="1">
      <c r="A192" s="206" t="s">
        <v>417</v>
      </c>
      <c r="B192" s="194"/>
      <c r="C192" s="194"/>
      <c r="D192" s="194"/>
      <c r="E192" s="194"/>
      <c r="F192" s="194"/>
      <c r="G192" s="209"/>
    </row>
    <row r="193" spans="1:7" ht="18" customHeight="1">
      <c r="A193" s="208" t="s">
        <v>382</v>
      </c>
      <c r="B193" s="194"/>
      <c r="C193" s="194"/>
      <c r="D193" s="194"/>
      <c r="E193" s="194"/>
      <c r="F193" s="194"/>
      <c r="G193" s="209"/>
    </row>
    <row r="194" spans="1:7" ht="18" customHeight="1">
      <c r="A194" s="208" t="s">
        <v>107</v>
      </c>
      <c r="B194" s="194"/>
      <c r="C194" s="194"/>
      <c r="D194" s="194"/>
      <c r="E194" s="194"/>
      <c r="F194" s="194"/>
      <c r="G194" s="209"/>
    </row>
    <row r="195" spans="1:7" ht="18" customHeight="1">
      <c r="A195" s="208" t="s">
        <v>383</v>
      </c>
      <c r="B195" s="194"/>
      <c r="C195" s="194"/>
      <c r="D195" s="194"/>
      <c r="E195" s="194"/>
      <c r="F195" s="194"/>
      <c r="G195" s="209"/>
    </row>
    <row r="196" spans="1:7" ht="18" customHeight="1">
      <c r="A196" s="208" t="s">
        <v>384</v>
      </c>
      <c r="B196" s="194"/>
      <c r="C196" s="194"/>
      <c r="D196" s="194"/>
      <c r="E196" s="194"/>
      <c r="F196" s="194"/>
      <c r="G196" s="209"/>
    </row>
    <row r="197" spans="1:7" ht="18" customHeight="1">
      <c r="A197" s="208" t="s">
        <v>385</v>
      </c>
      <c r="B197" s="194"/>
      <c r="C197" s="194"/>
      <c r="D197" s="194"/>
      <c r="E197" s="194"/>
      <c r="F197" s="194"/>
      <c r="G197" s="209"/>
    </row>
    <row r="198" spans="1:7" ht="18" customHeight="1">
      <c r="A198" s="203"/>
      <c r="B198" s="204"/>
      <c r="C198" s="204"/>
      <c r="D198" s="204"/>
      <c r="E198" s="204"/>
      <c r="F198" s="204"/>
      <c r="G198" s="205"/>
    </row>
    <row r="199" spans="1:7" ht="33" customHeight="1">
      <c r="A199" s="208" t="s">
        <v>418</v>
      </c>
      <c r="B199" s="194"/>
      <c r="C199" s="194"/>
      <c r="D199" s="194"/>
      <c r="E199" s="194"/>
      <c r="F199" s="194"/>
      <c r="G199" s="209"/>
    </row>
    <row r="200" spans="1:7" ht="18" customHeight="1">
      <c r="A200" s="160" t="s">
        <v>426</v>
      </c>
      <c r="B200" s="214"/>
      <c r="C200" s="214"/>
      <c r="D200" s="214"/>
      <c r="E200" s="214"/>
      <c r="F200" s="214"/>
      <c r="G200" s="154"/>
    </row>
    <row r="201" spans="1:7" ht="18" customHeight="1">
      <c r="A201" s="173" t="s">
        <v>430</v>
      </c>
      <c r="B201" s="221"/>
      <c r="C201" s="221"/>
      <c r="D201" s="221"/>
      <c r="E201" s="221"/>
      <c r="F201" s="221"/>
      <c r="G201" s="174"/>
    </row>
    <row r="202" spans="1:7" ht="18" customHeight="1" thickBot="1">
      <c r="A202" s="175" t="s">
        <v>431</v>
      </c>
      <c r="B202" s="176"/>
      <c r="C202" s="176"/>
      <c r="D202" s="176"/>
      <c r="E202" s="176"/>
      <c r="F202" s="176" t="s">
        <v>432</v>
      </c>
      <c r="G202" s="177"/>
    </row>
    <row r="203" spans="1:7" ht="56.25" customHeight="1" thickBot="1">
      <c r="A203" s="183" t="s">
        <v>427</v>
      </c>
      <c r="B203" s="171"/>
      <c r="C203" s="171"/>
      <c r="D203" s="171"/>
      <c r="E203" s="171"/>
      <c r="F203" s="184" t="s">
        <v>432</v>
      </c>
      <c r="G203" s="172"/>
    </row>
    <row r="204" spans="1:7" ht="18" customHeight="1">
      <c r="A204" s="185" t="s">
        <v>433</v>
      </c>
      <c r="B204" s="178"/>
      <c r="C204" s="178"/>
      <c r="D204" s="178"/>
      <c r="E204" s="186" t="s">
        <v>434</v>
      </c>
      <c r="F204" s="178"/>
      <c r="G204" s="179"/>
    </row>
    <row r="205" spans="1:7" ht="18" customHeight="1">
      <c r="A205" s="180"/>
      <c r="B205" s="222"/>
      <c r="C205" s="222"/>
      <c r="D205" s="222"/>
      <c r="E205" s="187"/>
      <c r="F205" s="222"/>
      <c r="G205" s="181"/>
    </row>
    <row r="206" spans="1:7" ht="18" customHeight="1" thickBot="1">
      <c r="A206" s="180"/>
      <c r="B206" s="222"/>
      <c r="C206" s="222"/>
      <c r="D206" s="222"/>
      <c r="E206" s="188"/>
      <c r="F206" s="170"/>
      <c r="G206" s="182"/>
    </row>
    <row r="207" spans="1:7" ht="18" customHeight="1" thickBot="1">
      <c r="A207" s="169" t="s">
        <v>428</v>
      </c>
      <c r="B207" s="170"/>
      <c r="C207" s="170"/>
      <c r="D207" s="170"/>
      <c r="E207" s="170" t="s">
        <v>310</v>
      </c>
      <c r="F207" s="170"/>
      <c r="G207" s="182"/>
    </row>
  </sheetData>
  <mergeCells count="37">
    <mergeCell ref="A1:G1"/>
    <mergeCell ref="A8:G8"/>
    <mergeCell ref="A9:G9"/>
    <mergeCell ref="A41:G41"/>
    <mergeCell ref="A47:G47"/>
    <mergeCell ref="D11:E11"/>
    <mergeCell ref="E49:F49"/>
    <mergeCell ref="A68:G68"/>
    <mergeCell ref="C74:D74"/>
    <mergeCell ref="F74:G74"/>
    <mergeCell ref="F75:G75"/>
    <mergeCell ref="A134:G134"/>
    <mergeCell ref="C140:D140"/>
    <mergeCell ref="F140:G140"/>
    <mergeCell ref="B137:G137"/>
    <mergeCell ref="B138:G138"/>
    <mergeCell ref="D177:G177"/>
    <mergeCell ref="B3:G3"/>
    <mergeCell ref="B4:G4"/>
    <mergeCell ref="B5:G5"/>
    <mergeCell ref="B43:G43"/>
    <mergeCell ref="B44:G44"/>
    <mergeCell ref="B45:G45"/>
    <mergeCell ref="B70:G70"/>
    <mergeCell ref="B71:G71"/>
    <mergeCell ref="B72:G72"/>
    <mergeCell ref="B109:G109"/>
    <mergeCell ref="B110:G110"/>
    <mergeCell ref="B111:G111"/>
    <mergeCell ref="B136:G136"/>
    <mergeCell ref="A107:G107"/>
    <mergeCell ref="D113:E113"/>
    <mergeCell ref="B173:G173"/>
    <mergeCell ref="B174:G174"/>
    <mergeCell ref="B175:G175"/>
    <mergeCell ref="F141:G141"/>
    <mergeCell ref="A171:G171"/>
  </mergeCells>
  <printOptions horizontalCentered="1"/>
  <pageMargins left="0.7" right="0.7" top="0.75" bottom="0.75" header="0.3" footer="0.3"/>
  <pageSetup paperSize="9" scale="76" fitToHeight="0" orientation="portrait" r:id="rId1"/>
  <rowBreaks count="5" manualBreakCount="5">
    <brk id="40" max="16383" man="1"/>
    <brk id="67" max="16383" man="1"/>
    <brk id="106" max="16383" man="1"/>
    <brk id="133" max="16383" man="1"/>
    <brk id="1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Data INPUT</vt:lpstr>
      <vt:lpstr>Single OUTPUT</vt:lpstr>
      <vt:lpstr>Multiple OUTPUT</vt:lpstr>
      <vt:lpstr>Weight Rules</vt:lpstr>
      <vt:lpstr>Formulas Sheet Multi</vt:lpstr>
      <vt:lpstr>QCF</vt:lpstr>
      <vt:lpstr>'Multiple OUTPUT'!Print_Area</vt:lpstr>
      <vt:lpstr>QCF!Print_Area</vt:lpstr>
      <vt:lpstr>'Single OUTPUT'!Print_Area</vt:lpstr>
      <vt:lpstr>'Single OUTPUT'!Print_Titles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Pillay</dc:creator>
  <cp:lastModifiedBy>Simona Pillay</cp:lastModifiedBy>
  <cp:lastPrinted>2026-07-19T21:01:07Z</cp:lastPrinted>
  <dcterms:created xsi:type="dcterms:W3CDTF">2026-06-28T18:31:43Z</dcterms:created>
  <dcterms:modified xsi:type="dcterms:W3CDTF">2026-07-19T21:20:19Z</dcterms:modified>
</cp:coreProperties>
</file>