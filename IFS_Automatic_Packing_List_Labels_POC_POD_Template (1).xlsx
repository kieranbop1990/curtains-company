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ec2a7b574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fba225d8aea4c94"/>
    <x:sheet xmlns:r="http://schemas.openxmlformats.org/officeDocument/2006/relationships" name="Weight Rules" sheetId="2" r:id="R7bfef965120e4ee7"/>
    <x:sheet xmlns:r="http://schemas.openxmlformats.org/officeDocument/2006/relationships" name="Curtain Input" sheetId="3" r:id="R0b1e2778b94c4ff2"/>
    <x:sheet xmlns:r="http://schemas.openxmlformats.org/officeDocument/2006/relationships" name="Packing Calc" sheetId="4" r:id="Rd08856ad5844492e"/>
    <x:sheet xmlns:r="http://schemas.openxmlformats.org/officeDocument/2006/relationships" name="Pallet Plan" sheetId="5" r:id="Rca61841c00e849ce"/>
    <x:sheet xmlns:r="http://schemas.openxmlformats.org/officeDocument/2006/relationships" name="Packing List" sheetId="6" r:id="R90302c5019224f97"/>
    <x:sheet xmlns:r="http://schemas.openxmlformats.org/officeDocument/2006/relationships" name="Package Register" sheetId="7" r:id="Rd2f0125a909a4465"/>
    <x:sheet xmlns:r="http://schemas.openxmlformats.org/officeDocument/2006/relationships" name="Pallet Labels" sheetId="8" r:id="Rded20a385b8e46b2"/>
    <x:sheet xmlns:r="http://schemas.openxmlformats.org/officeDocument/2006/relationships" name="Box Labels" sheetId="9" r:id="R8be9e053f4e249fa"/>
    <x:sheet xmlns:r="http://schemas.openxmlformats.org/officeDocument/2006/relationships" name="Proof of Collection" sheetId="10" r:id="Rd786ddd0ad8e4a34"/>
    <x:sheet xmlns:r="http://schemas.openxmlformats.org/officeDocument/2006/relationships" name="Proof of Delivery" sheetId="11" r:id="R3acb0ba4feb849af"/>
    <x:sheet xmlns:r="http://schemas.openxmlformats.org/officeDocument/2006/relationships" name="How To Use" sheetId="12" r:id="R2075d30b97424f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0.00"/>
    <x:numFmt numFmtId="203" formatCode="0.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8"/>
      <x:color rgb="FFFFFFFF"/>
      <x:name val="Carlito"/>
    </x:font>
    <x:font>
      <x:b/>
      <x:sz val="13"/>
      <x:color rgb="FFFFFFFF"/>
      <x:name val="Carlito"/>
    </x:font>
    <x:font>
      <x:b/>
      <x:sz val="2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3" fontId="0" fillId="6" borderId="0" xfId="0" applyNumberFormat="1" applyFont="1" applyFill="1" applyBorder="1" applyAlignment="1">
      <x:alignment wrapText="1"/>
    </x:xf>
    <x:xf numFmtId="203" fontId="0" fillId="6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2" fillId="6" borderId="0" xfId="0" applyNumberFormat="1" applyFont="1" applyFill="1" applyBorder="1" applyAlignment="1">
      <x:alignment horizontal="right"/>
    </x:xf>
    <x:xf numFmtId="0" fontId="2" fillId="6" borderId="1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right" wrapText="1"/>
    </x:xf>
    <x:xf numFmtId="0" fontId="2" fillId="6" borderId="1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1" fontId="0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1" fontId="0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3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203" fontId="0" fillId="6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horizontal="right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horizontal="right"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eebaa44fa24e44" /><Relationship Type="http://schemas.openxmlformats.org/officeDocument/2006/relationships/theme" Target="/xl/theme/theme1.xml" Id="R1ea01038d17d4601" /><Relationship Type="http://schemas.openxmlformats.org/officeDocument/2006/relationships/sharedStrings" Target="/xl/sharedStrings.xml" Id="R464282a976c548ac" /><Relationship Type="http://schemas.openxmlformats.org/officeDocument/2006/relationships/worksheet" Target="/xl/worksheets/sheet1.xml" Id="R0fba225d8aea4c94" /><Relationship Type="http://schemas.openxmlformats.org/officeDocument/2006/relationships/worksheet" Target="/xl/worksheets/sheet2.xml" Id="R7bfef965120e4ee7" /><Relationship Type="http://schemas.openxmlformats.org/officeDocument/2006/relationships/worksheet" Target="/xl/worksheets/sheet3.xml" Id="R0b1e2778b94c4ff2" /><Relationship Type="http://schemas.openxmlformats.org/officeDocument/2006/relationships/worksheet" Target="/xl/worksheets/sheet4.xml" Id="Rd08856ad5844492e" /><Relationship Type="http://schemas.openxmlformats.org/officeDocument/2006/relationships/worksheet" Target="/xl/worksheets/sheet5.xml" Id="Rca61841c00e849ce" /><Relationship Type="http://schemas.openxmlformats.org/officeDocument/2006/relationships/worksheet" Target="/xl/worksheets/sheet6.xml" Id="R90302c5019224f97" /><Relationship Type="http://schemas.openxmlformats.org/officeDocument/2006/relationships/worksheet" Target="/xl/worksheets/sheet7.xml" Id="Rd2f0125a909a4465" /><Relationship Type="http://schemas.openxmlformats.org/officeDocument/2006/relationships/worksheet" Target="/xl/worksheets/sheet8.xml" Id="Rded20a385b8e46b2" /><Relationship Type="http://schemas.openxmlformats.org/officeDocument/2006/relationships/worksheet" Target="/xl/worksheets/sheet9.xml" Id="R8be9e053f4e249fa" /><Relationship Type="http://schemas.openxmlformats.org/officeDocument/2006/relationships/worksheet" Target="/xl/worksheets/sheet10.xml" Id="Rd786ddd0ad8e4a34" /><Relationship Type="http://schemas.openxmlformats.org/officeDocument/2006/relationships/worksheet" Target="/xl/worksheets/sheet11.xml" Id="R3acb0ba4feb849af" /><Relationship Type="http://schemas.openxmlformats.org/officeDocument/2006/relationships/worksheet" Target="/xl/worksheets/sheet12.xml" Id="R2075d30b97424fa5" /></Relationships>
</file>

<file path=xl/tables/table1.xml><?xml version="1.0" encoding="utf-8"?>
<x:table xmlns:x="http://schemas.openxmlformats.org/spreadsheetml/2006/main" id="1" name="WeightRulesTable" displayName="WeightRulesTable" ref="A3:E33" headerRowCount="1">
  <x:tableColumns count="5">
    <x:tableColumn id="1" name="Category"/>
    <x:tableColumn id="2" name="Item / Lookup Key"/>
    <x:tableColumn id="3" name="Rate"/>
    <x:tableColumn id="4" name="Unit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urtainInputTable" displayName="CurtainInputTable" ref="A2:AE42" headerRowCount="1">
  <x:tableColumns count="31">
    <x:tableColumn id="1" name="Curtain Ref"/>
    <x:tableColumn id="2" name="Product / Fabric"/>
    <x:tableColumn id="3" name="Qty"/>
    <x:tableColumn id="4" name="Overall Width mm"/>
    <x:tableColumn id="5" name="Overall Height mm"/>
    <x:tableColumn id="6" name="Headbox Type"/>
    <x:tableColumn id="7" name="Headbox Length mm"/>
    <x:tableColumn id="8" name="Guide Type"/>
    <x:tableColumn id="9" name="Guide Length mm"/>
    <x:tableColumn id="10" name="Guide split parts"/>
    <x:tableColumn id="11" name="Barrel Type"/>
    <x:tableColumn id="12" name="Barrel Qty"/>
    <x:tableColumn id="13" name="Barrel Length mm"/>
    <x:tableColumn id="14" name="Curtain Panels Qty"/>
    <x:tableColumn id="15" name="Curtain Width mm"/>
    <x:tableColumn id="16" name="Curtain Drop mm"/>
    <x:tableColumn id="17" name="Bottom Rail Type"/>
    <x:tableColumn id="18" name="Bottom Rail Length mm"/>
    <x:tableColumn id="19" name="Motor Type"/>
    <x:tableColumn id="20" name="Motor Qty"/>
    <x:tableColumn id="21" name="Control Panel Qty"/>
    <x:tableColumn id="22" name="Key Switch Qty"/>
    <x:tableColumn id="23" name="ERB Qty"/>
    <x:tableColumn id="24" name="Battery &amp; Mains Monitor Qty"/>
    <x:tableColumn id="25" name="Beam Sensor Kit Qty"/>
    <x:tableColumn id="26" name="Audio Visual Qty"/>
    <x:tableColumn id="27" name="Timer Relay Qty"/>
    <x:tableColumn id="28" name="Delay/Split Drop Qty"/>
    <x:tableColumn id="29" name="Endplate Type"/>
    <x:tableColumn id="30" name="Pallet No"/>
    <x:tableColumn id="3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ackingCalcTable" displayName="PackingCalcTable" ref="A2:O42" headerRowCount="1">
  <x:tableColumns count="15">
    <x:tableColumn id="1" name="Curtain Ref"/>
    <x:tableColumn id="2" name="Qty"/>
    <x:tableColumn id="3" name="Headbox kg"/>
    <x:tableColumn id="4" name="Guides kg"/>
    <x:tableColumn id="5" name="Barrel kg"/>
    <x:tableColumn id="6" name="Fabric kg"/>
    <x:tableColumn id="7" name="Bottom Rail kg"/>
    <x:tableColumn id="8" name="Motor kg"/>
    <x:tableColumn id="9" name="Controls kg"/>
    <x:tableColumn id="10" name="Endplates kg"/>
    <x:tableColumn id="11" name="Net kg per kit"/>
    <x:tableColumn id="12" name="Packing allowance kg"/>
    <x:tableColumn id="13" name="Gross kg per kit"/>
    <x:tableColumn id="14" name="Total net kg"/>
    <x:tableColumn id="15" name="Total gross kg"/>
  </x:tableColumns>
  <x:tableStyleInfo name="TableStyleMedium2" showRowStripes="1"/>
</x:table>
</file>

<file path=xl/tables/table4.xml><?xml version="1.0" encoding="utf-8"?>
<x:table xmlns:x="http://schemas.openxmlformats.org/spreadsheetml/2006/main" id="4" name="PalletPlanTable" displayName="PalletPlanTable" ref="A2:M14" headerRowCount="1">
  <x:tableColumns count="13">
    <x:tableColumn id="1" name="Pallet No"/>
    <x:tableColumn id="2" name="Curtains included (auto)"/>
    <x:tableColumn id="3" name="Kit Qty"/>
    <x:tableColumn id="4" name="Net Goods kg"/>
    <x:tableColumn id="5" name="Packing Allow kg"/>
    <x:tableColumn id="6" name="Pallet kg"/>
    <x:tableColumn id="7" name="Gross kg"/>
    <x:tableColumn id="8" name="Safe Booking kg"/>
    <x:tableColumn id="9" name="Length mm"/>
    <x:tableColumn id="10" name="Width mm"/>
    <x:tableColumn id="11" name="Height mm"/>
    <x:tableColumn id="12" name="Contents / Packing Note"/>
    <x:tableColumn id="1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ackageRegisterTable" displayName="PackageRegisterTable" ref="A2:K162" headerRowCount="1">
  <x:tableColumns count="11">
    <x:tableColumn id="1" name="Package ID"/>
    <x:tableColumn id="2" name="Pallet"/>
    <x:tableColumn id="3" name="Curtain Ref"/>
    <x:tableColumn id="4" name="Package Type"/>
    <x:tableColumn id="5" name="Pieces"/>
    <x:tableColumn id="6" name="Contents"/>
    <x:tableColumn id="7" name="Est Weight kg"/>
    <x:tableColumn id="8" name="Length mm"/>
    <x:tableColumn id="9" name="Width mm"/>
    <x:tableColumn id="10" name="Height mm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d9973c1f0341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3db7e3034f46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896337c7e34c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fe129914b444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edeea9c56a241c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26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85" t="str">
        <x:v>IFS PACKING LIST / LABEL / POC / POD GENERATOR</x:v>
      </x:c>
      <x:c r="B1" s="100"/>
      <x:c r="C1" s="100"/>
      <x:c r="D1" s="100"/>
      <x:c r="E1" s="100"/>
      <x:c r="F1" s="100"/>
      <x:c r="G1" s="100"/>
      <x:c r="H1" s="100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  <x:c r="AE2" s="101"/>
    </x:row>
    <x:row r="3">
      <x:c r="A3" s="102" t="str">
        <x:v>Fill in the yellow cells on this sheet and the Curtain Input sheet. The packing list, labels, proof of collection and proof of delivery will update automatically.</x:v>
      </x:c>
      <x:c r="B3" s="100"/>
      <x:c r="C3" s="100"/>
      <x:c r="D3" s="100"/>
      <x:c r="E3" s="100"/>
      <x:c r="F3" s="100"/>
      <x:c r="G3" s="100"/>
      <x:c r="H3" s="100"/>
      <x:c r="I3" s="101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  <x:c r="AA3" s="101"/>
      <x:c r="AB3" s="101"/>
      <x:c r="AC3" s="101"/>
      <x:c r="AD3" s="101"/>
      <x:c r="AE3" s="101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1"/>
      <x:c r="J4" s="101"/>
      <x:c r="K4" s="101"/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  <x:c r="AA4" s="101"/>
      <x:c r="AB4" s="101"/>
      <x:c r="AC4" s="101"/>
      <x:c r="AD4" s="101"/>
      <x:c r="AE4" s="101"/>
    </x:row>
    <x:row r="5">
      <x:c r="A5" s="103" t="str">
        <x:v>Customer / Contact Company</x:v>
      </x:c>
      <x:c r="B5" s="104" t="str"/>
      <x:c r="C5" s="100"/>
      <x:c r="D5" s="100"/>
      <x:c r="E5" s="100"/>
      <x:c r="F5" s="100"/>
      <x:c r="G5" s="100"/>
      <x:c r="H5" s="100"/>
      <x:c r="I5" s="101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  <x:c r="AA5" s="101"/>
      <x:c r="AB5" s="101"/>
      <x:c r="AC5" s="101"/>
      <x:c r="AD5" s="101"/>
      <x:c r="AE5" s="101"/>
    </x:row>
    <x:row r="6">
      <x:c r="A6" s="103" t="str">
        <x:v>Project Name</x:v>
      </x:c>
      <x:c r="B6" s="104" t="str"/>
      <x:c r="C6" s="100"/>
      <x:c r="D6" s="100"/>
      <x:c r="E6" s="100"/>
      <x:c r="F6" s="100"/>
      <x:c r="G6" s="100"/>
      <x:c r="H6" s="100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  <x:c r="AA6" s="101"/>
      <x:c r="AB6" s="101"/>
      <x:c r="AC6" s="101"/>
      <x:c r="AD6" s="101"/>
      <x:c r="AE6" s="101"/>
    </x:row>
    <x:row r="7">
      <x:c r="A7" s="103" t="str">
        <x:v>Project / PO</x:v>
      </x:c>
      <x:c r="B7" s="104" t="str"/>
      <x:c r="C7" s="100"/>
      <x:c r="D7" s="100"/>
      <x:c r="E7" s="100"/>
      <x:c r="F7" s="100"/>
      <x:c r="G7" s="100"/>
      <x:c r="H7" s="100"/>
      <x:c r="I7" s="101"/>
      <x:c r="J7" s="101"/>
      <x:c r="K7" s="101"/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  <x:c r="AA7" s="101"/>
      <x:c r="AB7" s="101"/>
      <x:c r="AC7" s="101"/>
      <x:c r="AD7" s="101"/>
      <x:c r="AE7" s="101"/>
    </x:row>
    <x:row r="8">
      <x:c r="A8" s="103" t="str">
        <x:v>Quote / Order Ref</x:v>
      </x:c>
      <x:c r="B8" s="104" t="str"/>
      <x:c r="C8" s="100"/>
      <x:c r="D8" s="100"/>
      <x:c r="E8" s="100"/>
      <x:c r="F8" s="100"/>
      <x:c r="G8" s="100"/>
      <x:c r="H8" s="100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  <x:c r="AA8" s="101"/>
      <x:c r="AB8" s="101"/>
      <x:c r="AC8" s="101"/>
      <x:c r="AD8" s="101"/>
      <x:c r="AE8" s="101"/>
    </x:row>
    <x:row r="9">
      <x:c r="A9" s="103" t="str">
        <x:v>Contact Name</x:v>
      </x:c>
      <x:c r="B9" s="104" t="str"/>
      <x:c r="C9" s="100"/>
      <x:c r="D9" s="100"/>
      <x:c r="E9" s="100"/>
      <x:c r="F9" s="100"/>
      <x:c r="G9" s="100"/>
      <x:c r="H9" s="100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  <x:c r="AA9" s="101"/>
      <x:c r="AB9" s="101"/>
      <x:c r="AC9" s="101"/>
      <x:c r="AD9" s="101"/>
      <x:c r="AE9" s="101"/>
    </x:row>
    <x:row r="10">
      <x:c r="A10" s="103" t="str">
        <x:v>Contact Number</x:v>
      </x:c>
      <x:c r="B10" s="104" t="str"/>
      <x:c r="C10" s="100"/>
      <x:c r="D10" s="100"/>
      <x:c r="E10" s="100"/>
      <x:c r="F10" s="100"/>
      <x:c r="G10" s="100"/>
      <x:c r="H10" s="100"/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  <x:c r="AA10" s="101"/>
      <x:c r="AB10" s="101"/>
      <x:c r="AC10" s="101"/>
      <x:c r="AD10" s="101"/>
      <x:c r="AE10" s="101"/>
    </x:row>
    <x:row r="11">
      <x:c r="A11" s="103" t="str">
        <x:v>Delivery / Collection Address</x:v>
      </x:c>
      <x:c r="B11" s="104" t="str"/>
      <x:c r="C11" s="100"/>
      <x:c r="D11" s="100"/>
      <x:c r="E11" s="100"/>
      <x:c r="F11" s="100"/>
      <x:c r="G11" s="100"/>
      <x:c r="H11" s="100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  <x:c r="AA11" s="101"/>
      <x:c r="AB11" s="101"/>
      <x:c r="AC11" s="101"/>
      <x:c r="AD11" s="101"/>
      <x:c r="AE11" s="101"/>
    </x:row>
    <x:row r="12">
      <x:c r="A12" s="103" t="str">
        <x:v>Dispatch Basis</x:v>
      </x:c>
      <x:c r="B12" s="104" t="str">
        <x:v>Collection / EX Works Leicester</x:v>
      </x:c>
      <x:c r="C12" s="100"/>
      <x:c r="D12" s="100"/>
      <x:c r="E12" s="100"/>
      <x:c r="F12" s="100"/>
      <x:c r="G12" s="100"/>
      <x:c r="H12" s="100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  <x:c r="AA12" s="101"/>
      <x:c r="AB12" s="101"/>
      <x:c r="AC12" s="101"/>
      <x:c r="AD12" s="101"/>
      <x:c r="AE12" s="101"/>
    </x:row>
    <x:row r="13">
      <x:c r="A13" s="103" t="str">
        <x:v>Date Issued</x:v>
      </x:c>
      <x:c r="B13" s="104" t="str"/>
      <x:c r="C13" s="100"/>
      <x:c r="D13" s="100"/>
      <x:c r="E13" s="100"/>
      <x:c r="F13" s="100"/>
      <x:c r="G13" s="100"/>
      <x:c r="H13" s="100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  <x:c r="AA13" s="101"/>
      <x:c r="AB13" s="101"/>
      <x:c r="AC13" s="101"/>
      <x:c r="AD13" s="101"/>
      <x:c r="AE13" s="101"/>
    </x:row>
    <x:row r="14">
      <x:c r="A14" s="103" t="str">
        <x:v>Required / Collection Date</x:v>
      </x:c>
      <x:c r="B14" s="104" t="str"/>
      <x:c r="C14" s="100"/>
      <x:c r="D14" s="100"/>
      <x:c r="E14" s="100"/>
      <x:c r="F14" s="100"/>
      <x:c r="G14" s="100"/>
      <x:c r="H14" s="100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  <x:c r="AA14" s="101"/>
      <x:c r="AB14" s="101"/>
      <x:c r="AC14" s="101"/>
      <x:c r="AD14" s="101"/>
      <x:c r="AE14" s="101"/>
    </x:row>
    <x:row r="15">
      <x:c r="A15" s="103" t="str">
        <x:v>Collection or Delivery</x:v>
      </x:c>
      <x:c r="B15" s="104" t="str">
        <x:v>Collection</x:v>
      </x:c>
      <x:c r="C15" s="100"/>
      <x:c r="D15" s="100"/>
      <x:c r="E15" s="100"/>
      <x:c r="F15" s="100"/>
      <x:c r="G15" s="100"/>
      <x:c r="H15" s="100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  <x:c r="AA15" s="101"/>
      <x:c r="AB15" s="101"/>
      <x:c r="AC15" s="101"/>
      <x:c r="AD15" s="101"/>
      <x:c r="AE15" s="101"/>
    </x:row>
    <x:row r="16">
      <x:c r="A16" s="103" t="str">
        <x:v>Packing allowance %</x:v>
      </x:c>
      <x:c r="B16" s="105" t="n">
        <x:v>0.1</x:v>
      </x:c>
      <x:c r="C16" s="100"/>
      <x:c r="D16" s="100"/>
      <x:c r="E16" s="100"/>
      <x:c r="F16" s="100"/>
      <x:c r="G16" s="100"/>
      <x:c r="H16" s="100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  <x:c r="AA16" s="101"/>
      <x:c r="AB16" s="101"/>
      <x:c r="AC16" s="101"/>
      <x:c r="AD16" s="101"/>
      <x:c r="AE16" s="101"/>
    </x:row>
    <x:row r="17">
      <x:c r="A17" s="103" t="str">
        <x:v>Pallet allowance kg</x:v>
      </x:c>
      <x:c r="B17" s="106" t="n">
        <x:v>20</x:v>
      </x:c>
      <x:c r="C17" s="100"/>
      <x:c r="D17" s="100"/>
      <x:c r="E17" s="100"/>
      <x:c r="F17" s="100"/>
      <x:c r="G17" s="100"/>
      <x:c r="H17" s="100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  <x:c r="AA17" s="101"/>
      <x:c r="AB17" s="101"/>
      <x:c r="AC17" s="101"/>
      <x:c r="AD17" s="101"/>
      <x:c r="AE17" s="101"/>
    </x:row>
    <x:row r="18">
      <x:c r="A18" s="103" t="str">
        <x:v>Safe booking round-up kg</x:v>
      </x:c>
      <x:c r="B18" s="106" t="n">
        <x:v>100</x:v>
      </x:c>
      <x:c r="C18" s="100"/>
      <x:c r="D18" s="100"/>
      <x:c r="E18" s="100"/>
      <x:c r="F18" s="100"/>
      <x:c r="G18" s="100"/>
      <x:c r="H18" s="100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  <x:c r="AA18" s="101"/>
      <x:c r="AB18" s="101"/>
      <x:c r="AC18" s="101"/>
      <x:c r="AD18" s="101"/>
      <x:c r="AE18" s="101"/>
    </x:row>
    <x:row r="19">
      <x:c r="A19" s="103" t="str">
        <x:v>Default pallet length mm</x:v>
      </x:c>
      <x:c r="B19" s="106" t="n">
        <x:v>0</x:v>
      </x:c>
      <x:c r="C19" s="100"/>
      <x:c r="D19" s="100"/>
      <x:c r="E19" s="100"/>
      <x:c r="F19" s="100"/>
      <x:c r="G19" s="100"/>
      <x:c r="H19" s="100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  <x:c r="AA19" s="101"/>
      <x:c r="AB19" s="101"/>
      <x:c r="AC19" s="101"/>
      <x:c r="AD19" s="101"/>
      <x:c r="AE19" s="101"/>
    </x:row>
    <x:row r="20">
      <x:c r="A20" s="103" t="str">
        <x:v>Default pallet width mm</x:v>
      </x:c>
      <x:c r="B20" s="106" t="n">
        <x:v>0</x:v>
      </x:c>
      <x:c r="C20" s="100"/>
      <x:c r="D20" s="100"/>
      <x:c r="E20" s="100"/>
      <x:c r="F20" s="100"/>
      <x:c r="G20" s="100"/>
      <x:c r="H20" s="100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  <x:c r="AA20" s="101"/>
      <x:c r="AB20" s="101"/>
      <x:c r="AC20" s="101"/>
      <x:c r="AD20" s="101"/>
      <x:c r="AE20" s="101"/>
    </x:row>
    <x:row r="21">
      <x:c r="A21" s="103" t="str">
        <x:v>Default pallet height mm</x:v>
      </x:c>
      <x:c r="B21" s="106" t="n">
        <x:v>0</x:v>
      </x:c>
      <x:c r="C21" s="100"/>
      <x:c r="D21" s="100"/>
      <x:c r="E21" s="100"/>
      <x:c r="F21" s="100"/>
      <x:c r="G21" s="100"/>
      <x:c r="H21" s="100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  <x:c r="AA21" s="101"/>
      <x:c r="AB21" s="101"/>
      <x:c r="AC21" s="101"/>
      <x:c r="AD21" s="101"/>
      <x:c r="AE21" s="101"/>
    </x:row>
    <x:row r="22">
      <x:c r="A22" s="100"/>
      <x:c r="B22" s="100"/>
      <x:c r="C22" s="100"/>
      <x:c r="D22" s="100"/>
      <x:c r="E22" s="100"/>
      <x:c r="F22" s="100"/>
      <x:c r="G22" s="100"/>
      <x:c r="H22" s="100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  <x:c r="AA22" s="101"/>
      <x:c r="AB22" s="101"/>
      <x:c r="AC22" s="101"/>
      <x:c r="AD22" s="101"/>
      <x:c r="AE22" s="101"/>
    </x:row>
    <x:row r="23">
      <x:c r="A23" s="96" t="str">
        <x:v>QUICK SUMMARY</x:v>
      </x:c>
      <x:c r="B23" s="100"/>
      <x:c r="C23" s="100"/>
      <x:c r="D23" s="100"/>
      <x:c r="E23" s="100"/>
      <x:c r="F23" s="100"/>
      <x:c r="G23" s="100"/>
      <x:c r="H23" s="100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  <x:c r="AA23" s="101"/>
      <x:c r="AB23" s="101"/>
      <x:c r="AC23" s="101"/>
      <x:c r="AD23" s="101"/>
      <x:c r="AE23" s="101"/>
    </x:row>
    <x:row r="24">
      <x:c r="A24" s="107" t="str">
        <x:v>Total curtain kits</x:v>
      </x:c>
      <x:c r="B24" s="108" t="n">
        <x:f>SUM('Curtain Input'!C2:C41)</x:f>
        <x:v>0</x:v>
      </x:c>
      <x:c r="C24" s="107" t="str">
        <x:v>Number of pallets used</x:v>
      </x:c>
      <x:c r="D24" s="108" t="n">
        <x:f>COUNTIF('Pallet Plan'!C2:C13,"&gt;0")</x:f>
        <x:v>0</x:v>
      </x:c>
      <x:c r="E24" s="100"/>
      <x:c r="F24" s="100"/>
      <x:c r="G24" s="100"/>
      <x:c r="H24" s="100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  <x:c r="AA24" s="101"/>
      <x:c r="AB24" s="101"/>
      <x:c r="AC24" s="101"/>
      <x:c r="AD24" s="101"/>
      <x:c r="AE24" s="101"/>
    </x:row>
    <x:row r="25">
      <x:c r="A25" s="107" t="str">
        <x:v>Estimated total gross kg</x:v>
      </x:c>
      <x:c r="B25" s="108" t="n">
        <x:f>ROUND(SUM('Pallet Plan'!G2:G13),0)</x:f>
        <x:v>0</x:v>
      </x:c>
      <x:c r="C25" s="107" t="str">
        <x:v>Safe booking weight kg</x:v>
      </x:c>
      <x:c r="D25" s="108" t="n">
        <x:f>CEILING(MAX(0,SUM('Pallet Plan'!G2:G13)),B18)</x:f>
        <x:v>0</x:v>
      </x:c>
      <x:c r="E25" s="100"/>
      <x:c r="F25" s="100"/>
      <x:c r="G25" s="100"/>
      <x:c r="H25" s="100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  <x:c r="AA25" s="101"/>
      <x:c r="AB25" s="101"/>
      <x:c r="AC25" s="101"/>
      <x:c r="AD25" s="101"/>
      <x:c r="AE25" s="101"/>
    </x:row>
    <x:row r="26">
      <x:c r="A26" s="107" t="str">
        <x:v>Largest pallet length mm</x:v>
      </x:c>
      <x:c r="B26" s="108" t="n">
        <x:f>MAX('Pallet Plan'!I2:I13)</x:f>
        <x:v>0</x:v>
      </x:c>
      <x:c r="C26" s="107" t="str">
        <x:v>Largest pallet gross kg</x:v>
      </x:c>
      <x:c r="D26" s="108" t="n">
        <x:f>MAX('Pallet Plan'!G2:G13)</x:f>
        <x:v>0</x:v>
      </x:c>
      <x:c r="E26" s="100"/>
      <x:c r="F26" s="100"/>
      <x:c r="G26" s="100"/>
      <x:c r="H26" s="100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  <x:c r="AA26" s="101"/>
      <x:c r="AB26" s="101"/>
      <x:c r="AC26" s="101"/>
      <x:c r="AD26" s="101"/>
      <x:c r="AE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  <x:c r="AA27" s="101"/>
      <x:c r="AB27" s="101"/>
      <x:c r="AC27" s="101"/>
      <x:c r="AD27" s="101"/>
      <x:c r="AE27" s="101"/>
    </x:row>
    <x:row r="28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  <x:c r="AA28" s="101"/>
      <x:c r="AB28" s="101"/>
      <x:c r="AC28" s="101"/>
      <x:c r="AD28" s="101"/>
      <x:c r="AE28" s="101"/>
    </x:row>
    <x:row r="29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  <x:c r="AA29" s="101"/>
      <x:c r="AB29" s="101"/>
      <x:c r="AC29" s="101"/>
      <x:c r="AD29" s="101"/>
      <x:c r="AE29" s="101"/>
    </x:row>
    <x:row r="30">
      <x:c r="A30" s="101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  <x:c r="AA30" s="101"/>
      <x:c r="AB30" s="101"/>
      <x:c r="AC30" s="101"/>
      <x:c r="AD30" s="101"/>
      <x:c r="AE30" s="101"/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  <x:c r="AA31" s="101"/>
      <x:c r="AB31" s="101"/>
      <x:c r="AC31" s="101"/>
      <x:c r="AD31" s="101"/>
      <x:c r="AE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  <x:c r="AA32" s="101"/>
      <x:c r="AB32" s="101"/>
      <x:c r="AC32" s="101"/>
      <x:c r="AD32" s="101"/>
      <x:c r="AE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  <x:c r="AA33" s="101"/>
      <x:c r="AB33" s="101"/>
      <x:c r="AC33" s="101"/>
      <x:c r="AD33" s="101"/>
      <x:c r="AE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  <x:c r="AA34" s="101"/>
      <x:c r="AB34" s="101"/>
      <x:c r="AC34" s="101"/>
      <x:c r="AD34" s="101"/>
      <x:c r="AE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  <x:c r="AA35" s="101"/>
      <x:c r="AB35" s="101"/>
      <x:c r="AC35" s="101"/>
      <x:c r="AD35" s="101"/>
      <x:c r="AE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  <x:c r="AA36" s="101"/>
      <x:c r="AB36" s="101"/>
      <x:c r="AC36" s="101"/>
      <x:c r="AD36" s="101"/>
      <x:c r="AE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  <x:c r="AA37" s="101"/>
      <x:c r="AB37" s="101"/>
      <x:c r="AC37" s="101"/>
      <x:c r="AD37" s="101"/>
      <x:c r="AE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  <x:c r="AA38" s="101"/>
      <x:c r="AB38" s="101"/>
      <x:c r="AC38" s="101"/>
      <x:c r="AD38" s="101"/>
      <x:c r="AE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  <x:c r="AA39" s="101"/>
      <x:c r="AB39" s="101"/>
      <x:c r="AC39" s="101"/>
      <x:c r="AD39" s="101"/>
      <x:c r="AE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  <x:c r="AA40" s="101"/>
      <x:c r="AB40" s="101"/>
      <x:c r="AC40" s="101"/>
      <x:c r="AD40" s="101"/>
      <x:c r="AE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  <x:c r="AA41" s="101"/>
      <x:c r="AB41" s="101"/>
      <x:c r="AC41" s="101"/>
      <x:c r="AD41" s="101"/>
      <x:c r="AE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  <x:c r="AA42" s="101"/>
      <x:c r="AB42" s="101"/>
      <x:c r="AC42" s="101"/>
      <x:c r="AD42" s="101"/>
      <x:c r="AE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  <x:c r="AA43" s="101"/>
      <x:c r="AB43" s="101"/>
      <x:c r="AC43" s="101"/>
      <x:c r="AD43" s="101"/>
      <x:c r="AE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  <x:c r="AA44" s="101"/>
      <x:c r="AB44" s="101"/>
      <x:c r="AC44" s="101"/>
      <x:c r="AD44" s="101"/>
      <x:c r="AE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  <x:c r="AA45" s="101"/>
      <x:c r="AB45" s="101"/>
      <x:c r="AC45" s="101"/>
      <x:c r="AD45" s="101"/>
      <x:c r="AE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  <x:c r="AA46" s="101"/>
      <x:c r="AB46" s="101"/>
      <x:c r="AC46" s="101"/>
      <x:c r="AD46" s="101"/>
      <x:c r="AE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  <x:c r="AA47" s="101"/>
      <x:c r="AB47" s="101"/>
      <x:c r="AC47" s="101"/>
      <x:c r="AD47" s="101"/>
      <x:c r="AE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  <x:c r="AA48" s="101"/>
      <x:c r="AB48" s="101"/>
      <x:c r="AC48" s="101"/>
      <x:c r="AD48" s="101"/>
      <x:c r="AE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  <x:c r="AA49" s="101"/>
      <x:c r="AB49" s="101"/>
      <x:c r="AC49" s="101"/>
      <x:c r="AD49" s="101"/>
      <x:c r="AE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  <x:c r="AA50" s="101"/>
      <x:c r="AB50" s="101"/>
      <x:c r="AC50" s="101"/>
      <x:c r="AD50" s="101"/>
      <x:c r="AE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  <x:c r="AA51" s="101"/>
      <x:c r="AB51" s="101"/>
      <x:c r="AC51" s="101"/>
      <x:c r="AD51" s="101"/>
      <x:c r="AE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  <x:c r="AA52" s="101"/>
      <x:c r="AB52" s="101"/>
      <x:c r="AC52" s="101"/>
      <x:c r="AD52" s="101"/>
      <x:c r="AE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  <x:c r="AA53" s="101"/>
      <x:c r="AB53" s="101"/>
      <x:c r="AC53" s="101"/>
      <x:c r="AD53" s="101"/>
      <x:c r="AE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  <x:c r="AA54" s="101"/>
      <x:c r="AB54" s="101"/>
      <x:c r="AC54" s="101"/>
      <x:c r="AD54" s="101"/>
      <x:c r="AE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  <x:c r="AA55" s="101"/>
      <x:c r="AB55" s="101"/>
      <x:c r="AC55" s="101"/>
      <x:c r="AD55" s="101"/>
      <x:c r="AE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  <x:c r="AA56" s="101"/>
      <x:c r="AB56" s="101"/>
      <x:c r="AC56" s="101"/>
      <x:c r="AD56" s="101"/>
      <x:c r="AE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  <x:c r="AA57" s="101"/>
      <x:c r="AB57" s="101"/>
      <x:c r="AC57" s="101"/>
      <x:c r="AD57" s="101"/>
      <x:c r="AE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  <x:c r="AA58" s="101"/>
      <x:c r="AB58" s="101"/>
      <x:c r="AC58" s="101"/>
      <x:c r="AD58" s="101"/>
      <x:c r="AE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  <x:c r="AA59" s="101"/>
      <x:c r="AB59" s="101"/>
      <x:c r="AC59" s="101"/>
      <x:c r="AD59" s="101"/>
      <x:c r="AE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  <x:c r="AA60" s="101"/>
      <x:c r="AB60" s="101"/>
      <x:c r="AC60" s="101"/>
      <x:c r="AD60" s="101"/>
      <x:c r="AE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  <x:c r="AA61" s="101"/>
      <x:c r="AB61" s="101"/>
      <x:c r="AC61" s="101"/>
      <x:c r="AD61" s="101"/>
      <x:c r="AE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  <x:c r="AA62" s="101"/>
      <x:c r="AB62" s="101"/>
      <x:c r="AC62" s="101"/>
      <x:c r="AD62" s="101"/>
      <x:c r="AE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  <x:c r="AA63" s="101"/>
      <x:c r="AB63" s="101"/>
      <x:c r="AC63" s="101"/>
      <x:c r="AD63" s="101"/>
      <x:c r="AE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  <x:c r="AA64" s="101"/>
      <x:c r="AB64" s="101"/>
      <x:c r="AC64" s="101"/>
      <x:c r="AD64" s="101"/>
      <x:c r="AE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  <x:c r="AA65" s="101"/>
      <x:c r="AB65" s="101"/>
      <x:c r="AC65" s="101"/>
      <x:c r="AD65" s="101"/>
      <x:c r="AE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  <x:c r="AA66" s="101"/>
      <x:c r="AB66" s="101"/>
      <x:c r="AC66" s="101"/>
      <x:c r="AD66" s="101"/>
      <x:c r="AE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  <x:c r="AA67" s="101"/>
      <x:c r="AB67" s="101"/>
      <x:c r="AC67" s="101"/>
      <x:c r="AD67" s="101"/>
      <x:c r="AE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  <x:c r="AA68" s="101"/>
      <x:c r="AB68" s="101"/>
      <x:c r="AC68" s="101"/>
      <x:c r="AD68" s="101"/>
      <x:c r="AE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  <x:c r="AA69" s="101"/>
      <x:c r="AB69" s="101"/>
      <x:c r="AC69" s="101"/>
      <x:c r="AD69" s="101"/>
      <x:c r="AE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  <x:c r="AA70" s="101"/>
      <x:c r="AB70" s="101"/>
      <x:c r="AC70" s="101"/>
      <x:c r="AD70" s="101"/>
      <x:c r="AE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  <x:c r="AA71" s="101"/>
      <x:c r="AB71" s="101"/>
      <x:c r="AC71" s="101"/>
      <x:c r="AD71" s="101"/>
      <x:c r="AE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  <x:c r="AA72" s="101"/>
      <x:c r="AB72" s="101"/>
      <x:c r="AC72" s="101"/>
      <x:c r="AD72" s="101"/>
      <x:c r="AE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  <x:c r="AA73" s="101"/>
      <x:c r="AB73" s="101"/>
      <x:c r="AC73" s="101"/>
      <x:c r="AD73" s="101"/>
      <x:c r="AE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  <x:c r="AA74" s="101"/>
      <x:c r="AB74" s="101"/>
      <x:c r="AC74" s="101"/>
      <x:c r="AD74" s="101"/>
      <x:c r="AE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  <x:c r="AA75" s="101"/>
      <x:c r="AB75" s="101"/>
      <x:c r="AC75" s="101"/>
      <x:c r="AD75" s="101"/>
      <x:c r="AE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  <x:c r="AA76" s="101"/>
      <x:c r="AB76" s="101"/>
      <x:c r="AC76" s="101"/>
      <x:c r="AD76" s="101"/>
      <x:c r="AE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  <x:c r="AA77" s="101"/>
      <x:c r="AB77" s="101"/>
      <x:c r="AC77" s="101"/>
      <x:c r="AD77" s="101"/>
      <x:c r="AE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  <x:c r="AA78" s="101"/>
      <x:c r="AB78" s="101"/>
      <x:c r="AC78" s="101"/>
      <x:c r="AD78" s="101"/>
      <x:c r="AE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  <x:c r="AA79" s="101"/>
      <x:c r="AB79" s="101"/>
      <x:c r="AC79" s="101"/>
      <x:c r="AD79" s="101"/>
      <x:c r="AE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  <x:c r="AA80" s="101"/>
      <x:c r="AB80" s="101"/>
      <x:c r="AC80" s="101"/>
      <x:c r="AD80" s="101"/>
      <x:c r="AE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  <x:c r="AA81" s="101"/>
      <x:c r="AB81" s="101"/>
      <x:c r="AC81" s="101"/>
      <x:c r="AD81" s="101"/>
      <x:c r="AE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  <x:c r="AA82" s="101"/>
      <x:c r="AB82" s="101"/>
      <x:c r="AC82" s="101"/>
      <x:c r="AD82" s="101"/>
      <x:c r="AE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  <x:c r="AA83" s="101"/>
      <x:c r="AB83" s="101"/>
      <x:c r="AC83" s="101"/>
      <x:c r="AD83" s="101"/>
      <x:c r="AE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  <x:c r="AA84" s="101"/>
      <x:c r="AB84" s="101"/>
      <x:c r="AC84" s="101"/>
      <x:c r="AD84" s="101"/>
      <x:c r="AE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  <x:c r="AA85" s="101"/>
      <x:c r="AB85" s="101"/>
      <x:c r="AC85" s="101"/>
      <x:c r="AD85" s="101"/>
      <x:c r="AE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  <x:c r="AA86" s="101"/>
      <x:c r="AB86" s="101"/>
      <x:c r="AC86" s="101"/>
      <x:c r="AD86" s="101"/>
      <x:c r="AE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  <x:c r="AA87" s="101"/>
      <x:c r="AB87" s="101"/>
      <x:c r="AC87" s="101"/>
      <x:c r="AD87" s="101"/>
      <x:c r="AE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  <x:c r="AA88" s="101"/>
      <x:c r="AB88" s="101"/>
      <x:c r="AC88" s="101"/>
      <x:c r="AD88" s="101"/>
      <x:c r="AE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  <x:c r="AA89" s="101"/>
      <x:c r="AB89" s="101"/>
      <x:c r="AC89" s="101"/>
      <x:c r="AD89" s="101"/>
      <x:c r="AE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  <x:c r="AA90" s="101"/>
      <x:c r="AB90" s="101"/>
      <x:c r="AC90" s="101"/>
      <x:c r="AD90" s="101"/>
      <x:c r="AE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  <x:c r="AA91" s="101"/>
      <x:c r="AB91" s="101"/>
      <x:c r="AC91" s="101"/>
      <x:c r="AD91" s="101"/>
      <x:c r="AE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  <x:c r="AA92" s="101"/>
      <x:c r="AB92" s="101"/>
      <x:c r="AC92" s="101"/>
      <x:c r="AD92" s="101"/>
      <x:c r="AE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  <x:c r="AA93" s="101"/>
      <x:c r="AB93" s="101"/>
      <x:c r="AC93" s="101"/>
      <x:c r="AD93" s="101"/>
      <x:c r="AE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  <x:c r="AA94" s="101"/>
      <x:c r="AB94" s="101"/>
      <x:c r="AC94" s="101"/>
      <x:c r="AD94" s="101"/>
      <x:c r="AE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  <x:c r="AA95" s="101"/>
      <x:c r="AB95" s="101"/>
      <x:c r="AC95" s="101"/>
      <x:c r="AD95" s="101"/>
      <x:c r="AE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  <x:c r="AA96" s="101"/>
      <x:c r="AB96" s="101"/>
      <x:c r="AC96" s="101"/>
      <x:c r="AD96" s="101"/>
      <x:c r="AE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  <x:c r="AA97" s="101"/>
      <x:c r="AB97" s="101"/>
      <x:c r="AC97" s="101"/>
      <x:c r="AD97" s="101"/>
      <x:c r="AE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  <x:c r="AA98" s="101"/>
      <x:c r="AB98" s="101"/>
      <x:c r="AC98" s="101"/>
      <x:c r="AD98" s="101"/>
      <x:c r="AE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  <x:c r="AA99" s="101"/>
      <x:c r="AB99" s="101"/>
      <x:c r="AC99" s="101"/>
      <x:c r="AD99" s="101"/>
      <x:c r="AE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  <x:c r="AA100" s="101"/>
      <x:c r="AB100" s="101"/>
      <x:c r="AC100" s="101"/>
      <x:c r="AD100" s="101"/>
      <x:c r="AE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  <x:c r="AA101" s="101"/>
      <x:c r="AB101" s="101"/>
      <x:c r="AC101" s="101"/>
      <x:c r="AD101" s="101"/>
      <x:c r="AE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  <x:c r="AA102" s="101"/>
      <x:c r="AB102" s="101"/>
      <x:c r="AC102" s="101"/>
      <x:c r="AD102" s="101"/>
      <x:c r="AE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  <x:c r="AA103" s="101"/>
      <x:c r="AB103" s="101"/>
      <x:c r="AC103" s="101"/>
      <x:c r="AD103" s="101"/>
      <x:c r="AE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  <x:c r="AA104" s="101"/>
      <x:c r="AB104" s="101"/>
      <x:c r="AC104" s="101"/>
      <x:c r="AD104" s="101"/>
      <x:c r="AE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  <x:c r="AA105" s="101"/>
      <x:c r="AB105" s="101"/>
      <x:c r="AC105" s="101"/>
      <x:c r="AD105" s="101"/>
      <x:c r="AE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  <x:c r="AA106" s="101"/>
      <x:c r="AB106" s="101"/>
      <x:c r="AC106" s="101"/>
      <x:c r="AD106" s="101"/>
      <x:c r="AE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  <x:c r="AA107" s="101"/>
      <x:c r="AB107" s="101"/>
      <x:c r="AC107" s="101"/>
      <x:c r="AD107" s="101"/>
      <x:c r="AE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  <x:c r="AA108" s="101"/>
      <x:c r="AB108" s="101"/>
      <x:c r="AC108" s="101"/>
      <x:c r="AD108" s="101"/>
      <x:c r="AE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  <x:c r="AA109" s="101"/>
      <x:c r="AB109" s="101"/>
      <x:c r="AC109" s="101"/>
      <x:c r="AD109" s="101"/>
      <x:c r="AE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  <x:c r="AA110" s="101"/>
      <x:c r="AB110" s="101"/>
      <x:c r="AC110" s="101"/>
      <x:c r="AD110" s="101"/>
      <x:c r="AE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  <x:c r="AA111" s="101"/>
      <x:c r="AB111" s="101"/>
      <x:c r="AC111" s="101"/>
      <x:c r="AD111" s="101"/>
      <x:c r="AE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  <x:c r="AA112" s="101"/>
      <x:c r="AB112" s="101"/>
      <x:c r="AC112" s="101"/>
      <x:c r="AD112" s="101"/>
      <x:c r="AE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  <x:c r="AA113" s="101"/>
      <x:c r="AB113" s="101"/>
      <x:c r="AC113" s="101"/>
      <x:c r="AD113" s="101"/>
      <x:c r="AE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  <x:c r="AA114" s="101"/>
      <x:c r="AB114" s="101"/>
      <x:c r="AC114" s="101"/>
      <x:c r="AD114" s="101"/>
      <x:c r="AE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  <x:c r="AA115" s="101"/>
      <x:c r="AB115" s="101"/>
      <x:c r="AC115" s="101"/>
      <x:c r="AD115" s="101"/>
      <x:c r="AE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  <x:c r="AA116" s="101"/>
      <x:c r="AB116" s="101"/>
      <x:c r="AC116" s="101"/>
      <x:c r="AD116" s="101"/>
      <x:c r="AE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  <x:c r="AA117" s="101"/>
      <x:c r="AB117" s="101"/>
      <x:c r="AC117" s="101"/>
      <x:c r="AD117" s="101"/>
      <x:c r="AE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  <x:c r="AA118" s="101"/>
      <x:c r="AB118" s="101"/>
      <x:c r="AC118" s="101"/>
      <x:c r="AD118" s="101"/>
      <x:c r="AE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  <x:c r="AA119" s="101"/>
      <x:c r="AB119" s="101"/>
      <x:c r="AC119" s="101"/>
      <x:c r="AD119" s="101"/>
      <x:c r="AE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  <x:c r="AA120" s="101"/>
      <x:c r="AB120" s="101"/>
      <x:c r="AC120" s="101"/>
      <x:c r="AD120" s="101"/>
      <x:c r="AE120" s="101"/>
    </x:row>
    <x:row r="121">
      <x:c r="A121" s="101"/>
      <x:c r="B121" s="101"/>
      <x:c r="C121" s="101"/>
      <x:c r="D121" s="101"/>
      <x:c r="E121" s="101"/>
      <x:c r="F121" s="101"/>
      <x:c r="G121" s="101"/>
      <x:c r="H121" s="101"/>
      <x:c r="I121" s="101"/>
      <x:c r="J121" s="101"/>
      <x:c r="K121" s="101"/>
      <x:c r="L121" s="101"/>
      <x:c r="M121" s="101"/>
      <x:c r="N121" s="101"/>
      <x:c r="O121" s="101"/>
      <x:c r="P121" s="101"/>
      <x:c r="Q121" s="101"/>
      <x:c r="R121" s="101"/>
      <x:c r="S121" s="101"/>
      <x:c r="T121" s="101"/>
      <x:c r="U121" s="101"/>
      <x:c r="V121" s="101"/>
      <x:c r="W121" s="101"/>
      <x:c r="X121" s="101"/>
      <x:c r="Y121" s="101"/>
      <x:c r="Z121" s="101"/>
      <x:c r="AA121" s="101"/>
      <x:c r="AB121" s="101"/>
      <x:c r="AC121" s="101"/>
      <x:c r="AD121" s="101"/>
      <x:c r="AE121" s="101"/>
    </x:row>
    <x:row r="122">
      <x:c r="A122" s="101"/>
      <x:c r="B122" s="101"/>
      <x:c r="C122" s="101"/>
      <x:c r="D122" s="101"/>
      <x:c r="E122" s="101"/>
      <x:c r="F122" s="101"/>
      <x:c r="G122" s="101"/>
      <x:c r="H122" s="101"/>
      <x:c r="I122" s="101"/>
      <x:c r="J122" s="101"/>
      <x:c r="K122" s="101"/>
      <x:c r="L122" s="101"/>
      <x:c r="M122" s="101"/>
      <x:c r="N122" s="101"/>
      <x:c r="O122" s="101"/>
      <x:c r="P122" s="101"/>
      <x:c r="Q122" s="101"/>
      <x:c r="R122" s="101"/>
      <x:c r="S122" s="101"/>
      <x:c r="T122" s="101"/>
      <x:c r="U122" s="101"/>
      <x:c r="V122" s="101"/>
      <x:c r="W122" s="101"/>
      <x:c r="X122" s="101"/>
      <x:c r="Y122" s="101"/>
      <x:c r="Z122" s="101"/>
      <x:c r="AA122" s="101"/>
      <x:c r="AB122" s="101"/>
      <x:c r="AC122" s="101"/>
      <x:c r="AD122" s="101"/>
      <x:c r="AE122" s="101"/>
    </x:row>
    <x:row r="123">
      <x:c r="A123" s="101"/>
      <x:c r="B123" s="101"/>
      <x:c r="C123" s="101"/>
      <x:c r="D123" s="101"/>
      <x:c r="E123" s="101"/>
      <x:c r="F123" s="101"/>
      <x:c r="G123" s="101"/>
      <x:c r="H123" s="101"/>
      <x:c r="I123" s="101"/>
      <x:c r="J123" s="101"/>
      <x:c r="K123" s="101"/>
      <x:c r="L123" s="101"/>
      <x:c r="M123" s="101"/>
      <x:c r="N123" s="101"/>
      <x:c r="O123" s="101"/>
      <x:c r="P123" s="101"/>
      <x:c r="Q123" s="101"/>
      <x:c r="R123" s="101"/>
      <x:c r="S123" s="101"/>
      <x:c r="T123" s="101"/>
      <x:c r="U123" s="101"/>
      <x:c r="V123" s="101"/>
      <x:c r="W123" s="101"/>
      <x:c r="X123" s="101"/>
      <x:c r="Y123" s="101"/>
      <x:c r="Z123" s="101"/>
      <x:c r="AA123" s="101"/>
      <x:c r="AB123" s="101"/>
      <x:c r="AC123" s="101"/>
      <x:c r="AD123" s="101"/>
      <x:c r="AE123" s="101"/>
    </x:row>
    <x:row r="124">
      <x:c r="A124" s="101"/>
      <x:c r="B124" s="101"/>
      <x:c r="C124" s="101"/>
      <x:c r="D124" s="101"/>
      <x:c r="E124" s="101"/>
      <x:c r="F124" s="101"/>
      <x:c r="G124" s="101"/>
      <x:c r="H124" s="101"/>
      <x:c r="I124" s="101"/>
      <x:c r="J124" s="101"/>
      <x:c r="K124" s="101"/>
      <x:c r="L124" s="101"/>
      <x:c r="M124" s="101"/>
      <x:c r="N124" s="101"/>
      <x:c r="O124" s="101"/>
      <x:c r="P124" s="101"/>
      <x:c r="Q124" s="101"/>
      <x:c r="R124" s="101"/>
      <x:c r="S124" s="101"/>
      <x:c r="T124" s="101"/>
      <x:c r="U124" s="101"/>
      <x:c r="V124" s="101"/>
      <x:c r="W124" s="101"/>
      <x:c r="X124" s="101"/>
      <x:c r="Y124" s="101"/>
      <x:c r="Z124" s="101"/>
      <x:c r="AA124" s="101"/>
      <x:c r="AB124" s="101"/>
      <x:c r="AC124" s="101"/>
      <x:c r="AD124" s="101"/>
      <x:c r="AE124" s="101"/>
    </x:row>
    <x:row r="125">
      <x:c r="A125" s="101"/>
      <x:c r="B125" s="101"/>
      <x:c r="C125" s="101"/>
      <x:c r="D125" s="101"/>
      <x:c r="E125" s="101"/>
      <x:c r="F125" s="101"/>
      <x:c r="G125" s="101"/>
      <x:c r="H125" s="101"/>
      <x:c r="I125" s="101"/>
      <x:c r="J125" s="101"/>
      <x:c r="K125" s="101"/>
      <x:c r="L125" s="101"/>
      <x:c r="M125" s="101"/>
      <x:c r="N125" s="101"/>
      <x:c r="O125" s="101"/>
      <x:c r="P125" s="101"/>
      <x:c r="Q125" s="101"/>
      <x:c r="R125" s="101"/>
      <x:c r="S125" s="101"/>
      <x:c r="T125" s="101"/>
      <x:c r="U125" s="101"/>
      <x:c r="V125" s="101"/>
      <x:c r="W125" s="101"/>
      <x:c r="X125" s="101"/>
      <x:c r="Y125" s="101"/>
      <x:c r="Z125" s="101"/>
      <x:c r="AA125" s="101"/>
      <x:c r="AB125" s="101"/>
      <x:c r="AC125" s="101"/>
      <x:c r="AD125" s="101"/>
      <x:c r="AE125" s="101"/>
    </x:row>
    <x:row r="126">
      <x:c r="A126" s="101"/>
      <x:c r="B126" s="101"/>
      <x:c r="C126" s="101"/>
      <x:c r="D126" s="101"/>
      <x:c r="E126" s="101"/>
      <x:c r="F126" s="101"/>
      <x:c r="G126" s="101"/>
      <x:c r="H126" s="101"/>
      <x:c r="I126" s="101"/>
      <x:c r="J126" s="101"/>
      <x:c r="K126" s="101"/>
      <x:c r="L126" s="101"/>
      <x:c r="M126" s="101"/>
      <x:c r="N126" s="101"/>
      <x:c r="O126" s="101"/>
      <x:c r="P126" s="101"/>
      <x:c r="Q126" s="101"/>
      <x:c r="R126" s="101"/>
      <x:c r="S126" s="101"/>
      <x:c r="T126" s="101"/>
      <x:c r="U126" s="101"/>
      <x:c r="V126" s="101"/>
      <x:c r="W126" s="101"/>
      <x:c r="X126" s="101"/>
      <x:c r="Y126" s="101"/>
      <x:c r="Z126" s="101"/>
      <x:c r="AA126" s="101"/>
      <x:c r="AB126" s="101"/>
      <x:c r="AC126" s="101"/>
      <x:c r="AD126" s="101"/>
      <x:c r="AE126" s="101"/>
    </x:row>
    <x:row r="127">
      <x:c r="A127" s="101"/>
      <x:c r="B127" s="101"/>
      <x:c r="C127" s="101"/>
      <x:c r="D127" s="101"/>
      <x:c r="E127" s="101"/>
      <x:c r="F127" s="101"/>
      <x:c r="G127" s="101"/>
      <x:c r="H127" s="101"/>
      <x:c r="I127" s="101"/>
      <x:c r="J127" s="101"/>
      <x:c r="K127" s="101"/>
      <x:c r="L127" s="101"/>
      <x:c r="M127" s="101"/>
      <x:c r="N127" s="101"/>
      <x:c r="O127" s="101"/>
      <x:c r="P127" s="101"/>
      <x:c r="Q127" s="101"/>
      <x:c r="R127" s="101"/>
      <x:c r="S127" s="101"/>
      <x:c r="T127" s="101"/>
      <x:c r="U127" s="101"/>
      <x:c r="V127" s="101"/>
      <x:c r="W127" s="101"/>
      <x:c r="X127" s="101"/>
      <x:c r="Y127" s="101"/>
      <x:c r="Z127" s="101"/>
      <x:c r="AA127" s="101"/>
      <x:c r="AB127" s="101"/>
      <x:c r="AC127" s="101"/>
      <x:c r="AD127" s="101"/>
      <x:c r="AE127" s="101"/>
    </x:row>
    <x:row r="128">
      <x:c r="A128" s="101"/>
      <x:c r="B128" s="101"/>
      <x:c r="C128" s="101"/>
      <x:c r="D128" s="101"/>
      <x:c r="E128" s="101"/>
      <x:c r="F128" s="101"/>
      <x:c r="G128" s="101"/>
      <x:c r="H128" s="101"/>
      <x:c r="I128" s="101"/>
      <x:c r="J128" s="101"/>
      <x:c r="K128" s="101"/>
      <x:c r="L128" s="101"/>
      <x:c r="M128" s="101"/>
      <x:c r="N128" s="101"/>
      <x:c r="O128" s="101"/>
      <x:c r="P128" s="101"/>
      <x:c r="Q128" s="101"/>
      <x:c r="R128" s="101"/>
      <x:c r="S128" s="101"/>
      <x:c r="T128" s="101"/>
      <x:c r="U128" s="101"/>
      <x:c r="V128" s="101"/>
      <x:c r="W128" s="101"/>
      <x:c r="X128" s="101"/>
      <x:c r="Y128" s="101"/>
      <x:c r="Z128" s="101"/>
      <x:c r="AA128" s="101"/>
      <x:c r="AB128" s="101"/>
      <x:c r="AC128" s="101"/>
      <x:c r="AD128" s="101"/>
      <x:c r="AE128" s="101"/>
    </x:row>
    <x:row r="129">
      <x:c r="A129" s="101"/>
      <x:c r="B129" s="101"/>
      <x:c r="C129" s="101"/>
      <x:c r="D129" s="101"/>
      <x:c r="E129" s="101"/>
      <x:c r="F129" s="101"/>
      <x:c r="G129" s="101"/>
      <x:c r="H129" s="101"/>
      <x:c r="I129" s="101"/>
      <x:c r="J129" s="101"/>
      <x:c r="K129" s="101"/>
      <x:c r="L129" s="101"/>
      <x:c r="M129" s="101"/>
      <x:c r="N129" s="101"/>
      <x:c r="O129" s="101"/>
      <x:c r="P129" s="101"/>
      <x:c r="Q129" s="101"/>
      <x:c r="R129" s="101"/>
      <x:c r="S129" s="101"/>
      <x:c r="T129" s="101"/>
      <x:c r="U129" s="101"/>
      <x:c r="V129" s="101"/>
      <x:c r="W129" s="101"/>
      <x:c r="X129" s="101"/>
      <x:c r="Y129" s="101"/>
      <x:c r="Z129" s="101"/>
      <x:c r="AA129" s="101"/>
      <x:c r="AB129" s="101"/>
      <x:c r="AC129" s="101"/>
      <x:c r="AD129" s="101"/>
      <x:c r="AE129" s="101"/>
    </x:row>
    <x:row r="130">
      <x:c r="A130" s="101"/>
      <x:c r="B130" s="101"/>
      <x:c r="C130" s="101"/>
      <x:c r="D130" s="101"/>
      <x:c r="E130" s="101"/>
      <x:c r="F130" s="101"/>
      <x:c r="G130" s="101"/>
      <x:c r="H130" s="101"/>
      <x:c r="I130" s="101"/>
      <x:c r="J130" s="101"/>
      <x:c r="K130" s="101"/>
      <x:c r="L130" s="101"/>
      <x:c r="M130" s="101"/>
      <x:c r="N130" s="101"/>
      <x:c r="O130" s="101"/>
      <x:c r="P130" s="101"/>
      <x:c r="Q130" s="101"/>
      <x:c r="R130" s="101"/>
      <x:c r="S130" s="101"/>
      <x:c r="T130" s="101"/>
      <x:c r="U130" s="101"/>
      <x:c r="V130" s="101"/>
      <x:c r="W130" s="101"/>
      <x:c r="X130" s="101"/>
      <x:c r="Y130" s="101"/>
      <x:c r="Z130" s="101"/>
      <x:c r="AA130" s="101"/>
      <x:c r="AB130" s="101"/>
      <x:c r="AC130" s="101"/>
      <x:c r="AD130" s="101"/>
      <x:c r="AE130" s="101"/>
    </x:row>
    <x:row r="131">
      <x:c r="A131" s="101"/>
      <x:c r="B131" s="101"/>
      <x:c r="C131" s="101"/>
      <x:c r="D131" s="101"/>
      <x:c r="E131" s="101"/>
      <x:c r="F131" s="101"/>
      <x:c r="G131" s="101"/>
      <x:c r="H131" s="101"/>
      <x:c r="I131" s="101"/>
      <x:c r="J131" s="101"/>
      <x:c r="K131" s="101"/>
      <x:c r="L131" s="101"/>
      <x:c r="M131" s="101"/>
      <x:c r="N131" s="101"/>
      <x:c r="O131" s="101"/>
      <x:c r="P131" s="101"/>
      <x:c r="Q131" s="101"/>
      <x:c r="R131" s="101"/>
      <x:c r="S131" s="101"/>
      <x:c r="T131" s="101"/>
      <x:c r="U131" s="101"/>
      <x:c r="V131" s="101"/>
      <x:c r="W131" s="101"/>
      <x:c r="X131" s="101"/>
      <x:c r="Y131" s="101"/>
      <x:c r="Z131" s="101"/>
      <x:c r="AA131" s="101"/>
      <x:c r="AB131" s="101"/>
      <x:c r="AC131" s="101"/>
      <x:c r="AD131" s="101"/>
      <x:c r="AE131" s="101"/>
    </x:row>
    <x:row r="132">
      <x:c r="A132" s="101"/>
      <x:c r="B132" s="101"/>
      <x:c r="C132" s="101"/>
      <x:c r="D132" s="101"/>
      <x:c r="E132" s="101"/>
      <x:c r="F132" s="101"/>
      <x:c r="G132" s="101"/>
      <x:c r="H132" s="101"/>
      <x:c r="I132" s="101"/>
      <x:c r="J132" s="101"/>
      <x:c r="K132" s="101"/>
      <x:c r="L132" s="101"/>
      <x:c r="M132" s="101"/>
      <x:c r="N132" s="101"/>
      <x:c r="O132" s="101"/>
      <x:c r="P132" s="101"/>
      <x:c r="Q132" s="101"/>
      <x:c r="R132" s="101"/>
      <x:c r="S132" s="101"/>
      <x:c r="T132" s="101"/>
      <x:c r="U132" s="101"/>
      <x:c r="V132" s="101"/>
      <x:c r="W132" s="101"/>
      <x:c r="X132" s="101"/>
      <x:c r="Y132" s="101"/>
      <x:c r="Z132" s="101"/>
      <x:c r="AA132" s="101"/>
      <x:c r="AB132" s="101"/>
      <x:c r="AC132" s="101"/>
      <x:c r="AD132" s="101"/>
      <x:c r="AE132" s="101"/>
    </x:row>
    <x:row r="133">
      <x:c r="A133" s="101"/>
      <x:c r="B133" s="101"/>
      <x:c r="C133" s="101"/>
      <x:c r="D133" s="101"/>
      <x:c r="E133" s="101"/>
      <x:c r="F133" s="101"/>
      <x:c r="G133" s="101"/>
      <x:c r="H133" s="101"/>
      <x:c r="I133" s="101"/>
      <x:c r="J133" s="101"/>
      <x:c r="K133" s="101"/>
      <x:c r="L133" s="101"/>
      <x:c r="M133" s="101"/>
      <x:c r="N133" s="101"/>
      <x:c r="O133" s="101"/>
      <x:c r="P133" s="101"/>
      <x:c r="Q133" s="101"/>
      <x:c r="R133" s="101"/>
      <x:c r="S133" s="101"/>
      <x:c r="T133" s="101"/>
      <x:c r="U133" s="101"/>
      <x:c r="V133" s="101"/>
      <x:c r="W133" s="101"/>
      <x:c r="X133" s="101"/>
      <x:c r="Y133" s="101"/>
      <x:c r="Z133" s="101"/>
      <x:c r="AA133" s="101"/>
      <x:c r="AB133" s="101"/>
      <x:c r="AC133" s="101"/>
      <x:c r="AD133" s="101"/>
      <x:c r="AE133" s="101"/>
    </x:row>
    <x:row r="134">
      <x:c r="A134" s="101"/>
      <x:c r="B134" s="101"/>
      <x:c r="C134" s="101"/>
      <x:c r="D134" s="101"/>
      <x:c r="E134" s="101"/>
      <x:c r="F134" s="101"/>
      <x:c r="G134" s="101"/>
      <x:c r="H134" s="101"/>
      <x:c r="I134" s="101"/>
      <x:c r="J134" s="101"/>
      <x:c r="K134" s="101"/>
      <x:c r="L134" s="101"/>
      <x:c r="M134" s="101"/>
      <x:c r="N134" s="101"/>
      <x:c r="O134" s="101"/>
      <x:c r="P134" s="101"/>
      <x:c r="Q134" s="101"/>
      <x:c r="R134" s="101"/>
      <x:c r="S134" s="101"/>
      <x:c r="T134" s="101"/>
      <x:c r="U134" s="101"/>
      <x:c r="V134" s="101"/>
      <x:c r="W134" s="101"/>
      <x:c r="X134" s="101"/>
      <x:c r="Y134" s="101"/>
      <x:c r="Z134" s="101"/>
      <x:c r="AA134" s="101"/>
      <x:c r="AB134" s="101"/>
      <x:c r="AC134" s="101"/>
      <x:c r="AD134" s="101"/>
      <x:c r="AE134" s="101"/>
    </x:row>
    <x:row r="135">
      <x:c r="A135" s="101"/>
      <x:c r="B135" s="101"/>
      <x:c r="C135" s="101"/>
      <x:c r="D135" s="101"/>
      <x:c r="E135" s="101"/>
      <x:c r="F135" s="101"/>
      <x:c r="G135" s="101"/>
      <x:c r="H135" s="101"/>
      <x:c r="I135" s="101"/>
      <x:c r="J135" s="101"/>
      <x:c r="K135" s="101"/>
      <x:c r="L135" s="101"/>
      <x:c r="M135" s="101"/>
      <x:c r="N135" s="101"/>
      <x:c r="O135" s="101"/>
      <x:c r="P135" s="101"/>
      <x:c r="Q135" s="101"/>
      <x:c r="R135" s="101"/>
      <x:c r="S135" s="101"/>
      <x:c r="T135" s="101"/>
      <x:c r="U135" s="101"/>
      <x:c r="V135" s="101"/>
      <x:c r="W135" s="101"/>
      <x:c r="X135" s="101"/>
      <x:c r="Y135" s="101"/>
      <x:c r="Z135" s="101"/>
      <x:c r="AA135" s="101"/>
      <x:c r="AB135" s="101"/>
      <x:c r="AC135" s="101"/>
      <x:c r="AD135" s="101"/>
      <x:c r="AE135" s="101"/>
    </x:row>
    <x:row r="136">
      <x:c r="A136" s="101"/>
      <x:c r="B136" s="101"/>
      <x:c r="C136" s="101"/>
      <x:c r="D136" s="101"/>
      <x:c r="E136" s="101"/>
      <x:c r="F136" s="101"/>
      <x:c r="G136" s="101"/>
      <x:c r="H136" s="101"/>
      <x:c r="I136" s="101"/>
      <x:c r="J136" s="101"/>
      <x:c r="K136" s="101"/>
      <x:c r="L136" s="101"/>
      <x:c r="M136" s="101"/>
      <x:c r="N136" s="101"/>
      <x:c r="O136" s="101"/>
      <x:c r="P136" s="101"/>
      <x:c r="Q136" s="101"/>
      <x:c r="R136" s="101"/>
      <x:c r="S136" s="101"/>
      <x:c r="T136" s="101"/>
      <x:c r="U136" s="101"/>
      <x:c r="V136" s="101"/>
      <x:c r="W136" s="101"/>
      <x:c r="X136" s="101"/>
      <x:c r="Y136" s="101"/>
      <x:c r="Z136" s="101"/>
      <x:c r="AA136" s="101"/>
      <x:c r="AB136" s="101"/>
      <x:c r="AC136" s="101"/>
      <x:c r="AD136" s="101"/>
      <x:c r="AE136" s="101"/>
    </x:row>
    <x:row r="137">
      <x:c r="A137" s="101"/>
      <x:c r="B137" s="101"/>
      <x:c r="C137" s="101"/>
      <x:c r="D137" s="101"/>
      <x:c r="E137" s="101"/>
      <x:c r="F137" s="101"/>
      <x:c r="G137" s="101"/>
      <x:c r="H137" s="101"/>
      <x:c r="I137" s="101"/>
      <x:c r="J137" s="101"/>
      <x:c r="K137" s="101"/>
      <x:c r="L137" s="101"/>
      <x:c r="M137" s="101"/>
      <x:c r="N137" s="101"/>
      <x:c r="O137" s="101"/>
      <x:c r="P137" s="101"/>
      <x:c r="Q137" s="101"/>
      <x:c r="R137" s="101"/>
      <x:c r="S137" s="101"/>
      <x:c r="T137" s="101"/>
      <x:c r="U137" s="101"/>
      <x:c r="V137" s="101"/>
      <x:c r="W137" s="101"/>
      <x:c r="X137" s="101"/>
      <x:c r="Y137" s="101"/>
      <x:c r="Z137" s="101"/>
      <x:c r="AA137" s="101"/>
      <x:c r="AB137" s="101"/>
      <x:c r="AC137" s="101"/>
      <x:c r="AD137" s="101"/>
      <x:c r="AE137" s="101"/>
    </x:row>
    <x:row r="138">
      <x:c r="A138" s="101"/>
      <x:c r="B138" s="101"/>
      <x:c r="C138" s="101"/>
      <x:c r="D138" s="101"/>
      <x:c r="E138" s="101"/>
      <x:c r="F138" s="101"/>
      <x:c r="G138" s="101"/>
      <x:c r="H138" s="101"/>
      <x:c r="I138" s="101"/>
      <x:c r="J138" s="101"/>
      <x:c r="K138" s="101"/>
      <x:c r="L138" s="101"/>
      <x:c r="M138" s="101"/>
      <x:c r="N138" s="101"/>
      <x:c r="O138" s="101"/>
      <x:c r="P138" s="101"/>
      <x:c r="Q138" s="101"/>
      <x:c r="R138" s="101"/>
      <x:c r="S138" s="101"/>
      <x:c r="T138" s="101"/>
      <x:c r="U138" s="101"/>
      <x:c r="V138" s="101"/>
      <x:c r="W138" s="101"/>
      <x:c r="X138" s="101"/>
      <x:c r="Y138" s="101"/>
      <x:c r="Z138" s="101"/>
      <x:c r="AA138" s="101"/>
      <x:c r="AB138" s="101"/>
      <x:c r="AC138" s="101"/>
      <x:c r="AD138" s="101"/>
      <x:c r="AE138" s="101"/>
    </x:row>
    <x:row r="139">
      <x:c r="A139" s="101"/>
      <x:c r="B139" s="101"/>
      <x:c r="C139" s="101"/>
      <x:c r="D139" s="101"/>
      <x:c r="E139" s="101"/>
      <x:c r="F139" s="101"/>
      <x:c r="G139" s="101"/>
      <x:c r="H139" s="101"/>
      <x:c r="I139" s="101"/>
      <x:c r="J139" s="101"/>
      <x:c r="K139" s="101"/>
      <x:c r="L139" s="101"/>
      <x:c r="M139" s="101"/>
      <x:c r="N139" s="101"/>
      <x:c r="O139" s="101"/>
      <x:c r="P139" s="101"/>
      <x:c r="Q139" s="101"/>
      <x:c r="R139" s="101"/>
      <x:c r="S139" s="101"/>
      <x:c r="T139" s="101"/>
      <x:c r="U139" s="101"/>
      <x:c r="V139" s="101"/>
      <x:c r="W139" s="101"/>
      <x:c r="X139" s="101"/>
      <x:c r="Y139" s="101"/>
      <x:c r="Z139" s="101"/>
      <x:c r="AA139" s="101"/>
      <x:c r="AB139" s="101"/>
      <x:c r="AC139" s="101"/>
      <x:c r="AD139" s="101"/>
      <x:c r="AE139" s="101"/>
    </x:row>
    <x:row r="140">
      <x:c r="A140" s="101"/>
      <x:c r="B140" s="101"/>
      <x:c r="C140" s="101"/>
      <x:c r="D140" s="101"/>
      <x:c r="E140" s="101"/>
      <x:c r="F140" s="101"/>
      <x:c r="G140" s="101"/>
      <x:c r="H140" s="101"/>
      <x:c r="I140" s="101"/>
      <x:c r="J140" s="101"/>
      <x:c r="K140" s="101"/>
      <x:c r="L140" s="101"/>
      <x:c r="M140" s="101"/>
      <x:c r="N140" s="101"/>
      <x:c r="O140" s="101"/>
      <x:c r="P140" s="101"/>
      <x:c r="Q140" s="101"/>
      <x:c r="R140" s="101"/>
      <x:c r="S140" s="101"/>
      <x:c r="T140" s="101"/>
      <x:c r="U140" s="101"/>
      <x:c r="V140" s="101"/>
      <x:c r="W140" s="101"/>
      <x:c r="X140" s="101"/>
      <x:c r="Y140" s="101"/>
      <x:c r="Z140" s="101"/>
      <x:c r="AA140" s="101"/>
      <x:c r="AB140" s="101"/>
      <x:c r="AC140" s="101"/>
      <x:c r="AD140" s="101"/>
      <x:c r="AE140" s="101"/>
    </x:row>
    <x:row r="141">
      <x:c r="A141" s="101"/>
      <x:c r="B141" s="101"/>
      <x:c r="C141" s="101"/>
      <x:c r="D141" s="101"/>
      <x:c r="E141" s="101"/>
      <x:c r="F141" s="101"/>
      <x:c r="G141" s="101"/>
      <x:c r="H141" s="101"/>
      <x:c r="I141" s="101"/>
      <x:c r="J141" s="101"/>
      <x:c r="K141" s="101"/>
      <x:c r="L141" s="101"/>
      <x:c r="M141" s="101"/>
      <x:c r="N141" s="101"/>
      <x:c r="O141" s="101"/>
      <x:c r="P141" s="101"/>
      <x:c r="Q141" s="101"/>
      <x:c r="R141" s="101"/>
      <x:c r="S141" s="101"/>
      <x:c r="T141" s="101"/>
      <x:c r="U141" s="101"/>
      <x:c r="V141" s="101"/>
      <x:c r="W141" s="101"/>
      <x:c r="X141" s="101"/>
      <x:c r="Y141" s="101"/>
      <x:c r="Z141" s="101"/>
      <x:c r="AA141" s="101"/>
      <x:c r="AB141" s="101"/>
      <x:c r="AC141" s="101"/>
      <x:c r="AD141" s="101"/>
      <x:c r="AE141" s="101"/>
    </x:row>
    <x:row r="142">
      <x:c r="A142" s="101"/>
      <x:c r="B142" s="101"/>
      <x:c r="C142" s="101"/>
      <x:c r="D142" s="101"/>
      <x:c r="E142" s="101"/>
      <x:c r="F142" s="101"/>
      <x:c r="G142" s="101"/>
      <x:c r="H142" s="101"/>
      <x:c r="I142" s="101"/>
      <x:c r="J142" s="101"/>
      <x:c r="K142" s="101"/>
      <x:c r="L142" s="101"/>
      <x:c r="M142" s="101"/>
      <x:c r="N142" s="101"/>
      <x:c r="O142" s="101"/>
      <x:c r="P142" s="101"/>
      <x:c r="Q142" s="101"/>
      <x:c r="R142" s="101"/>
      <x:c r="S142" s="101"/>
      <x:c r="T142" s="101"/>
      <x:c r="U142" s="101"/>
      <x:c r="V142" s="101"/>
      <x:c r="W142" s="101"/>
      <x:c r="X142" s="101"/>
      <x:c r="Y142" s="101"/>
      <x:c r="Z142" s="101"/>
      <x:c r="AA142" s="101"/>
      <x:c r="AB142" s="101"/>
      <x:c r="AC142" s="101"/>
      <x:c r="AD142" s="101"/>
      <x:c r="AE142" s="101"/>
    </x:row>
    <x:row r="143">
      <x:c r="A143" s="101"/>
      <x:c r="B143" s="101"/>
      <x:c r="C143" s="101"/>
      <x:c r="D143" s="101"/>
      <x:c r="E143" s="101"/>
      <x:c r="F143" s="101"/>
      <x:c r="G143" s="101"/>
      <x:c r="H143" s="101"/>
      <x:c r="I143" s="101"/>
      <x:c r="J143" s="101"/>
      <x:c r="K143" s="101"/>
      <x:c r="L143" s="101"/>
      <x:c r="M143" s="101"/>
      <x:c r="N143" s="101"/>
      <x:c r="O143" s="101"/>
      <x:c r="P143" s="101"/>
      <x:c r="Q143" s="101"/>
      <x:c r="R143" s="101"/>
      <x:c r="S143" s="101"/>
      <x:c r="T143" s="101"/>
      <x:c r="U143" s="101"/>
      <x:c r="V143" s="101"/>
      <x:c r="W143" s="101"/>
      <x:c r="X143" s="101"/>
      <x:c r="Y143" s="101"/>
      <x:c r="Z143" s="101"/>
      <x:c r="AA143" s="101"/>
      <x:c r="AB143" s="101"/>
      <x:c r="AC143" s="101"/>
      <x:c r="AD143" s="101"/>
      <x:c r="AE143" s="101"/>
    </x:row>
    <x:row r="144">
      <x:c r="A144" s="101"/>
      <x:c r="B144" s="101"/>
      <x:c r="C144" s="101"/>
      <x:c r="D144" s="101"/>
      <x:c r="E144" s="101"/>
      <x:c r="F144" s="101"/>
      <x:c r="G144" s="101"/>
      <x:c r="H144" s="101"/>
      <x:c r="I144" s="101"/>
      <x:c r="J144" s="101"/>
      <x:c r="K144" s="101"/>
      <x:c r="L144" s="101"/>
      <x:c r="M144" s="101"/>
      <x:c r="N144" s="101"/>
      <x:c r="O144" s="101"/>
      <x:c r="P144" s="101"/>
      <x:c r="Q144" s="101"/>
      <x:c r="R144" s="101"/>
      <x:c r="S144" s="101"/>
      <x:c r="T144" s="101"/>
      <x:c r="U144" s="101"/>
      <x:c r="V144" s="101"/>
      <x:c r="W144" s="101"/>
      <x:c r="X144" s="101"/>
      <x:c r="Y144" s="101"/>
      <x:c r="Z144" s="101"/>
      <x:c r="AA144" s="101"/>
      <x:c r="AB144" s="101"/>
      <x:c r="AC144" s="101"/>
      <x:c r="AD144" s="101"/>
      <x:c r="AE144" s="101"/>
    </x:row>
    <x:row r="145">
      <x:c r="A145" s="101"/>
      <x:c r="B145" s="101"/>
      <x:c r="C145" s="101"/>
      <x:c r="D145" s="101"/>
      <x:c r="E145" s="101"/>
      <x:c r="F145" s="101"/>
      <x:c r="G145" s="101"/>
      <x:c r="H145" s="101"/>
      <x:c r="I145" s="101"/>
      <x:c r="J145" s="101"/>
      <x:c r="K145" s="101"/>
      <x:c r="L145" s="101"/>
      <x:c r="M145" s="101"/>
      <x:c r="N145" s="101"/>
      <x:c r="O145" s="101"/>
      <x:c r="P145" s="101"/>
      <x:c r="Q145" s="101"/>
      <x:c r="R145" s="101"/>
      <x:c r="S145" s="101"/>
      <x:c r="T145" s="101"/>
      <x:c r="U145" s="101"/>
      <x:c r="V145" s="101"/>
      <x:c r="W145" s="101"/>
      <x:c r="X145" s="101"/>
      <x:c r="Y145" s="101"/>
      <x:c r="Z145" s="101"/>
      <x:c r="AA145" s="101"/>
      <x:c r="AB145" s="101"/>
      <x:c r="AC145" s="101"/>
      <x:c r="AD145" s="101"/>
      <x:c r="AE145" s="101"/>
    </x:row>
    <x:row r="146">
      <x:c r="A146" s="101"/>
      <x:c r="B146" s="101"/>
      <x:c r="C146" s="101"/>
      <x:c r="D146" s="101"/>
      <x:c r="E146" s="101"/>
      <x:c r="F146" s="101"/>
      <x:c r="G146" s="101"/>
      <x:c r="H146" s="101"/>
      <x:c r="I146" s="101"/>
      <x:c r="J146" s="101"/>
      <x:c r="K146" s="101"/>
      <x:c r="L146" s="101"/>
      <x:c r="M146" s="101"/>
      <x:c r="N146" s="101"/>
      <x:c r="O146" s="101"/>
      <x:c r="P146" s="101"/>
      <x:c r="Q146" s="101"/>
      <x:c r="R146" s="101"/>
      <x:c r="S146" s="101"/>
      <x:c r="T146" s="101"/>
      <x:c r="U146" s="101"/>
      <x:c r="V146" s="101"/>
      <x:c r="W146" s="101"/>
      <x:c r="X146" s="101"/>
      <x:c r="Y146" s="101"/>
      <x:c r="Z146" s="101"/>
      <x:c r="AA146" s="101"/>
      <x:c r="AB146" s="101"/>
      <x:c r="AC146" s="101"/>
      <x:c r="AD146" s="101"/>
      <x:c r="AE146" s="101"/>
    </x:row>
    <x:row r="147">
      <x:c r="A147" s="101"/>
      <x:c r="B147" s="101"/>
      <x:c r="C147" s="101"/>
      <x:c r="D147" s="101"/>
      <x:c r="E147" s="101"/>
      <x:c r="F147" s="101"/>
      <x:c r="G147" s="101"/>
      <x:c r="H147" s="101"/>
      <x:c r="I147" s="101"/>
      <x:c r="J147" s="101"/>
      <x:c r="K147" s="101"/>
      <x:c r="L147" s="101"/>
      <x:c r="M147" s="101"/>
      <x:c r="N147" s="101"/>
      <x:c r="O147" s="101"/>
      <x:c r="P147" s="101"/>
      <x:c r="Q147" s="101"/>
      <x:c r="R147" s="101"/>
      <x:c r="S147" s="101"/>
      <x:c r="T147" s="101"/>
      <x:c r="U147" s="101"/>
      <x:c r="V147" s="101"/>
      <x:c r="W147" s="101"/>
      <x:c r="X147" s="101"/>
      <x:c r="Y147" s="101"/>
      <x:c r="Z147" s="101"/>
      <x:c r="AA147" s="101"/>
      <x:c r="AB147" s="101"/>
      <x:c r="AC147" s="101"/>
      <x:c r="AD147" s="101"/>
      <x:c r="AE147" s="101"/>
    </x:row>
    <x:row r="148">
      <x:c r="A148" s="101"/>
      <x:c r="B148" s="101"/>
      <x:c r="C148" s="101"/>
      <x:c r="D148" s="101"/>
      <x:c r="E148" s="101"/>
      <x:c r="F148" s="101"/>
      <x:c r="G148" s="101"/>
      <x:c r="H148" s="101"/>
      <x:c r="I148" s="101"/>
      <x:c r="J148" s="101"/>
      <x:c r="K148" s="101"/>
      <x:c r="L148" s="101"/>
      <x:c r="M148" s="101"/>
      <x:c r="N148" s="101"/>
      <x:c r="O148" s="101"/>
      <x:c r="P148" s="101"/>
      <x:c r="Q148" s="101"/>
      <x:c r="R148" s="101"/>
      <x:c r="S148" s="101"/>
      <x:c r="T148" s="101"/>
      <x:c r="U148" s="101"/>
      <x:c r="V148" s="101"/>
      <x:c r="W148" s="101"/>
      <x:c r="X148" s="101"/>
      <x:c r="Y148" s="101"/>
      <x:c r="Z148" s="101"/>
      <x:c r="AA148" s="101"/>
      <x:c r="AB148" s="101"/>
      <x:c r="AC148" s="101"/>
      <x:c r="AD148" s="101"/>
      <x:c r="AE148" s="101"/>
    </x:row>
    <x:row r="149">
      <x:c r="A149" s="101"/>
      <x:c r="B149" s="101"/>
      <x:c r="C149" s="101"/>
      <x:c r="D149" s="101"/>
      <x:c r="E149" s="101"/>
      <x:c r="F149" s="101"/>
      <x:c r="G149" s="101"/>
      <x:c r="H149" s="101"/>
      <x:c r="I149" s="101"/>
      <x:c r="J149" s="101"/>
      <x:c r="K149" s="101"/>
      <x:c r="L149" s="101"/>
      <x:c r="M149" s="101"/>
      <x:c r="N149" s="101"/>
      <x:c r="O149" s="101"/>
      <x:c r="P149" s="101"/>
      <x:c r="Q149" s="101"/>
      <x:c r="R149" s="101"/>
      <x:c r="S149" s="101"/>
      <x:c r="T149" s="101"/>
      <x:c r="U149" s="101"/>
      <x:c r="V149" s="101"/>
      <x:c r="W149" s="101"/>
      <x:c r="X149" s="101"/>
      <x:c r="Y149" s="101"/>
      <x:c r="Z149" s="101"/>
      <x:c r="AA149" s="101"/>
      <x:c r="AB149" s="101"/>
      <x:c r="AC149" s="101"/>
      <x:c r="AD149" s="101"/>
      <x:c r="AE149" s="101"/>
    </x:row>
    <x:row r="150">
      <x:c r="A150" s="101"/>
      <x:c r="B150" s="101"/>
      <x:c r="C150" s="101"/>
      <x:c r="D150" s="101"/>
      <x:c r="E150" s="101"/>
      <x:c r="F150" s="101"/>
      <x:c r="G150" s="101"/>
      <x:c r="H150" s="101"/>
      <x:c r="I150" s="101"/>
      <x:c r="J150" s="101"/>
      <x:c r="K150" s="101"/>
      <x:c r="L150" s="101"/>
      <x:c r="M150" s="101"/>
      <x:c r="N150" s="101"/>
      <x:c r="O150" s="101"/>
      <x:c r="P150" s="101"/>
      <x:c r="Q150" s="101"/>
      <x:c r="R150" s="101"/>
      <x:c r="S150" s="101"/>
      <x:c r="T150" s="101"/>
      <x:c r="U150" s="101"/>
      <x:c r="V150" s="101"/>
      <x:c r="W150" s="101"/>
      <x:c r="X150" s="101"/>
      <x:c r="Y150" s="101"/>
      <x:c r="Z150" s="101"/>
      <x:c r="AA150" s="101"/>
      <x:c r="AB150" s="101"/>
      <x:c r="AC150" s="101"/>
      <x:c r="AD150" s="101"/>
      <x:c r="AE150" s="101"/>
    </x:row>
    <x:row r="151">
      <x:c r="A151" s="101"/>
      <x:c r="B151" s="101"/>
      <x:c r="C151" s="101"/>
      <x:c r="D151" s="101"/>
      <x:c r="E151" s="101"/>
      <x:c r="F151" s="101"/>
      <x:c r="G151" s="101"/>
      <x:c r="H151" s="101"/>
      <x:c r="I151" s="101"/>
      <x:c r="J151" s="101"/>
      <x:c r="K151" s="101"/>
      <x:c r="L151" s="101"/>
      <x:c r="M151" s="101"/>
      <x:c r="N151" s="101"/>
      <x:c r="O151" s="101"/>
      <x:c r="P151" s="101"/>
      <x:c r="Q151" s="101"/>
      <x:c r="R151" s="101"/>
      <x:c r="S151" s="101"/>
      <x:c r="T151" s="101"/>
      <x:c r="U151" s="101"/>
      <x:c r="V151" s="101"/>
      <x:c r="W151" s="101"/>
      <x:c r="X151" s="101"/>
      <x:c r="Y151" s="101"/>
      <x:c r="Z151" s="101"/>
      <x:c r="AA151" s="101"/>
      <x:c r="AB151" s="101"/>
      <x:c r="AC151" s="101"/>
      <x:c r="AD151" s="101"/>
      <x:c r="AE151" s="101"/>
    </x:row>
    <x:row r="152">
      <x:c r="A152" s="101"/>
      <x:c r="B152" s="101"/>
      <x:c r="C152" s="101"/>
      <x:c r="D152" s="101"/>
      <x:c r="E152" s="101"/>
      <x:c r="F152" s="101"/>
      <x:c r="G152" s="101"/>
      <x:c r="H152" s="101"/>
      <x:c r="I152" s="101"/>
      <x:c r="J152" s="101"/>
      <x:c r="K152" s="101"/>
      <x:c r="L152" s="101"/>
      <x:c r="M152" s="101"/>
      <x:c r="N152" s="101"/>
      <x:c r="O152" s="101"/>
      <x:c r="P152" s="101"/>
      <x:c r="Q152" s="101"/>
      <x:c r="R152" s="101"/>
      <x:c r="S152" s="101"/>
      <x:c r="T152" s="101"/>
      <x:c r="U152" s="101"/>
      <x:c r="V152" s="101"/>
      <x:c r="W152" s="101"/>
      <x:c r="X152" s="101"/>
      <x:c r="Y152" s="101"/>
      <x:c r="Z152" s="101"/>
      <x:c r="AA152" s="101"/>
      <x:c r="AB152" s="101"/>
      <x:c r="AC152" s="101"/>
      <x:c r="AD152" s="101"/>
      <x:c r="AE152" s="101"/>
    </x:row>
    <x:row r="153">
      <x:c r="A153" s="101"/>
      <x:c r="B153" s="101"/>
      <x:c r="C153" s="101"/>
      <x:c r="D153" s="101"/>
      <x:c r="E153" s="101"/>
      <x:c r="F153" s="101"/>
      <x:c r="G153" s="101"/>
      <x:c r="H153" s="101"/>
      <x:c r="I153" s="101"/>
      <x:c r="J153" s="101"/>
      <x:c r="K153" s="101"/>
      <x:c r="L153" s="101"/>
      <x:c r="M153" s="101"/>
      <x:c r="N153" s="101"/>
      <x:c r="O153" s="101"/>
      <x:c r="P153" s="101"/>
      <x:c r="Q153" s="101"/>
      <x:c r="R153" s="101"/>
      <x:c r="S153" s="101"/>
      <x:c r="T153" s="101"/>
      <x:c r="U153" s="101"/>
      <x:c r="V153" s="101"/>
      <x:c r="W153" s="101"/>
      <x:c r="X153" s="101"/>
      <x:c r="Y153" s="101"/>
      <x:c r="Z153" s="101"/>
      <x:c r="AA153" s="101"/>
      <x:c r="AB153" s="101"/>
      <x:c r="AC153" s="101"/>
      <x:c r="AD153" s="101"/>
      <x:c r="AE153" s="101"/>
    </x:row>
    <x:row r="154">
      <x:c r="A154" s="101"/>
      <x:c r="B154" s="101"/>
      <x:c r="C154" s="101"/>
      <x:c r="D154" s="101"/>
      <x:c r="E154" s="101"/>
      <x:c r="F154" s="101"/>
      <x:c r="G154" s="101"/>
      <x:c r="H154" s="101"/>
      <x:c r="I154" s="101"/>
      <x:c r="J154" s="101"/>
      <x:c r="K154" s="101"/>
      <x:c r="L154" s="101"/>
      <x:c r="M154" s="101"/>
      <x:c r="N154" s="101"/>
      <x:c r="O154" s="101"/>
      <x:c r="P154" s="101"/>
      <x:c r="Q154" s="101"/>
      <x:c r="R154" s="101"/>
      <x:c r="S154" s="101"/>
      <x:c r="T154" s="101"/>
      <x:c r="U154" s="101"/>
      <x:c r="V154" s="101"/>
      <x:c r="W154" s="101"/>
      <x:c r="X154" s="101"/>
      <x:c r="Y154" s="101"/>
      <x:c r="Z154" s="101"/>
      <x:c r="AA154" s="101"/>
      <x:c r="AB154" s="101"/>
      <x:c r="AC154" s="101"/>
      <x:c r="AD154" s="101"/>
      <x:c r="AE154" s="101"/>
    </x:row>
    <x:row r="155">
      <x:c r="A155" s="101"/>
      <x:c r="B155" s="101"/>
      <x:c r="C155" s="101"/>
      <x:c r="D155" s="101"/>
      <x:c r="E155" s="101"/>
      <x:c r="F155" s="101"/>
      <x:c r="G155" s="101"/>
      <x:c r="H155" s="101"/>
      <x:c r="I155" s="101"/>
      <x:c r="J155" s="101"/>
      <x:c r="K155" s="101"/>
      <x:c r="L155" s="101"/>
      <x:c r="M155" s="101"/>
      <x:c r="N155" s="101"/>
      <x:c r="O155" s="101"/>
      <x:c r="P155" s="101"/>
      <x:c r="Q155" s="101"/>
      <x:c r="R155" s="101"/>
      <x:c r="S155" s="101"/>
      <x:c r="T155" s="101"/>
      <x:c r="U155" s="101"/>
      <x:c r="V155" s="101"/>
      <x:c r="W155" s="101"/>
      <x:c r="X155" s="101"/>
      <x:c r="Y155" s="101"/>
      <x:c r="Z155" s="101"/>
      <x:c r="AA155" s="101"/>
      <x:c r="AB155" s="101"/>
      <x:c r="AC155" s="101"/>
      <x:c r="AD155" s="101"/>
      <x:c r="AE155" s="101"/>
    </x:row>
    <x:row r="156">
      <x:c r="A156" s="101"/>
      <x:c r="B156" s="101"/>
      <x:c r="C156" s="101"/>
      <x:c r="D156" s="101"/>
      <x:c r="E156" s="101"/>
      <x:c r="F156" s="101"/>
      <x:c r="G156" s="101"/>
      <x:c r="H156" s="101"/>
      <x:c r="I156" s="101"/>
      <x:c r="J156" s="101"/>
      <x:c r="K156" s="101"/>
      <x:c r="L156" s="101"/>
      <x:c r="M156" s="101"/>
      <x:c r="N156" s="101"/>
      <x:c r="O156" s="101"/>
      <x:c r="P156" s="101"/>
      <x:c r="Q156" s="101"/>
      <x:c r="R156" s="101"/>
      <x:c r="S156" s="101"/>
      <x:c r="T156" s="101"/>
      <x:c r="U156" s="101"/>
      <x:c r="V156" s="101"/>
      <x:c r="W156" s="101"/>
      <x:c r="X156" s="101"/>
      <x:c r="Y156" s="101"/>
      <x:c r="Z156" s="101"/>
      <x:c r="AA156" s="101"/>
      <x:c r="AB156" s="101"/>
      <x:c r="AC156" s="101"/>
      <x:c r="AD156" s="101"/>
      <x:c r="AE156" s="101"/>
    </x:row>
    <x:row r="157">
      <x:c r="A157" s="101"/>
      <x:c r="B157" s="101"/>
      <x:c r="C157" s="101"/>
      <x:c r="D157" s="101"/>
      <x:c r="E157" s="101"/>
      <x:c r="F157" s="101"/>
      <x:c r="G157" s="101"/>
      <x:c r="H157" s="101"/>
      <x:c r="I157" s="101"/>
      <x:c r="J157" s="101"/>
      <x:c r="K157" s="101"/>
      <x:c r="L157" s="101"/>
      <x:c r="M157" s="101"/>
      <x:c r="N157" s="101"/>
      <x:c r="O157" s="101"/>
      <x:c r="P157" s="101"/>
      <x:c r="Q157" s="101"/>
      <x:c r="R157" s="101"/>
      <x:c r="S157" s="101"/>
      <x:c r="T157" s="101"/>
      <x:c r="U157" s="101"/>
      <x:c r="V157" s="101"/>
      <x:c r="W157" s="101"/>
      <x:c r="X157" s="101"/>
      <x:c r="Y157" s="101"/>
      <x:c r="Z157" s="101"/>
      <x:c r="AA157" s="101"/>
      <x:c r="AB157" s="101"/>
      <x:c r="AC157" s="101"/>
      <x:c r="AD157" s="101"/>
      <x:c r="AE157" s="101"/>
    </x:row>
    <x:row r="158">
      <x:c r="A158" s="101"/>
      <x:c r="B158" s="101"/>
      <x:c r="C158" s="101"/>
      <x:c r="D158" s="101"/>
      <x:c r="E158" s="101"/>
      <x:c r="F158" s="101"/>
      <x:c r="G158" s="101"/>
      <x:c r="H158" s="101"/>
      <x:c r="I158" s="101"/>
      <x:c r="J158" s="101"/>
      <x:c r="K158" s="101"/>
      <x:c r="L158" s="101"/>
      <x:c r="M158" s="101"/>
      <x:c r="N158" s="101"/>
      <x:c r="O158" s="101"/>
      <x:c r="P158" s="101"/>
      <x:c r="Q158" s="101"/>
      <x:c r="R158" s="101"/>
      <x:c r="S158" s="101"/>
      <x:c r="T158" s="101"/>
      <x:c r="U158" s="101"/>
      <x:c r="V158" s="101"/>
      <x:c r="W158" s="101"/>
      <x:c r="X158" s="101"/>
      <x:c r="Y158" s="101"/>
      <x:c r="Z158" s="101"/>
      <x:c r="AA158" s="101"/>
      <x:c r="AB158" s="101"/>
      <x:c r="AC158" s="101"/>
      <x:c r="AD158" s="101"/>
      <x:c r="AE158" s="101"/>
    </x:row>
    <x:row r="159">
      <x:c r="A159" s="101"/>
      <x:c r="B159" s="101"/>
      <x:c r="C159" s="101"/>
      <x:c r="D159" s="101"/>
      <x:c r="E159" s="101"/>
      <x:c r="F159" s="101"/>
      <x:c r="G159" s="101"/>
      <x:c r="H159" s="101"/>
      <x:c r="I159" s="101"/>
      <x:c r="J159" s="101"/>
      <x:c r="K159" s="101"/>
      <x:c r="L159" s="101"/>
      <x:c r="M159" s="101"/>
      <x:c r="N159" s="101"/>
      <x:c r="O159" s="101"/>
      <x:c r="P159" s="101"/>
      <x:c r="Q159" s="101"/>
      <x:c r="R159" s="101"/>
      <x:c r="S159" s="101"/>
      <x:c r="T159" s="101"/>
      <x:c r="U159" s="101"/>
      <x:c r="V159" s="101"/>
      <x:c r="W159" s="101"/>
      <x:c r="X159" s="101"/>
      <x:c r="Y159" s="101"/>
      <x:c r="Z159" s="101"/>
      <x:c r="AA159" s="101"/>
      <x:c r="AB159" s="101"/>
      <x:c r="AC159" s="101"/>
      <x:c r="AD159" s="101"/>
      <x:c r="AE159" s="101"/>
    </x:row>
    <x:row r="160">
      <x:c r="A160" s="101"/>
      <x:c r="B160" s="101"/>
      <x:c r="C160" s="101"/>
      <x:c r="D160" s="101"/>
      <x:c r="E160" s="101"/>
      <x:c r="F160" s="101"/>
      <x:c r="G160" s="101"/>
      <x:c r="H160" s="101"/>
      <x:c r="I160" s="101"/>
      <x:c r="J160" s="101"/>
      <x:c r="K160" s="101"/>
      <x:c r="L160" s="101"/>
      <x:c r="M160" s="101"/>
      <x:c r="N160" s="101"/>
      <x:c r="O160" s="101"/>
      <x:c r="P160" s="101"/>
      <x:c r="Q160" s="101"/>
      <x:c r="R160" s="101"/>
      <x:c r="S160" s="101"/>
      <x:c r="T160" s="101"/>
      <x:c r="U160" s="101"/>
      <x:c r="V160" s="101"/>
      <x:c r="W160" s="101"/>
      <x:c r="X160" s="101"/>
      <x:c r="Y160" s="101"/>
      <x:c r="Z160" s="101"/>
      <x:c r="AA160" s="101"/>
      <x:c r="AB160" s="101"/>
      <x:c r="AC160" s="101"/>
      <x:c r="AD160" s="101"/>
      <x:c r="AE160" s="101"/>
    </x:row>
    <x:row r="161">
      <x:c r="A161" s="101"/>
      <x:c r="B161" s="101"/>
      <x:c r="C161" s="101"/>
      <x:c r="D161" s="101"/>
      <x:c r="E161" s="101"/>
      <x:c r="F161" s="101"/>
      <x:c r="G161" s="101"/>
      <x:c r="H161" s="101"/>
      <x:c r="I161" s="101"/>
      <x:c r="J161" s="101"/>
      <x:c r="K161" s="101"/>
      <x:c r="L161" s="101"/>
      <x:c r="M161" s="101"/>
      <x:c r="N161" s="101"/>
      <x:c r="O161" s="101"/>
      <x:c r="P161" s="101"/>
      <x:c r="Q161" s="101"/>
      <x:c r="R161" s="101"/>
      <x:c r="S161" s="101"/>
      <x:c r="T161" s="101"/>
      <x:c r="U161" s="101"/>
      <x:c r="V161" s="101"/>
      <x:c r="W161" s="101"/>
      <x:c r="X161" s="101"/>
      <x:c r="Y161" s="101"/>
      <x:c r="Z161" s="101"/>
      <x:c r="AA161" s="101"/>
      <x:c r="AB161" s="101"/>
      <x:c r="AC161" s="101"/>
      <x:c r="AD161" s="101"/>
      <x:c r="AE161" s="101"/>
    </x:row>
    <x:row r="162">
      <x:c r="A162" s="101"/>
      <x:c r="B162" s="101"/>
      <x:c r="C162" s="101"/>
      <x:c r="D162" s="101"/>
      <x:c r="E162" s="101"/>
      <x:c r="F162" s="101"/>
      <x:c r="G162" s="101"/>
      <x:c r="H162" s="101"/>
      <x:c r="I162" s="101"/>
      <x:c r="J162" s="101"/>
      <x:c r="K162" s="101"/>
      <x:c r="L162" s="101"/>
      <x:c r="M162" s="101"/>
      <x:c r="N162" s="101"/>
      <x:c r="O162" s="101"/>
      <x:c r="P162" s="101"/>
      <x:c r="Q162" s="101"/>
      <x:c r="R162" s="101"/>
      <x:c r="S162" s="101"/>
      <x:c r="T162" s="101"/>
      <x:c r="U162" s="101"/>
      <x:c r="V162" s="101"/>
      <x:c r="W162" s="101"/>
      <x:c r="X162" s="101"/>
      <x:c r="Y162" s="101"/>
      <x:c r="Z162" s="101"/>
      <x:c r="AA162" s="101"/>
      <x:c r="AB162" s="101"/>
      <x:c r="AC162" s="101"/>
      <x:c r="AD162" s="101"/>
      <x:c r="AE162" s="101"/>
    </x:row>
    <x:row r="163">
      <x:c r="A163" s="101"/>
      <x:c r="B163" s="101"/>
      <x:c r="C163" s="101"/>
      <x:c r="D163" s="101"/>
      <x:c r="E163" s="101"/>
      <x:c r="F163" s="101"/>
      <x:c r="G163" s="101"/>
      <x:c r="H163" s="101"/>
      <x:c r="I163" s="101"/>
      <x:c r="J163" s="101"/>
      <x:c r="K163" s="101"/>
      <x:c r="L163" s="101"/>
      <x:c r="M163" s="101"/>
      <x:c r="N163" s="101"/>
      <x:c r="O163" s="101"/>
      <x:c r="P163" s="101"/>
      <x:c r="Q163" s="101"/>
      <x:c r="R163" s="101"/>
      <x:c r="S163" s="101"/>
      <x:c r="T163" s="101"/>
      <x:c r="U163" s="101"/>
      <x:c r="V163" s="101"/>
      <x:c r="W163" s="101"/>
      <x:c r="X163" s="101"/>
      <x:c r="Y163" s="101"/>
      <x:c r="Z163" s="101"/>
      <x:c r="AA163" s="101"/>
      <x:c r="AB163" s="101"/>
      <x:c r="AC163" s="101"/>
      <x:c r="AD163" s="101"/>
      <x:c r="AE163" s="101"/>
    </x:row>
    <x:row r="164">
      <x:c r="A164" s="101"/>
      <x:c r="B164" s="101"/>
      <x:c r="C164" s="101"/>
      <x:c r="D164" s="101"/>
      <x:c r="E164" s="101"/>
      <x:c r="F164" s="101"/>
      <x:c r="G164" s="101"/>
      <x:c r="H164" s="101"/>
      <x:c r="I164" s="101"/>
      <x:c r="J164" s="101"/>
      <x:c r="K164" s="101"/>
      <x:c r="L164" s="101"/>
      <x:c r="M164" s="101"/>
      <x:c r="N164" s="101"/>
      <x:c r="O164" s="101"/>
      <x:c r="P164" s="101"/>
      <x:c r="Q164" s="101"/>
      <x:c r="R164" s="101"/>
      <x:c r="S164" s="101"/>
      <x:c r="T164" s="101"/>
      <x:c r="U164" s="101"/>
      <x:c r="V164" s="101"/>
      <x:c r="W164" s="101"/>
      <x:c r="X164" s="101"/>
      <x:c r="Y164" s="101"/>
      <x:c r="Z164" s="101"/>
      <x:c r="AA164" s="101"/>
      <x:c r="AB164" s="101"/>
      <x:c r="AC164" s="101"/>
      <x:c r="AD164" s="101"/>
      <x:c r="AE164" s="101"/>
    </x:row>
    <x:row r="165">
      <x:c r="A165" s="101"/>
      <x:c r="B165" s="101"/>
      <x:c r="C165" s="101"/>
      <x:c r="D165" s="101"/>
      <x:c r="E165" s="101"/>
      <x:c r="F165" s="101"/>
      <x:c r="G165" s="101"/>
      <x:c r="H165" s="101"/>
      <x:c r="I165" s="101"/>
      <x:c r="J165" s="101"/>
      <x:c r="K165" s="101"/>
      <x:c r="L165" s="101"/>
      <x:c r="M165" s="101"/>
      <x:c r="N165" s="101"/>
      <x:c r="O165" s="101"/>
      <x:c r="P165" s="101"/>
      <x:c r="Q165" s="101"/>
      <x:c r="R165" s="101"/>
      <x:c r="S165" s="101"/>
      <x:c r="T165" s="101"/>
      <x:c r="U165" s="101"/>
      <x:c r="V165" s="101"/>
      <x:c r="W165" s="101"/>
      <x:c r="X165" s="101"/>
      <x:c r="Y165" s="101"/>
      <x:c r="Z165" s="101"/>
      <x:c r="AA165" s="101"/>
      <x:c r="AB165" s="101"/>
      <x:c r="AC165" s="101"/>
      <x:c r="AD165" s="101"/>
      <x:c r="AE165" s="101"/>
    </x:row>
    <x:row r="166">
      <x:c r="A166" s="101"/>
      <x:c r="B166" s="101"/>
      <x:c r="C166" s="101"/>
      <x:c r="D166" s="101"/>
      <x:c r="E166" s="101"/>
      <x:c r="F166" s="101"/>
      <x:c r="G166" s="101"/>
      <x:c r="H166" s="101"/>
      <x:c r="I166" s="101"/>
      <x:c r="J166" s="101"/>
      <x:c r="K166" s="101"/>
      <x:c r="L166" s="101"/>
      <x:c r="M166" s="101"/>
      <x:c r="N166" s="101"/>
      <x:c r="O166" s="101"/>
      <x:c r="P166" s="101"/>
      <x:c r="Q166" s="101"/>
      <x:c r="R166" s="101"/>
      <x:c r="S166" s="101"/>
      <x:c r="T166" s="101"/>
      <x:c r="U166" s="101"/>
      <x:c r="V166" s="101"/>
      <x:c r="W166" s="101"/>
      <x:c r="X166" s="101"/>
      <x:c r="Y166" s="101"/>
      <x:c r="Z166" s="101"/>
      <x:c r="AA166" s="101"/>
      <x:c r="AB166" s="101"/>
      <x:c r="AC166" s="101"/>
      <x:c r="AD166" s="101"/>
      <x:c r="AE166" s="101"/>
    </x:row>
    <x:row r="167">
      <x:c r="A167" s="101"/>
      <x:c r="B167" s="101"/>
      <x:c r="C167" s="101"/>
      <x:c r="D167" s="101"/>
      <x:c r="E167" s="101"/>
      <x:c r="F167" s="101"/>
      <x:c r="G167" s="101"/>
      <x:c r="H167" s="101"/>
      <x:c r="I167" s="101"/>
      <x:c r="J167" s="101"/>
      <x:c r="K167" s="101"/>
      <x:c r="L167" s="101"/>
      <x:c r="M167" s="101"/>
      <x:c r="N167" s="101"/>
      <x:c r="O167" s="101"/>
      <x:c r="P167" s="101"/>
      <x:c r="Q167" s="101"/>
      <x:c r="R167" s="101"/>
      <x:c r="S167" s="101"/>
      <x:c r="T167" s="101"/>
      <x:c r="U167" s="101"/>
      <x:c r="V167" s="101"/>
      <x:c r="W167" s="101"/>
      <x:c r="X167" s="101"/>
      <x:c r="Y167" s="101"/>
      <x:c r="Z167" s="101"/>
      <x:c r="AA167" s="101"/>
      <x:c r="AB167" s="101"/>
      <x:c r="AC167" s="101"/>
      <x:c r="AD167" s="101"/>
      <x:c r="AE167" s="101"/>
    </x:row>
    <x:row r="168">
      <x:c r="A168" s="101"/>
      <x:c r="B168" s="101"/>
      <x:c r="C168" s="101"/>
      <x:c r="D168" s="101"/>
      <x:c r="E168" s="101"/>
      <x:c r="F168" s="101"/>
      <x:c r="G168" s="101"/>
      <x:c r="H168" s="101"/>
      <x:c r="I168" s="101"/>
      <x:c r="J168" s="101"/>
      <x:c r="K168" s="101"/>
      <x:c r="L168" s="101"/>
      <x:c r="M168" s="101"/>
      <x:c r="N168" s="101"/>
      <x:c r="O168" s="101"/>
      <x:c r="P168" s="101"/>
      <x:c r="Q168" s="101"/>
      <x:c r="R168" s="101"/>
      <x:c r="S168" s="101"/>
      <x:c r="T168" s="101"/>
      <x:c r="U168" s="101"/>
      <x:c r="V168" s="101"/>
      <x:c r="W168" s="101"/>
      <x:c r="X168" s="101"/>
      <x:c r="Y168" s="101"/>
      <x:c r="Z168" s="101"/>
      <x:c r="AA168" s="101"/>
      <x:c r="AB168" s="101"/>
      <x:c r="AC168" s="101"/>
      <x:c r="AD168" s="101"/>
      <x:c r="AE168" s="101"/>
    </x:row>
    <x:row r="169">
      <x:c r="A169" s="101"/>
      <x:c r="B169" s="101"/>
      <x:c r="C169" s="101"/>
      <x:c r="D169" s="101"/>
      <x:c r="E169" s="101"/>
      <x:c r="F169" s="101"/>
      <x:c r="G169" s="101"/>
      <x:c r="H169" s="101"/>
      <x:c r="I169" s="101"/>
      <x:c r="J169" s="101"/>
      <x:c r="K169" s="101"/>
      <x:c r="L169" s="101"/>
      <x:c r="M169" s="101"/>
      <x:c r="N169" s="101"/>
      <x:c r="O169" s="101"/>
      <x:c r="P169" s="101"/>
      <x:c r="Q169" s="101"/>
      <x:c r="R169" s="101"/>
      <x:c r="S169" s="101"/>
      <x:c r="T169" s="101"/>
      <x:c r="U169" s="101"/>
      <x:c r="V169" s="101"/>
      <x:c r="W169" s="101"/>
      <x:c r="X169" s="101"/>
      <x:c r="Y169" s="101"/>
      <x:c r="Z169" s="101"/>
      <x:c r="AA169" s="101"/>
      <x:c r="AB169" s="101"/>
      <x:c r="AC169" s="101"/>
      <x:c r="AD169" s="101"/>
      <x:c r="AE169" s="101"/>
    </x:row>
    <x:row r="170">
      <x:c r="A170" s="101"/>
      <x:c r="B170" s="101"/>
      <x:c r="C170" s="101"/>
      <x:c r="D170" s="101"/>
      <x:c r="E170" s="101"/>
      <x:c r="F170" s="101"/>
      <x:c r="G170" s="101"/>
      <x:c r="H170" s="101"/>
      <x:c r="I170" s="101"/>
      <x:c r="J170" s="101"/>
      <x:c r="K170" s="101"/>
      <x:c r="L170" s="101"/>
      <x:c r="M170" s="101"/>
      <x:c r="N170" s="101"/>
      <x:c r="O170" s="101"/>
      <x:c r="P170" s="101"/>
      <x:c r="Q170" s="101"/>
      <x:c r="R170" s="101"/>
      <x:c r="S170" s="101"/>
      <x:c r="T170" s="101"/>
      <x:c r="U170" s="101"/>
      <x:c r="V170" s="101"/>
      <x:c r="W170" s="101"/>
      <x:c r="X170" s="101"/>
      <x:c r="Y170" s="101"/>
      <x:c r="Z170" s="101"/>
      <x:c r="AA170" s="101"/>
      <x:c r="AB170" s="101"/>
      <x:c r="AC170" s="101"/>
      <x:c r="AD170" s="101"/>
      <x:c r="AE170" s="101"/>
    </x:row>
    <x:row r="171">
      <x:c r="A171" s="101"/>
      <x:c r="B171" s="101"/>
      <x:c r="C171" s="101"/>
      <x:c r="D171" s="101"/>
      <x:c r="E171" s="101"/>
      <x:c r="F171" s="101"/>
      <x:c r="G171" s="101"/>
      <x:c r="H171" s="101"/>
      <x:c r="I171" s="101"/>
      <x:c r="J171" s="101"/>
      <x:c r="K171" s="101"/>
      <x:c r="L171" s="101"/>
      <x:c r="M171" s="101"/>
      <x:c r="N171" s="101"/>
      <x:c r="O171" s="101"/>
      <x:c r="P171" s="101"/>
      <x:c r="Q171" s="101"/>
      <x:c r="R171" s="101"/>
      <x:c r="S171" s="101"/>
      <x:c r="T171" s="101"/>
      <x:c r="U171" s="101"/>
      <x:c r="V171" s="101"/>
      <x:c r="W171" s="101"/>
      <x:c r="X171" s="101"/>
      <x:c r="Y171" s="101"/>
      <x:c r="Z171" s="101"/>
      <x:c r="AA171" s="101"/>
      <x:c r="AB171" s="101"/>
      <x:c r="AC171" s="101"/>
      <x:c r="AD171" s="101"/>
      <x:c r="AE171" s="101"/>
    </x:row>
    <x:row r="172">
      <x:c r="A172" s="101"/>
      <x:c r="B172" s="101"/>
      <x:c r="C172" s="101"/>
      <x:c r="D172" s="101"/>
      <x:c r="E172" s="101"/>
      <x:c r="F172" s="101"/>
      <x:c r="G172" s="101"/>
      <x:c r="H172" s="101"/>
      <x:c r="I172" s="101"/>
      <x:c r="J172" s="101"/>
      <x:c r="K172" s="101"/>
      <x:c r="L172" s="101"/>
      <x:c r="M172" s="101"/>
      <x:c r="N172" s="101"/>
      <x:c r="O172" s="101"/>
      <x:c r="P172" s="101"/>
      <x:c r="Q172" s="101"/>
      <x:c r="R172" s="101"/>
      <x:c r="S172" s="101"/>
      <x:c r="T172" s="101"/>
      <x:c r="U172" s="101"/>
      <x:c r="V172" s="101"/>
      <x:c r="W172" s="101"/>
      <x:c r="X172" s="101"/>
      <x:c r="Y172" s="101"/>
      <x:c r="Z172" s="101"/>
      <x:c r="AA172" s="101"/>
      <x:c r="AB172" s="101"/>
      <x:c r="AC172" s="101"/>
      <x:c r="AD172" s="101"/>
      <x:c r="AE172" s="101"/>
    </x:row>
    <x:row r="173">
      <x:c r="A173" s="101"/>
      <x:c r="B173" s="101"/>
      <x:c r="C173" s="101"/>
      <x:c r="D173" s="101"/>
      <x:c r="E173" s="101"/>
      <x:c r="F173" s="101"/>
      <x:c r="G173" s="101"/>
      <x:c r="H173" s="101"/>
      <x:c r="I173" s="101"/>
      <x:c r="J173" s="101"/>
      <x:c r="K173" s="101"/>
      <x:c r="L173" s="101"/>
      <x:c r="M173" s="101"/>
      <x:c r="N173" s="101"/>
      <x:c r="O173" s="101"/>
      <x:c r="P173" s="101"/>
      <x:c r="Q173" s="101"/>
      <x:c r="R173" s="101"/>
      <x:c r="S173" s="101"/>
      <x:c r="T173" s="101"/>
      <x:c r="U173" s="101"/>
      <x:c r="V173" s="101"/>
      <x:c r="W173" s="101"/>
      <x:c r="X173" s="101"/>
      <x:c r="Y173" s="101"/>
      <x:c r="Z173" s="101"/>
      <x:c r="AA173" s="101"/>
      <x:c r="AB173" s="101"/>
      <x:c r="AC173" s="101"/>
      <x:c r="AD173" s="101"/>
      <x:c r="AE173" s="101"/>
    </x:row>
    <x:row r="174">
      <x:c r="A174" s="101"/>
      <x:c r="B174" s="101"/>
      <x:c r="C174" s="101"/>
      <x:c r="D174" s="101"/>
      <x:c r="E174" s="101"/>
      <x:c r="F174" s="101"/>
      <x:c r="G174" s="101"/>
      <x:c r="H174" s="101"/>
      <x:c r="I174" s="101"/>
      <x:c r="J174" s="101"/>
      <x:c r="K174" s="101"/>
      <x:c r="L174" s="101"/>
      <x:c r="M174" s="101"/>
      <x:c r="N174" s="101"/>
      <x:c r="O174" s="101"/>
      <x:c r="P174" s="101"/>
      <x:c r="Q174" s="101"/>
      <x:c r="R174" s="101"/>
      <x:c r="S174" s="101"/>
      <x:c r="T174" s="101"/>
      <x:c r="U174" s="101"/>
      <x:c r="V174" s="101"/>
      <x:c r="W174" s="101"/>
      <x:c r="X174" s="101"/>
      <x:c r="Y174" s="101"/>
      <x:c r="Z174" s="101"/>
      <x:c r="AA174" s="101"/>
      <x:c r="AB174" s="101"/>
      <x:c r="AC174" s="101"/>
      <x:c r="AD174" s="101"/>
      <x:c r="AE174" s="101"/>
    </x:row>
    <x:row r="175">
      <x:c r="A175" s="101"/>
      <x:c r="B175" s="101"/>
      <x:c r="C175" s="101"/>
      <x:c r="D175" s="101"/>
      <x:c r="E175" s="101"/>
      <x:c r="F175" s="101"/>
      <x:c r="G175" s="101"/>
      <x:c r="H175" s="101"/>
      <x:c r="I175" s="101"/>
      <x:c r="J175" s="101"/>
      <x:c r="K175" s="101"/>
      <x:c r="L175" s="101"/>
      <x:c r="M175" s="101"/>
      <x:c r="N175" s="101"/>
      <x:c r="O175" s="101"/>
      <x:c r="P175" s="101"/>
      <x:c r="Q175" s="101"/>
      <x:c r="R175" s="101"/>
      <x:c r="S175" s="101"/>
      <x:c r="T175" s="101"/>
      <x:c r="U175" s="101"/>
      <x:c r="V175" s="101"/>
      <x:c r="W175" s="101"/>
      <x:c r="X175" s="101"/>
      <x:c r="Y175" s="101"/>
      <x:c r="Z175" s="101"/>
      <x:c r="AA175" s="101"/>
      <x:c r="AB175" s="101"/>
      <x:c r="AC175" s="101"/>
      <x:c r="AD175" s="101"/>
      <x:c r="AE175" s="101"/>
    </x:row>
    <x:row r="176">
      <x:c r="A176" s="101"/>
      <x:c r="B176" s="101"/>
      <x:c r="C176" s="101"/>
      <x:c r="D176" s="101"/>
      <x:c r="E176" s="101"/>
      <x:c r="F176" s="101"/>
      <x:c r="G176" s="101"/>
      <x:c r="H176" s="101"/>
      <x:c r="I176" s="101"/>
      <x:c r="J176" s="101"/>
      <x:c r="K176" s="101"/>
      <x:c r="L176" s="101"/>
      <x:c r="M176" s="101"/>
      <x:c r="N176" s="101"/>
      <x:c r="O176" s="101"/>
      <x:c r="P176" s="101"/>
      <x:c r="Q176" s="101"/>
      <x:c r="R176" s="101"/>
      <x:c r="S176" s="101"/>
      <x:c r="T176" s="101"/>
      <x:c r="U176" s="101"/>
      <x:c r="V176" s="101"/>
      <x:c r="W176" s="101"/>
      <x:c r="X176" s="101"/>
      <x:c r="Y176" s="101"/>
      <x:c r="Z176" s="101"/>
      <x:c r="AA176" s="101"/>
      <x:c r="AB176" s="101"/>
      <x:c r="AC176" s="101"/>
      <x:c r="AD176" s="101"/>
      <x:c r="AE176" s="101"/>
    </x:row>
    <x:row r="177">
      <x:c r="A177" s="101"/>
      <x:c r="B177" s="101"/>
      <x:c r="C177" s="101"/>
      <x:c r="D177" s="101"/>
      <x:c r="E177" s="101"/>
      <x:c r="F177" s="101"/>
      <x:c r="G177" s="101"/>
      <x:c r="H177" s="101"/>
      <x:c r="I177" s="101"/>
      <x:c r="J177" s="101"/>
      <x:c r="K177" s="101"/>
      <x:c r="L177" s="101"/>
      <x:c r="M177" s="101"/>
      <x:c r="N177" s="101"/>
      <x:c r="O177" s="101"/>
      <x:c r="P177" s="101"/>
      <x:c r="Q177" s="101"/>
      <x:c r="R177" s="101"/>
      <x:c r="S177" s="101"/>
      <x:c r="T177" s="101"/>
      <x:c r="U177" s="101"/>
      <x:c r="V177" s="101"/>
      <x:c r="W177" s="101"/>
      <x:c r="X177" s="101"/>
      <x:c r="Y177" s="101"/>
      <x:c r="Z177" s="101"/>
      <x:c r="AA177" s="101"/>
      <x:c r="AB177" s="101"/>
      <x:c r="AC177" s="101"/>
      <x:c r="AD177" s="101"/>
      <x:c r="AE177" s="101"/>
    </x:row>
    <x:row r="178">
      <x:c r="A178" s="101"/>
      <x:c r="B178" s="101"/>
      <x:c r="C178" s="101"/>
      <x:c r="D178" s="101"/>
      <x:c r="E178" s="101"/>
      <x:c r="F178" s="101"/>
      <x:c r="G178" s="101"/>
      <x:c r="H178" s="101"/>
      <x:c r="I178" s="101"/>
      <x:c r="J178" s="101"/>
      <x:c r="K178" s="101"/>
      <x:c r="L178" s="101"/>
      <x:c r="M178" s="101"/>
      <x:c r="N178" s="101"/>
      <x:c r="O178" s="101"/>
      <x:c r="P178" s="101"/>
      <x:c r="Q178" s="101"/>
      <x:c r="R178" s="101"/>
      <x:c r="S178" s="101"/>
      <x:c r="T178" s="101"/>
      <x:c r="U178" s="101"/>
      <x:c r="V178" s="101"/>
      <x:c r="W178" s="101"/>
      <x:c r="X178" s="101"/>
      <x:c r="Y178" s="101"/>
      <x:c r="Z178" s="101"/>
      <x:c r="AA178" s="101"/>
      <x:c r="AB178" s="101"/>
      <x:c r="AC178" s="101"/>
      <x:c r="AD178" s="101"/>
      <x:c r="AE178" s="101"/>
    </x:row>
    <x:row r="179">
      <x:c r="A179" s="101"/>
      <x:c r="B179" s="101"/>
      <x:c r="C179" s="101"/>
      <x:c r="D179" s="101"/>
      <x:c r="E179" s="101"/>
      <x:c r="F179" s="101"/>
      <x:c r="G179" s="101"/>
      <x:c r="H179" s="101"/>
      <x:c r="I179" s="101"/>
      <x:c r="J179" s="101"/>
      <x:c r="K179" s="101"/>
      <x:c r="L179" s="101"/>
      <x:c r="M179" s="101"/>
      <x:c r="N179" s="101"/>
      <x:c r="O179" s="101"/>
      <x:c r="P179" s="101"/>
      <x:c r="Q179" s="101"/>
      <x:c r="R179" s="101"/>
      <x:c r="S179" s="101"/>
      <x:c r="T179" s="101"/>
      <x:c r="U179" s="101"/>
      <x:c r="V179" s="101"/>
      <x:c r="W179" s="101"/>
      <x:c r="X179" s="101"/>
      <x:c r="Y179" s="101"/>
      <x:c r="Z179" s="101"/>
      <x:c r="AA179" s="101"/>
      <x:c r="AB179" s="101"/>
      <x:c r="AC179" s="101"/>
      <x:c r="AD179" s="101"/>
      <x:c r="AE179" s="101"/>
    </x:row>
    <x:row r="180">
      <x:c r="A180" s="101"/>
      <x:c r="B180" s="101"/>
      <x:c r="C180" s="101"/>
      <x:c r="D180" s="101"/>
      <x:c r="E180" s="101"/>
      <x:c r="F180" s="101"/>
      <x:c r="G180" s="101"/>
      <x:c r="H180" s="101"/>
      <x:c r="I180" s="101"/>
      <x:c r="J180" s="101"/>
      <x:c r="K180" s="101"/>
      <x:c r="L180" s="101"/>
      <x:c r="M180" s="101"/>
      <x:c r="N180" s="101"/>
      <x:c r="O180" s="101"/>
      <x:c r="P180" s="101"/>
      <x:c r="Q180" s="101"/>
      <x:c r="R180" s="101"/>
      <x:c r="S180" s="101"/>
      <x:c r="T180" s="101"/>
      <x:c r="U180" s="101"/>
      <x:c r="V180" s="101"/>
      <x:c r="W180" s="101"/>
      <x:c r="X180" s="101"/>
      <x:c r="Y180" s="101"/>
      <x:c r="Z180" s="101"/>
      <x:c r="AA180" s="101"/>
      <x:c r="AB180" s="101"/>
      <x:c r="AC180" s="101"/>
      <x:c r="AD180" s="101"/>
      <x:c r="AE180" s="101"/>
    </x:row>
    <x:row r="181">
      <x:c r="A181" s="101"/>
      <x:c r="B181" s="101"/>
      <x:c r="C181" s="101"/>
      <x:c r="D181" s="101"/>
      <x:c r="E181" s="101"/>
      <x:c r="F181" s="101"/>
      <x:c r="G181" s="101"/>
      <x:c r="H181" s="101"/>
      <x:c r="I181" s="101"/>
      <x:c r="J181" s="101"/>
      <x:c r="K181" s="101"/>
      <x:c r="L181" s="101"/>
      <x:c r="M181" s="101"/>
      <x:c r="N181" s="101"/>
      <x:c r="O181" s="101"/>
      <x:c r="P181" s="101"/>
      <x:c r="Q181" s="101"/>
      <x:c r="R181" s="101"/>
      <x:c r="S181" s="101"/>
      <x:c r="T181" s="101"/>
      <x:c r="U181" s="101"/>
      <x:c r="V181" s="101"/>
      <x:c r="W181" s="101"/>
      <x:c r="X181" s="101"/>
      <x:c r="Y181" s="101"/>
      <x:c r="Z181" s="101"/>
      <x:c r="AA181" s="101"/>
      <x:c r="AB181" s="101"/>
      <x:c r="AC181" s="101"/>
      <x:c r="AD181" s="101"/>
      <x:c r="AE181" s="101"/>
    </x:row>
    <x:row r="182">
      <x:c r="A182" s="101"/>
      <x:c r="B182" s="101"/>
      <x:c r="C182" s="101"/>
      <x:c r="D182" s="101"/>
      <x:c r="E182" s="101"/>
      <x:c r="F182" s="101"/>
      <x:c r="G182" s="101"/>
      <x:c r="H182" s="101"/>
      <x:c r="I182" s="101"/>
      <x:c r="J182" s="101"/>
      <x:c r="K182" s="101"/>
      <x:c r="L182" s="101"/>
      <x:c r="M182" s="101"/>
      <x:c r="N182" s="101"/>
      <x:c r="O182" s="101"/>
      <x:c r="P182" s="101"/>
      <x:c r="Q182" s="101"/>
      <x:c r="R182" s="101"/>
      <x:c r="S182" s="101"/>
      <x:c r="T182" s="101"/>
      <x:c r="U182" s="101"/>
      <x:c r="V182" s="101"/>
      <x:c r="W182" s="101"/>
      <x:c r="X182" s="101"/>
      <x:c r="Y182" s="101"/>
      <x:c r="Z182" s="101"/>
      <x:c r="AA182" s="101"/>
      <x:c r="AB182" s="101"/>
      <x:c r="AC182" s="101"/>
      <x:c r="AD182" s="101"/>
      <x:c r="AE182" s="101"/>
    </x:row>
    <x:row r="183">
      <x:c r="A183" s="101"/>
      <x:c r="B183" s="101"/>
      <x:c r="C183" s="101"/>
      <x:c r="D183" s="101"/>
      <x:c r="E183" s="101"/>
      <x:c r="F183" s="101"/>
      <x:c r="G183" s="101"/>
      <x:c r="H183" s="101"/>
      <x:c r="I183" s="101"/>
      <x:c r="J183" s="101"/>
      <x:c r="K183" s="101"/>
      <x:c r="L183" s="101"/>
      <x:c r="M183" s="101"/>
      <x:c r="N183" s="101"/>
      <x:c r="O183" s="101"/>
      <x:c r="P183" s="101"/>
      <x:c r="Q183" s="101"/>
      <x:c r="R183" s="101"/>
      <x:c r="S183" s="101"/>
      <x:c r="T183" s="101"/>
      <x:c r="U183" s="101"/>
      <x:c r="V183" s="101"/>
      <x:c r="W183" s="101"/>
      <x:c r="X183" s="101"/>
      <x:c r="Y183" s="101"/>
      <x:c r="Z183" s="101"/>
      <x:c r="AA183" s="101"/>
      <x:c r="AB183" s="101"/>
      <x:c r="AC183" s="101"/>
      <x:c r="AD183" s="101"/>
      <x:c r="AE183" s="101"/>
    </x:row>
    <x:row r="184">
      <x:c r="A184" s="101"/>
      <x:c r="B184" s="101"/>
      <x:c r="C184" s="101"/>
      <x:c r="D184" s="101"/>
      <x:c r="E184" s="101"/>
      <x:c r="F184" s="101"/>
      <x:c r="G184" s="101"/>
      <x:c r="H184" s="101"/>
      <x:c r="I184" s="101"/>
      <x:c r="J184" s="101"/>
      <x:c r="K184" s="101"/>
      <x:c r="L184" s="101"/>
      <x:c r="M184" s="101"/>
      <x:c r="N184" s="101"/>
      <x:c r="O184" s="101"/>
      <x:c r="P184" s="101"/>
      <x:c r="Q184" s="101"/>
      <x:c r="R184" s="101"/>
      <x:c r="S184" s="101"/>
      <x:c r="T184" s="101"/>
      <x:c r="U184" s="101"/>
      <x:c r="V184" s="101"/>
      <x:c r="W184" s="101"/>
      <x:c r="X184" s="101"/>
      <x:c r="Y184" s="101"/>
      <x:c r="Z184" s="101"/>
      <x:c r="AA184" s="101"/>
      <x:c r="AB184" s="101"/>
      <x:c r="AC184" s="101"/>
      <x:c r="AD184" s="101"/>
      <x:c r="AE184" s="101"/>
    </x:row>
    <x:row r="185">
      <x:c r="A185" s="101"/>
      <x:c r="B185" s="101"/>
      <x:c r="C185" s="101"/>
      <x:c r="D185" s="101"/>
      <x:c r="E185" s="101"/>
      <x:c r="F185" s="101"/>
      <x:c r="G185" s="101"/>
      <x:c r="H185" s="101"/>
      <x:c r="I185" s="101"/>
      <x:c r="J185" s="101"/>
      <x:c r="K185" s="101"/>
      <x:c r="L185" s="101"/>
      <x:c r="M185" s="101"/>
      <x:c r="N185" s="101"/>
      <x:c r="O185" s="101"/>
      <x:c r="P185" s="101"/>
      <x:c r="Q185" s="101"/>
      <x:c r="R185" s="101"/>
      <x:c r="S185" s="101"/>
      <x:c r="T185" s="101"/>
      <x:c r="U185" s="101"/>
      <x:c r="V185" s="101"/>
      <x:c r="W185" s="101"/>
      <x:c r="X185" s="101"/>
      <x:c r="Y185" s="101"/>
      <x:c r="Z185" s="101"/>
      <x:c r="AA185" s="101"/>
      <x:c r="AB185" s="101"/>
      <x:c r="AC185" s="101"/>
      <x:c r="AD185" s="101"/>
      <x:c r="AE185" s="101"/>
    </x:row>
    <x:row r="186">
      <x:c r="A186" s="101"/>
      <x:c r="B186" s="101"/>
      <x:c r="C186" s="101"/>
      <x:c r="D186" s="101"/>
      <x:c r="E186" s="101"/>
      <x:c r="F186" s="101"/>
      <x:c r="G186" s="101"/>
      <x:c r="H186" s="101"/>
      <x:c r="I186" s="101"/>
      <x:c r="J186" s="101"/>
      <x:c r="K186" s="101"/>
      <x:c r="L186" s="101"/>
      <x:c r="M186" s="101"/>
      <x:c r="N186" s="101"/>
      <x:c r="O186" s="101"/>
      <x:c r="P186" s="101"/>
      <x:c r="Q186" s="101"/>
      <x:c r="R186" s="101"/>
      <x:c r="S186" s="101"/>
      <x:c r="T186" s="101"/>
      <x:c r="U186" s="101"/>
      <x:c r="V186" s="101"/>
      <x:c r="W186" s="101"/>
      <x:c r="X186" s="101"/>
      <x:c r="Y186" s="101"/>
      <x:c r="Z186" s="101"/>
      <x:c r="AA186" s="101"/>
      <x:c r="AB186" s="101"/>
      <x:c r="AC186" s="101"/>
      <x:c r="AD186" s="101"/>
      <x:c r="AE186" s="101"/>
    </x:row>
    <x:row r="187">
      <x:c r="A187" s="101"/>
      <x:c r="B187" s="101"/>
      <x:c r="C187" s="101"/>
      <x:c r="D187" s="101"/>
      <x:c r="E187" s="101"/>
      <x:c r="F187" s="101"/>
      <x:c r="G187" s="101"/>
      <x:c r="H187" s="101"/>
      <x:c r="I187" s="101"/>
      <x:c r="J187" s="101"/>
      <x:c r="K187" s="101"/>
      <x:c r="L187" s="101"/>
      <x:c r="M187" s="101"/>
      <x:c r="N187" s="101"/>
      <x:c r="O187" s="101"/>
      <x:c r="P187" s="101"/>
      <x:c r="Q187" s="101"/>
      <x:c r="R187" s="101"/>
      <x:c r="S187" s="101"/>
      <x:c r="T187" s="101"/>
      <x:c r="U187" s="101"/>
      <x:c r="V187" s="101"/>
      <x:c r="W187" s="101"/>
      <x:c r="X187" s="101"/>
      <x:c r="Y187" s="101"/>
      <x:c r="Z187" s="101"/>
      <x:c r="AA187" s="101"/>
      <x:c r="AB187" s="101"/>
      <x:c r="AC187" s="101"/>
      <x:c r="AD187" s="101"/>
      <x:c r="AE187" s="101"/>
    </x:row>
    <x:row r="188">
      <x:c r="A188" s="101"/>
      <x:c r="B188" s="101"/>
      <x:c r="C188" s="101"/>
      <x:c r="D188" s="101"/>
      <x:c r="E188" s="101"/>
      <x:c r="F188" s="101"/>
      <x:c r="G188" s="101"/>
      <x:c r="H188" s="101"/>
      <x:c r="I188" s="101"/>
      <x:c r="J188" s="101"/>
      <x:c r="K188" s="101"/>
      <x:c r="L188" s="101"/>
      <x:c r="M188" s="101"/>
      <x:c r="N188" s="101"/>
      <x:c r="O188" s="101"/>
      <x:c r="P188" s="101"/>
      <x:c r="Q188" s="101"/>
      <x:c r="R188" s="101"/>
      <x:c r="S188" s="101"/>
      <x:c r="T188" s="101"/>
      <x:c r="U188" s="101"/>
      <x:c r="V188" s="101"/>
      <x:c r="W188" s="101"/>
      <x:c r="X188" s="101"/>
      <x:c r="Y188" s="101"/>
      <x:c r="Z188" s="101"/>
      <x:c r="AA188" s="101"/>
      <x:c r="AB188" s="101"/>
      <x:c r="AC188" s="101"/>
      <x:c r="AD188" s="101"/>
      <x:c r="AE188" s="101"/>
    </x:row>
    <x:row r="189">
      <x:c r="A189" s="101"/>
      <x:c r="B189" s="101"/>
      <x:c r="C189" s="101"/>
      <x:c r="D189" s="101"/>
      <x:c r="E189" s="101"/>
      <x:c r="F189" s="101"/>
      <x:c r="G189" s="101"/>
      <x:c r="H189" s="101"/>
      <x:c r="I189" s="101"/>
      <x:c r="J189" s="101"/>
      <x:c r="K189" s="101"/>
      <x:c r="L189" s="101"/>
      <x:c r="M189" s="101"/>
      <x:c r="N189" s="101"/>
      <x:c r="O189" s="101"/>
      <x:c r="P189" s="101"/>
      <x:c r="Q189" s="101"/>
      <x:c r="R189" s="101"/>
      <x:c r="S189" s="101"/>
      <x:c r="T189" s="101"/>
      <x:c r="U189" s="101"/>
      <x:c r="V189" s="101"/>
      <x:c r="W189" s="101"/>
      <x:c r="X189" s="101"/>
      <x:c r="Y189" s="101"/>
      <x:c r="Z189" s="101"/>
      <x:c r="AA189" s="101"/>
      <x:c r="AB189" s="101"/>
      <x:c r="AC189" s="101"/>
      <x:c r="AD189" s="101"/>
      <x:c r="AE189" s="101"/>
    </x:row>
    <x:row r="190">
      <x:c r="A190" s="101"/>
      <x:c r="B190" s="101"/>
      <x:c r="C190" s="101"/>
      <x:c r="D190" s="101"/>
      <x:c r="E190" s="101"/>
      <x:c r="F190" s="101"/>
      <x:c r="G190" s="101"/>
      <x:c r="H190" s="101"/>
      <x:c r="I190" s="101"/>
      <x:c r="J190" s="101"/>
      <x:c r="K190" s="101"/>
      <x:c r="L190" s="101"/>
      <x:c r="M190" s="101"/>
      <x:c r="N190" s="101"/>
      <x:c r="O190" s="101"/>
      <x:c r="P190" s="101"/>
      <x:c r="Q190" s="101"/>
      <x:c r="R190" s="101"/>
      <x:c r="S190" s="101"/>
      <x:c r="T190" s="101"/>
      <x:c r="U190" s="101"/>
      <x:c r="V190" s="101"/>
      <x:c r="W190" s="101"/>
      <x:c r="X190" s="101"/>
      <x:c r="Y190" s="101"/>
      <x:c r="Z190" s="101"/>
      <x:c r="AA190" s="101"/>
      <x:c r="AB190" s="101"/>
      <x:c r="AC190" s="101"/>
      <x:c r="AD190" s="101"/>
      <x:c r="AE190" s="101"/>
    </x:row>
    <x:row r="191">
      <x:c r="A191" s="101"/>
      <x:c r="B191" s="101"/>
      <x:c r="C191" s="101"/>
      <x:c r="D191" s="101"/>
      <x:c r="E191" s="101"/>
      <x:c r="F191" s="101"/>
      <x:c r="G191" s="101"/>
      <x:c r="H191" s="101"/>
      <x:c r="I191" s="101"/>
      <x:c r="J191" s="101"/>
      <x:c r="K191" s="101"/>
      <x:c r="L191" s="101"/>
      <x:c r="M191" s="101"/>
      <x:c r="N191" s="101"/>
      <x:c r="O191" s="101"/>
      <x:c r="P191" s="101"/>
      <x:c r="Q191" s="101"/>
      <x:c r="R191" s="101"/>
      <x:c r="S191" s="101"/>
      <x:c r="T191" s="101"/>
      <x:c r="U191" s="101"/>
      <x:c r="V191" s="101"/>
      <x:c r="W191" s="101"/>
      <x:c r="X191" s="101"/>
      <x:c r="Y191" s="101"/>
      <x:c r="Z191" s="101"/>
      <x:c r="AA191" s="101"/>
      <x:c r="AB191" s="101"/>
      <x:c r="AC191" s="101"/>
      <x:c r="AD191" s="101"/>
      <x:c r="AE191" s="101"/>
    </x:row>
    <x:row r="192">
      <x:c r="A192" s="101"/>
      <x:c r="B192" s="101"/>
      <x:c r="C192" s="101"/>
      <x:c r="D192" s="101"/>
      <x:c r="E192" s="101"/>
      <x:c r="F192" s="101"/>
      <x:c r="G192" s="101"/>
      <x:c r="H192" s="101"/>
      <x:c r="I192" s="101"/>
      <x:c r="J192" s="101"/>
      <x:c r="K192" s="101"/>
      <x:c r="L192" s="101"/>
      <x:c r="M192" s="101"/>
      <x:c r="N192" s="101"/>
      <x:c r="O192" s="101"/>
      <x:c r="P192" s="101"/>
      <x:c r="Q192" s="101"/>
      <x:c r="R192" s="101"/>
      <x:c r="S192" s="101"/>
      <x:c r="T192" s="101"/>
      <x:c r="U192" s="101"/>
      <x:c r="V192" s="101"/>
      <x:c r="W192" s="101"/>
      <x:c r="X192" s="101"/>
      <x:c r="Y192" s="101"/>
      <x:c r="Z192" s="101"/>
      <x:c r="AA192" s="101"/>
      <x:c r="AB192" s="101"/>
      <x:c r="AC192" s="101"/>
      <x:c r="AD192" s="101"/>
      <x:c r="AE192" s="101"/>
    </x:row>
    <x:row r="193">
      <x:c r="A193" s="101"/>
      <x:c r="B193" s="101"/>
      <x:c r="C193" s="101"/>
      <x:c r="D193" s="101"/>
      <x:c r="E193" s="101"/>
      <x:c r="F193" s="101"/>
      <x:c r="G193" s="101"/>
      <x:c r="H193" s="101"/>
      <x:c r="I193" s="101"/>
      <x:c r="J193" s="101"/>
      <x:c r="K193" s="101"/>
      <x:c r="L193" s="101"/>
      <x:c r="M193" s="101"/>
      <x:c r="N193" s="101"/>
      <x:c r="O193" s="101"/>
      <x:c r="P193" s="101"/>
      <x:c r="Q193" s="101"/>
      <x:c r="R193" s="101"/>
      <x:c r="S193" s="101"/>
      <x:c r="T193" s="101"/>
      <x:c r="U193" s="101"/>
      <x:c r="V193" s="101"/>
      <x:c r="W193" s="101"/>
      <x:c r="X193" s="101"/>
      <x:c r="Y193" s="101"/>
      <x:c r="Z193" s="101"/>
      <x:c r="AA193" s="101"/>
      <x:c r="AB193" s="101"/>
      <x:c r="AC193" s="101"/>
      <x:c r="AD193" s="101"/>
      <x:c r="AE193" s="101"/>
    </x:row>
    <x:row r="194">
      <x:c r="A194" s="101"/>
      <x:c r="B194" s="101"/>
      <x:c r="C194" s="101"/>
      <x:c r="D194" s="101"/>
      <x:c r="E194" s="101"/>
      <x:c r="F194" s="101"/>
      <x:c r="G194" s="101"/>
      <x:c r="H194" s="101"/>
      <x:c r="I194" s="101"/>
      <x:c r="J194" s="101"/>
      <x:c r="K194" s="101"/>
      <x:c r="L194" s="101"/>
      <x:c r="M194" s="101"/>
      <x:c r="N194" s="101"/>
      <x:c r="O194" s="101"/>
      <x:c r="P194" s="101"/>
      <x:c r="Q194" s="101"/>
      <x:c r="R194" s="101"/>
      <x:c r="S194" s="101"/>
      <x:c r="T194" s="101"/>
      <x:c r="U194" s="101"/>
      <x:c r="V194" s="101"/>
      <x:c r="W194" s="101"/>
      <x:c r="X194" s="101"/>
      <x:c r="Y194" s="101"/>
      <x:c r="Z194" s="101"/>
      <x:c r="AA194" s="101"/>
      <x:c r="AB194" s="101"/>
      <x:c r="AC194" s="101"/>
      <x:c r="AD194" s="101"/>
      <x:c r="AE194" s="101"/>
    </x:row>
    <x:row r="195">
      <x:c r="A195" s="101"/>
      <x:c r="B195" s="101"/>
      <x:c r="C195" s="101"/>
      <x:c r="D195" s="101"/>
      <x:c r="E195" s="101"/>
      <x:c r="F195" s="101"/>
      <x:c r="G195" s="101"/>
      <x:c r="H195" s="101"/>
      <x:c r="I195" s="101"/>
      <x:c r="J195" s="101"/>
      <x:c r="K195" s="101"/>
      <x:c r="L195" s="101"/>
      <x:c r="M195" s="101"/>
      <x:c r="N195" s="101"/>
      <x:c r="O195" s="101"/>
      <x:c r="P195" s="101"/>
      <x:c r="Q195" s="101"/>
      <x:c r="R195" s="101"/>
      <x:c r="S195" s="101"/>
      <x:c r="T195" s="101"/>
      <x:c r="U195" s="101"/>
      <x:c r="V195" s="101"/>
      <x:c r="W195" s="101"/>
      <x:c r="X195" s="101"/>
      <x:c r="Y195" s="101"/>
      <x:c r="Z195" s="101"/>
      <x:c r="AA195" s="101"/>
      <x:c r="AB195" s="101"/>
      <x:c r="AC195" s="101"/>
      <x:c r="AD195" s="101"/>
      <x:c r="AE195" s="101"/>
    </x:row>
    <x:row r="196">
      <x:c r="A196" s="101"/>
      <x:c r="B196" s="101"/>
      <x:c r="C196" s="101"/>
      <x:c r="D196" s="101"/>
      <x:c r="E196" s="101"/>
      <x:c r="F196" s="101"/>
      <x:c r="G196" s="101"/>
      <x:c r="H196" s="101"/>
      <x:c r="I196" s="101"/>
      <x:c r="J196" s="101"/>
      <x:c r="K196" s="101"/>
      <x:c r="L196" s="101"/>
      <x:c r="M196" s="101"/>
      <x:c r="N196" s="101"/>
      <x:c r="O196" s="101"/>
      <x:c r="P196" s="101"/>
      <x:c r="Q196" s="101"/>
      <x:c r="R196" s="101"/>
      <x:c r="S196" s="101"/>
      <x:c r="T196" s="101"/>
      <x:c r="U196" s="101"/>
      <x:c r="V196" s="101"/>
      <x:c r="W196" s="101"/>
      <x:c r="X196" s="101"/>
      <x:c r="Y196" s="101"/>
      <x:c r="Z196" s="101"/>
      <x:c r="AA196" s="101"/>
      <x:c r="AB196" s="101"/>
      <x:c r="AC196" s="101"/>
      <x:c r="AD196" s="101"/>
      <x:c r="AE196" s="101"/>
    </x:row>
    <x:row r="197">
      <x:c r="A197" s="101"/>
      <x:c r="B197" s="101"/>
      <x:c r="C197" s="101"/>
      <x:c r="D197" s="101"/>
      <x:c r="E197" s="101"/>
      <x:c r="F197" s="101"/>
      <x:c r="G197" s="101"/>
      <x:c r="H197" s="101"/>
      <x:c r="I197" s="101"/>
      <x:c r="J197" s="101"/>
      <x:c r="K197" s="101"/>
      <x:c r="L197" s="101"/>
      <x:c r="M197" s="101"/>
      <x:c r="N197" s="101"/>
      <x:c r="O197" s="101"/>
      <x:c r="P197" s="101"/>
      <x:c r="Q197" s="101"/>
      <x:c r="R197" s="101"/>
      <x:c r="S197" s="101"/>
      <x:c r="T197" s="101"/>
      <x:c r="U197" s="101"/>
      <x:c r="V197" s="101"/>
      <x:c r="W197" s="101"/>
      <x:c r="X197" s="101"/>
      <x:c r="Y197" s="101"/>
      <x:c r="Z197" s="101"/>
      <x:c r="AA197" s="101"/>
      <x:c r="AB197" s="101"/>
      <x:c r="AC197" s="101"/>
      <x:c r="AD197" s="101"/>
      <x:c r="AE197" s="101"/>
    </x:row>
    <x:row r="198">
      <x:c r="A198" s="101"/>
      <x:c r="B198" s="101"/>
      <x:c r="C198" s="101"/>
      <x:c r="D198" s="101"/>
      <x:c r="E198" s="101"/>
      <x:c r="F198" s="101"/>
      <x:c r="G198" s="101"/>
      <x:c r="H198" s="101"/>
      <x:c r="I198" s="101"/>
      <x:c r="J198" s="101"/>
      <x:c r="K198" s="101"/>
      <x:c r="L198" s="101"/>
      <x:c r="M198" s="101"/>
      <x:c r="N198" s="101"/>
      <x:c r="O198" s="101"/>
      <x:c r="P198" s="101"/>
      <x:c r="Q198" s="101"/>
      <x:c r="R198" s="101"/>
      <x:c r="S198" s="101"/>
      <x:c r="T198" s="101"/>
      <x:c r="U198" s="101"/>
      <x:c r="V198" s="101"/>
      <x:c r="W198" s="101"/>
      <x:c r="X198" s="101"/>
      <x:c r="Y198" s="101"/>
      <x:c r="Z198" s="101"/>
      <x:c r="AA198" s="101"/>
      <x:c r="AB198" s="101"/>
      <x:c r="AC198" s="101"/>
      <x:c r="AD198" s="101"/>
      <x:c r="AE198" s="101"/>
    </x:row>
    <x:row r="199">
      <x:c r="A199" s="101"/>
      <x:c r="B199" s="101"/>
      <x:c r="C199" s="101"/>
      <x:c r="D199" s="101"/>
      <x:c r="E199" s="101"/>
      <x:c r="F199" s="101"/>
      <x:c r="G199" s="101"/>
      <x:c r="H199" s="101"/>
      <x:c r="I199" s="101"/>
      <x:c r="J199" s="101"/>
      <x:c r="K199" s="101"/>
      <x:c r="L199" s="101"/>
      <x:c r="M199" s="101"/>
      <x:c r="N199" s="101"/>
      <x:c r="O199" s="101"/>
      <x:c r="P199" s="101"/>
      <x:c r="Q199" s="101"/>
      <x:c r="R199" s="101"/>
      <x:c r="S199" s="101"/>
      <x:c r="T199" s="101"/>
      <x:c r="U199" s="101"/>
      <x:c r="V199" s="101"/>
      <x:c r="W199" s="101"/>
      <x:c r="X199" s="101"/>
      <x:c r="Y199" s="101"/>
      <x:c r="Z199" s="101"/>
      <x:c r="AA199" s="101"/>
      <x:c r="AB199" s="101"/>
      <x:c r="AC199" s="101"/>
      <x:c r="AD199" s="101"/>
      <x:c r="AE199" s="101"/>
    </x:row>
    <x:row r="200">
      <x:c r="A200" s="101"/>
      <x:c r="B200" s="101"/>
      <x:c r="C200" s="101"/>
      <x:c r="D200" s="101"/>
      <x:c r="E200" s="101"/>
      <x:c r="F200" s="101"/>
      <x:c r="G200" s="101"/>
      <x:c r="H200" s="101"/>
      <x:c r="I200" s="101"/>
      <x:c r="J200" s="101"/>
      <x:c r="K200" s="101"/>
      <x:c r="L200" s="101"/>
      <x:c r="M200" s="101"/>
      <x:c r="N200" s="101"/>
      <x:c r="O200" s="101"/>
      <x:c r="P200" s="101"/>
      <x:c r="Q200" s="101"/>
      <x:c r="R200" s="101"/>
      <x:c r="S200" s="101"/>
      <x:c r="T200" s="101"/>
      <x:c r="U200" s="101"/>
      <x:c r="V200" s="101"/>
      <x:c r="W200" s="101"/>
      <x:c r="X200" s="101"/>
      <x:c r="Y200" s="101"/>
      <x:c r="Z200" s="101"/>
      <x:c r="AA200" s="101"/>
      <x:c r="AB200" s="101"/>
      <x:c r="AC200" s="101"/>
      <x:c r="AD200" s="101"/>
      <x:c r="AE200" s="101"/>
    </x:row>
  </x:sheetData>
  <x:mergeCells>
    <x:mergeCell ref="A1:H1"/>
    <x:mergeCell ref="A3:H3"/>
    <x:mergeCell ref="A23:D23"/>
  </x:mergeCells>
  <x:dataValidations count="1">
    <x:dataValidation type="list" sqref="B15">
      <x:formula1>"Collection,Delivery,Courier,Export"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2" hidden="0" customWidth="1"/>
    <x:col min="4" max="4" width="24" hidden="0" customWidth="1"/>
    <x:col min="5" max="5" width="44" hidden="0" customWidth="1"/>
  </x:cols>
  <x:sheetData>
    <x:row r="1">
      <x:c r="A1" s="118" t="str">
        <x:v>WEIGHT RULES - edit these rates if your steel/fabric/components change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</x:row>
    <x:row r="2">
      <x:c r="A2" s="101"/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  <x:c r="AE2" s="101"/>
    </x:row>
    <x:row r="3">
      <x:c r="A3" s="96" t="str">
        <x:v>Category</x:v>
      </x:c>
      <x:c r="B3" s="96" t="str">
        <x:v>Item / Lookup Key</x:v>
      </x:c>
      <x:c r="C3" s="96" t="str">
        <x:v>Rate</x:v>
      </x:c>
      <x:c r="D3" s="96" t="str">
        <x:v>Unit</x:v>
      </x:c>
      <x:c r="E3" s="96" t="str">
        <x:v>Notes</x:v>
      </x:c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  <x:c r="AA3" s="101"/>
      <x:c r="AB3" s="101"/>
      <x:c r="AC3" s="101"/>
      <x:c r="AD3" s="101"/>
      <x:c r="AE3" s="101"/>
    </x:row>
    <x:row r="4">
      <x:c r="A4" s="100" t="str">
        <x:v>Headbox</x:v>
      </x:c>
      <x:c r="B4" s="100" t="str">
        <x:v>Headbox 180 x 180</x:v>
      </x:c>
      <x:c r="C4" s="119" t="n">
        <x:v>9</x:v>
      </x:c>
      <x:c r="D4" s="100" t="str">
        <x:v>kg per metre</x:v>
      </x:c>
      <x:c r="E4" s="100" t="str">
        <x:v>Default allowance for 1mm Zintec headbox</x:v>
      </x:c>
      <x:c r="F4" s="101"/>
      <x:c r="G4" s="101"/>
      <x:c r="H4" s="101"/>
      <x:c r="I4" s="101"/>
      <x:c r="J4" s="101"/>
      <x:c r="K4" s="101"/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  <x:c r="AA4" s="101"/>
      <x:c r="AB4" s="101"/>
      <x:c r="AC4" s="101"/>
      <x:c r="AD4" s="101"/>
      <x:c r="AE4" s="101"/>
    </x:row>
    <x:row r="5">
      <x:c r="A5" s="100" t="str">
        <x:v>Headbox</x:v>
      </x:c>
      <x:c r="B5" s="100" t="str">
        <x:v>Headbox 200 x 200</x:v>
      </x:c>
      <x:c r="C5" s="119" t="n">
        <x:v>10</x:v>
      </x:c>
      <x:c r="D5" s="100" t="str">
        <x:v>kg per metre</x:v>
      </x:c>
      <x:c r="E5" s="100" t="str">
        <x:v>1mm Zintec</x:v>
      </x:c>
      <x:c r="F5" s="101"/>
      <x:c r="G5" s="101"/>
      <x:c r="H5" s="101"/>
      <x:c r="I5" s="101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  <x:c r="AA5" s="101"/>
      <x:c r="AB5" s="101"/>
      <x:c r="AC5" s="101"/>
      <x:c r="AD5" s="101"/>
      <x:c r="AE5" s="101"/>
    </x:row>
    <x:row r="6">
      <x:c r="A6" s="100" t="str">
        <x:v>Headbox</x:v>
      </x:c>
      <x:c r="B6" s="100" t="str">
        <x:v>Headbox 200 x 400</x:v>
      </x:c>
      <x:c r="C6" s="119" t="n">
        <x:v>20</x:v>
      </x:c>
      <x:c r="D6" s="100" t="str">
        <x:v>kg per metre</x:v>
      </x:c>
      <x:c r="E6" s="100" t="str">
        <x:v>Large/double-depth headbox allowance</x:v>
      </x:c>
      <x:c r="F6" s="101"/>
      <x:c r="G6" s="101"/>
      <x:c r="H6" s="101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  <x:c r="AA6" s="101"/>
      <x:c r="AB6" s="101"/>
      <x:c r="AC6" s="101"/>
      <x:c r="AD6" s="101"/>
      <x:c r="AE6" s="101"/>
    </x:row>
    <x:row r="7">
      <x:c r="A7" s="100" t="str">
        <x:v>Headbox</x:v>
      </x:c>
      <x:c r="B7" s="100" t="str">
        <x:v>Headbox 210 x 210</x:v>
      </x:c>
      <x:c r="C7" s="119" t="n">
        <x:v>10.4</x:v>
      </x:c>
      <x:c r="D7" s="100" t="str">
        <x:v>kg per metre</x:v>
      </x:c>
      <x:c r="E7" s="100" t="str"/>
      <x:c r="F7" s="101"/>
      <x:c r="G7" s="101"/>
      <x:c r="H7" s="101"/>
      <x:c r="I7" s="101"/>
      <x:c r="J7" s="101"/>
      <x:c r="K7" s="101"/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  <x:c r="AA7" s="101"/>
      <x:c r="AB7" s="101"/>
      <x:c r="AC7" s="101"/>
      <x:c r="AD7" s="101"/>
      <x:c r="AE7" s="101"/>
    </x:row>
    <x:row r="8">
      <x:c r="A8" s="100" t="str">
        <x:v>Headbox</x:v>
      </x:c>
      <x:c r="B8" s="100" t="str">
        <x:v>Headbox 210 x 240</x:v>
      </x:c>
      <x:c r="C8" s="119" t="n">
        <x:v>12.4</x:v>
      </x:c>
      <x:c r="D8" s="100" t="str">
        <x:v>kg per metre</x:v>
      </x:c>
      <x:c r="E8" s="100" t="str"/>
      <x:c r="F8" s="101"/>
      <x:c r="G8" s="101"/>
      <x:c r="H8" s="101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  <x:c r="AA8" s="101"/>
      <x:c r="AB8" s="101"/>
      <x:c r="AC8" s="101"/>
      <x:c r="AD8" s="101"/>
      <x:c r="AE8" s="101"/>
    </x:row>
    <x:row r="9">
      <x:c r="A9" s="100" t="str">
        <x:v>Guides</x:v>
      </x:c>
      <x:c r="B9" s="100" t="str">
        <x:v>Side guides 100mm pair</x:v>
      </x:c>
      <x:c r="C9" s="119" t="n">
        <x:v>12.1</x:v>
      </x:c>
      <x:c r="D9" s="100" t="str">
        <x:v>kg per metre height</x:v>
      </x:c>
      <x:c r="E9" s="100" t="str">
        <x:v>2mm Zintec guide pair</x:v>
      </x:c>
      <x:c r="F9" s="101"/>
      <x:c r="G9" s="101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  <x:c r="AA9" s="101"/>
      <x:c r="AB9" s="101"/>
      <x:c r="AC9" s="101"/>
      <x:c r="AD9" s="101"/>
      <x:c r="AE9" s="101"/>
    </x:row>
    <x:row r="10">
      <x:c r="A10" s="100" t="str">
        <x:v>Guides</x:v>
      </x:c>
      <x:c r="B10" s="100" t="str">
        <x:v>Side guides 70mm pair</x:v>
      </x:c>
      <x:c r="C10" s="119" t="n">
        <x:v>10.3</x:v>
      </x:c>
      <x:c r="D10" s="100" t="str">
        <x:v>kg per metre height</x:v>
      </x:c>
      <x:c r="E10" s="100" t="str">
        <x:v>2mm Zintec guide pair</x:v>
      </x:c>
      <x:c r="F10" s="101"/>
      <x:c r="G10" s="101"/>
      <x:c r="H10" s="101"/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  <x:c r="AA10" s="101"/>
      <x:c r="AB10" s="101"/>
      <x:c r="AC10" s="101"/>
      <x:c r="AD10" s="101"/>
      <x:c r="AE10" s="101"/>
    </x:row>
    <x:row r="11">
      <x:c r="A11" s="100" t="str">
        <x:v>Barrel</x:v>
      </x:c>
      <x:c r="B11" s="100" t="str">
        <x:v>Barrel Ø89</x:v>
      </x:c>
      <x:c r="C11" s="119" t="n">
        <x:v>6</x:v>
      </x:c>
      <x:c r="D11" s="100" t="str">
        <x:v>kg per metre width</x:v>
      </x:c>
      <x:c r="E11" s="100" t="str"/>
      <x:c r="F11" s="101"/>
      <x:c r="G11" s="101"/>
      <x:c r="H11" s="101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  <x:c r="AA11" s="101"/>
      <x:c r="AB11" s="101"/>
      <x:c r="AC11" s="101"/>
      <x:c r="AD11" s="101"/>
      <x:c r="AE11" s="101"/>
    </x:row>
    <x:row r="12">
      <x:c r="A12" s="100" t="str">
        <x:v>Barrel</x:v>
      </x:c>
      <x:c r="B12" s="100" t="str">
        <x:v>Barrel Ø100</x:v>
      </x:c>
      <x:c r="C12" s="119" t="n">
        <x:v>6</x:v>
      </x:c>
      <x:c r="D12" s="100" t="str">
        <x:v>kg per metre width</x:v>
      </x:c>
      <x:c r="E12" s="100" t="str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  <x:c r="AA12" s="101"/>
      <x:c r="AB12" s="101"/>
      <x:c r="AC12" s="101"/>
      <x:c r="AD12" s="101"/>
      <x:c r="AE12" s="101"/>
    </x:row>
    <x:row r="13">
      <x:c r="A13" s="100" t="str">
        <x:v>Fabric</x:v>
      </x:c>
      <x:c r="B13" s="100" t="str">
        <x:v>THS 120 / 7660 / FC120</x:v>
      </x:c>
      <x:c r="C13" s="119" t="n">
        <x:v>0.45</x:v>
      </x:c>
      <x:c r="D13" s="100" t="str">
        <x:v>kg per m²</x:v>
      </x:c>
      <x:c r="E13" s="100" t="str">
        <x:v>FS120 / THS120 working allowance</x:v>
      </x:c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  <x:c r="AA13" s="101"/>
      <x:c r="AB13" s="101"/>
      <x:c r="AC13" s="101"/>
      <x:c r="AD13" s="101"/>
      <x:c r="AE13" s="101"/>
    </x:row>
    <x:row r="14">
      <x:c r="A14" s="100" t="str">
        <x:v>Fabric</x:v>
      </x:c>
      <x:c r="B14" s="100" t="str">
        <x:v>FS120</x:v>
      </x:c>
      <x:c r="C14" s="119" t="n">
        <x:v>0.45</x:v>
      </x:c>
      <x:c r="D14" s="100" t="str">
        <x:v>kg per m²</x:v>
      </x:c>
      <x:c r="E14" s="100" t="str">
        <x:v>Working allowance</x:v>
      </x:c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  <x:c r="AA14" s="101"/>
      <x:c r="AB14" s="101"/>
      <x:c r="AC14" s="101"/>
      <x:c r="AD14" s="101"/>
      <x:c r="AE14" s="101"/>
    </x:row>
    <x:row r="15">
      <x:c r="A15" s="100" t="str">
        <x:v>Fabric</x:v>
      </x:c>
      <x:c r="B15" s="100" t="str">
        <x:v>FS240</x:v>
      </x:c>
      <x:c r="C15" s="119" t="n">
        <x:v>0.75</x:v>
      </x:c>
      <x:c r="D15" s="100" t="str">
        <x:v>kg per m²</x:v>
      </x:c>
      <x:c r="E15" s="100" t="str"/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  <x:c r="AA15" s="101"/>
      <x:c r="AB15" s="101"/>
      <x:c r="AC15" s="101"/>
      <x:c r="AD15" s="101"/>
      <x:c r="AE15" s="101"/>
    </x:row>
    <x:row r="16">
      <x:c r="A16" s="100" t="str">
        <x:v>Fabric</x:v>
      </x:c>
      <x:c r="B16" s="100" t="str">
        <x:v>FS Plus / 9660BI9</x:v>
      </x:c>
      <x:c r="C16" s="119" t="n">
        <x:v>2.7</x:v>
      </x:c>
      <x:c r="D16" s="100" t="str">
        <x:v>kg per m²</x:v>
      </x:c>
      <x:c r="E16" s="100" t="str"/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  <x:c r="AA16" s="101"/>
      <x:c r="AB16" s="101"/>
      <x:c r="AC16" s="101"/>
      <x:c r="AD16" s="101"/>
      <x:c r="AE16" s="101"/>
    </x:row>
    <x:row r="17">
      <x:c r="A17" s="100" t="str">
        <x:v>Bottom rail</x:v>
      </x:c>
      <x:c r="B17" s="100" t="str">
        <x:v>Bottom rail</x:v>
      </x:c>
      <x:c r="C17" s="119" t="n">
        <x:v>5</x:v>
      </x:c>
      <x:c r="D17" s="100" t="str">
        <x:v>kg per metre width</x:v>
      </x:c>
      <x:c r="E17" s="100" t="str">
        <x:v>2mm Zintec / working allowance</x:v>
      </x:c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  <x:c r="AA17" s="101"/>
      <x:c r="AB17" s="101"/>
      <x:c r="AC17" s="101"/>
      <x:c r="AD17" s="101"/>
      <x:c r="AE17" s="101"/>
    </x:row>
    <x:row r="18">
      <x:c r="A18" s="100" t="str">
        <x:v>Bottom rail</x:v>
      </x:c>
      <x:c r="B18" s="100" t="str">
        <x:v>Square bottom bar</x:v>
      </x:c>
      <x:c r="C18" s="119" t="n">
        <x:v>5</x:v>
      </x:c>
      <x:c r="D18" s="100" t="str">
        <x:v>kg per metre width</x:v>
      </x:c>
      <x:c r="E18" s="100" t="str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  <x:c r="AA18" s="101"/>
      <x:c r="AB18" s="101"/>
      <x:c r="AC18" s="101"/>
      <x:c r="AD18" s="101"/>
      <x:c r="AE18" s="101"/>
    </x:row>
    <x:row r="19">
      <x:c r="A19" s="100" t="str">
        <x:v>Motor</x:v>
      </x:c>
      <x:c r="B19" s="100" t="str">
        <x:v>CSV small motor</x:v>
      </x:c>
      <x:c r="C19" s="119" t="n">
        <x:v>2.5</x:v>
      </x:c>
      <x:c r="D19" s="100" t="str">
        <x:v>kg each</x:v>
      </x:c>
      <x:c r="E19" s="100" t="str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  <x:c r="AA19" s="101"/>
      <x:c r="AB19" s="101"/>
      <x:c r="AC19" s="101"/>
      <x:c r="AD19" s="101"/>
      <x:c r="AE19" s="101"/>
    </x:row>
    <x:row r="20">
      <x:c r="A20" s="100" t="str">
        <x:v>Motor</x:v>
      </x:c>
      <x:c r="B20" s="100" t="str">
        <x:v>CSV large motor</x:v>
      </x:c>
      <x:c r="C20" s="119" t="n">
        <x:v>8</x:v>
      </x:c>
      <x:c r="D20" s="100" t="str">
        <x:v>kg each</x:v>
      </x:c>
      <x:c r="E20" s="100" t="str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  <x:c r="AA20" s="101"/>
      <x:c r="AB20" s="101"/>
      <x:c r="AC20" s="101"/>
      <x:c r="AD20" s="101"/>
      <x:c r="AE20" s="101"/>
    </x:row>
    <x:row r="21">
      <x:c r="A21" s="100" t="str">
        <x:v>Motor</x:v>
      </x:c>
      <x:c r="B21" s="100" t="str">
        <x:v>CSV XL motor</x:v>
      </x:c>
      <x:c r="C21" s="119" t="n">
        <x:v>9</x:v>
      </x:c>
      <x:c r="D21" s="100" t="str">
        <x:v>kg each</x:v>
      </x:c>
      <x:c r="E21" s="100" t="str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  <x:c r="AA21" s="101"/>
      <x:c r="AB21" s="101"/>
      <x:c r="AC21" s="101"/>
      <x:c r="AD21" s="101"/>
      <x:c r="AE21" s="101"/>
    </x:row>
    <x:row r="22">
      <x:c r="A22" s="100" t="str">
        <x:v>Motor</x:v>
      </x:c>
      <x:c r="B22" s="100" t="str">
        <x:v>Dunker (L)</x:v>
      </x:c>
      <x:c r="C22" s="119" t="n">
        <x:v>8</x:v>
      </x:c>
      <x:c r="D22" s="100" t="str">
        <x:v>kg each</x:v>
      </x:c>
      <x:c r="E22" s="100" t="str">
        <x:v>Working allowance</x:v>
      </x:c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  <x:c r="AA22" s="101"/>
      <x:c r="AB22" s="101"/>
      <x:c r="AC22" s="101"/>
      <x:c r="AD22" s="101"/>
      <x:c r="AE22" s="101"/>
    </x:row>
    <x:row r="23">
      <x:c r="A23" s="100" t="str">
        <x:v>Motor</x:v>
      </x:c>
      <x:c r="B23" s="100" t="str">
        <x:v>DC80-10</x:v>
      </x:c>
      <x:c r="C23" s="119" t="n">
        <x:v>8</x:v>
      </x:c>
      <x:c r="D23" s="100" t="str">
        <x:v>kg each</x:v>
      </x:c>
      <x:c r="E23" s="100" t="str">
        <x:v>Working allowance</x:v>
      </x:c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  <x:c r="AA23" s="101"/>
      <x:c r="AB23" s="101"/>
      <x:c r="AC23" s="101"/>
      <x:c r="AD23" s="101"/>
      <x:c r="AE23" s="101"/>
    </x:row>
    <x:row r="24">
      <x:c r="A24" s="100" t="str">
        <x:v>Controls</x:v>
      </x:c>
      <x:c r="B24" s="100" t="str">
        <x:v>Control panel</x:v>
      </x:c>
      <x:c r="C24" s="119" t="n">
        <x:v>6</x:v>
      </x:c>
      <x:c r="D24" s="100" t="str">
        <x:v>kg each</x:v>
      </x:c>
      <x:c r="E24" s="100" t="str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  <x:c r="AA24" s="101"/>
      <x:c r="AB24" s="101"/>
      <x:c r="AC24" s="101"/>
      <x:c r="AD24" s="101"/>
      <x:c r="AE24" s="101"/>
    </x:row>
    <x:row r="25">
      <x:c r="A25" s="100" t="str">
        <x:v>Controls</x:v>
      </x:c>
      <x:c r="B25" s="100" t="str">
        <x:v>Key switch</x:v>
      </x:c>
      <x:c r="C25" s="119" t="n">
        <x:v>0.3</x:v>
      </x:c>
      <x:c r="D25" s="100" t="str">
        <x:v>kg each</x:v>
      </x:c>
      <x:c r="E25" s="100" t="str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  <x:c r="AA25" s="101"/>
      <x:c r="AB25" s="101"/>
      <x:c r="AC25" s="101"/>
      <x:c r="AD25" s="101"/>
      <x:c r="AE25" s="101"/>
    </x:row>
    <x:row r="26">
      <x:c r="A26" s="100" t="str">
        <x:v>Controls</x:v>
      </x:c>
      <x:c r="B26" s="100" t="str">
        <x:v>Emergency retract button / ERB</x:v>
      </x:c>
      <x:c r="C26" s="119" t="n">
        <x:v>0.1</x:v>
      </x:c>
      <x:c r="D26" s="100" t="str">
        <x:v>kg each</x:v>
      </x:c>
      <x:c r="E26" s="100" t="str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  <x:c r="AA26" s="101"/>
      <x:c r="AB26" s="101"/>
      <x:c r="AC26" s="101"/>
      <x:c r="AD26" s="101"/>
      <x:c r="AE26" s="101"/>
    </x:row>
    <x:row r="27">
      <x:c r="A27" s="100" t="str">
        <x:v>Controls</x:v>
      </x:c>
      <x:c r="B27" s="100" t="str">
        <x:v>Battery &amp; mains monitor</x:v>
      </x:c>
      <x:c r="C27" s="119" t="n">
        <x:v>0.5</x:v>
      </x:c>
      <x:c r="D27" s="100" t="str">
        <x:v>kg each</x:v>
      </x:c>
      <x:c r="E27" s="100" t="str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  <x:c r="AA27" s="101"/>
      <x:c r="AB27" s="101"/>
      <x:c r="AC27" s="101"/>
      <x:c r="AD27" s="101"/>
      <x:c r="AE27" s="101"/>
    </x:row>
    <x:row r="28">
      <x:c r="A28" s="100" t="str">
        <x:v>Controls</x:v>
      </x:c>
      <x:c r="B28" s="100" t="str">
        <x:v>Beam sensor kit</x:v>
      </x:c>
      <x:c r="C28" s="119" t="n">
        <x:v>0.4</x:v>
      </x:c>
      <x:c r="D28" s="100" t="str">
        <x:v>kg each</x:v>
      </x:c>
      <x:c r="E28" s="100" t="str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  <x:c r="AA28" s="101"/>
      <x:c r="AB28" s="101"/>
      <x:c r="AC28" s="101"/>
      <x:c r="AD28" s="101"/>
      <x:c r="AE28" s="101"/>
    </x:row>
    <x:row r="29">
      <x:c r="A29" s="100" t="str">
        <x:v>Controls</x:v>
      </x:c>
      <x:c r="B29" s="100" t="str">
        <x:v>Audio visual</x:v>
      </x:c>
      <x:c r="C29" s="119" t="n">
        <x:v>0.3</x:v>
      </x:c>
      <x:c r="D29" s="100" t="str">
        <x:v>kg each</x:v>
      </x:c>
      <x:c r="E29" s="100" t="str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  <x:c r="AA29" s="101"/>
      <x:c r="AB29" s="101"/>
      <x:c r="AC29" s="101"/>
      <x:c r="AD29" s="101"/>
      <x:c r="AE29" s="101"/>
    </x:row>
    <x:row r="30">
      <x:c r="A30" s="100" t="str">
        <x:v>Controls</x:v>
      </x:c>
      <x:c r="B30" s="100" t="str">
        <x:v>Timer relay kit</x:v>
      </x:c>
      <x:c r="C30" s="119" t="n">
        <x:v>0.2</x:v>
      </x:c>
      <x:c r="D30" s="100" t="str">
        <x:v>kg each</x:v>
      </x:c>
      <x:c r="E30" s="100" t="str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  <x:c r="AA30" s="101"/>
      <x:c r="AB30" s="101"/>
      <x:c r="AC30" s="101"/>
      <x:c r="AD30" s="101"/>
      <x:c r="AE30" s="101"/>
    </x:row>
    <x:row r="31">
      <x:c r="A31" s="100" t="str">
        <x:v>Controls</x:v>
      </x:c>
      <x:c r="B31" s="100" t="str">
        <x:v>Delay / split drop</x:v>
      </x:c>
      <x:c r="C31" s="119" t="n">
        <x:v>0</x:v>
      </x:c>
      <x:c r="D31" s="100" t="str">
        <x:v>kg each</x:v>
      </x:c>
      <x:c r="E31" s="100" t="str">
        <x:v>Usually control logic unless separate kit supplied</x:v>
      </x:c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  <x:c r="AA31" s="101"/>
      <x:c r="AB31" s="101"/>
      <x:c r="AC31" s="101"/>
      <x:c r="AD31" s="101"/>
      <x:c r="AE31" s="101"/>
    </x:row>
    <x:row r="32">
      <x:c r="A32" s="100" t="str">
        <x:v>Endplates</x:v>
      </x:c>
      <x:c r="B32" s="100" t="str">
        <x:v>Single endplate pair</x:v>
      </x:c>
      <x:c r="C32" s="119" t="n">
        <x:v>2</x:v>
      </x:c>
      <x:c r="D32" s="100" t="str">
        <x:v>kg per pair</x:v>
      </x:c>
      <x:c r="E32" s="100" t="str">
        <x:v>2mm Zintec</x:v>
      </x:c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  <x:c r="AA32" s="101"/>
      <x:c r="AB32" s="101"/>
      <x:c r="AC32" s="101"/>
      <x:c r="AD32" s="101"/>
      <x:c r="AE32" s="101"/>
    </x:row>
    <x:row r="33">
      <x:c r="A33" s="100" t="str">
        <x:v>Endplates</x:v>
      </x:c>
      <x:c r="B33" s="100" t="str">
        <x:v>Multi endplate pair</x:v>
      </x:c>
      <x:c r="C33" s="119" t="n">
        <x:v>4</x:v>
      </x:c>
      <x:c r="D33" s="100" t="str">
        <x:v>kg per pair</x:v>
      </x:c>
      <x:c r="E33" s="100" t="str">
        <x:v>2mm Zintec / large headbox allowance</x:v>
      </x:c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  <x:c r="AA33" s="101"/>
      <x:c r="AB33" s="101"/>
      <x:c r="AC33" s="101"/>
      <x:c r="AD33" s="101"/>
      <x:c r="AE33" s="101"/>
    </x:row>
    <x:row r="34">
      <x:c r="A34" s="101"/>
      <x:c r="B34" s="101"/>
      <x:c r="C34" s="120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  <x:c r="AA34" s="101"/>
      <x:c r="AB34" s="101"/>
      <x:c r="AC34" s="101"/>
      <x:c r="AD34" s="101"/>
      <x:c r="AE34" s="101"/>
    </x:row>
    <x:row r="35">
      <x:c r="A35" s="101"/>
      <x:c r="B35" s="101"/>
      <x:c r="C35" s="120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  <x:c r="AA35" s="101"/>
      <x:c r="AB35" s="101"/>
      <x:c r="AC35" s="101"/>
      <x:c r="AD35" s="101"/>
      <x:c r="AE35" s="101"/>
    </x:row>
    <x:row r="36">
      <x:c r="A36" s="101"/>
      <x:c r="B36" s="101"/>
      <x:c r="C36" s="120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  <x:c r="AA36" s="101"/>
      <x:c r="AB36" s="101"/>
      <x:c r="AC36" s="101"/>
      <x:c r="AD36" s="101"/>
      <x:c r="AE36" s="101"/>
    </x:row>
    <x:row r="37">
      <x:c r="A37" s="101"/>
      <x:c r="B37" s="101"/>
      <x:c r="C37" s="120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  <x:c r="AA37" s="101"/>
      <x:c r="AB37" s="101"/>
      <x:c r="AC37" s="101"/>
      <x:c r="AD37" s="101"/>
      <x:c r="AE37" s="101"/>
    </x:row>
    <x:row r="38">
      <x:c r="A38" s="101"/>
      <x:c r="B38" s="101"/>
      <x:c r="C38" s="120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  <x:c r="AA38" s="101"/>
      <x:c r="AB38" s="101"/>
      <x:c r="AC38" s="101"/>
      <x:c r="AD38" s="101"/>
      <x:c r="AE38" s="101"/>
    </x:row>
    <x:row r="39">
      <x:c r="A39" s="101"/>
      <x:c r="B39" s="101"/>
      <x:c r="C39" s="120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  <x:c r="AA39" s="101"/>
      <x:c r="AB39" s="101"/>
      <x:c r="AC39" s="101"/>
      <x:c r="AD39" s="101"/>
      <x:c r="AE39" s="101"/>
    </x:row>
    <x:row r="40">
      <x:c r="A40" s="101"/>
      <x:c r="B40" s="101"/>
      <x:c r="C40" s="120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  <x:c r="AA40" s="101"/>
      <x:c r="AB40" s="101"/>
      <x:c r="AC40" s="101"/>
      <x:c r="AD40" s="101"/>
      <x:c r="AE40" s="101"/>
    </x:row>
    <x:row r="41">
      <x:c r="A41" s="101"/>
      <x:c r="B41" s="101"/>
      <x:c r="C41" s="120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  <x:c r="AA41" s="101"/>
      <x:c r="AB41" s="101"/>
      <x:c r="AC41" s="101"/>
      <x:c r="AD41" s="101"/>
      <x:c r="AE41" s="101"/>
    </x:row>
    <x:row r="42">
      <x:c r="A42" s="101"/>
      <x:c r="B42" s="101"/>
      <x:c r="C42" s="120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  <x:c r="AA42" s="101"/>
      <x:c r="AB42" s="101"/>
      <x:c r="AC42" s="101"/>
      <x:c r="AD42" s="101"/>
      <x:c r="AE42" s="101"/>
    </x:row>
    <x:row r="43">
      <x:c r="A43" s="101"/>
      <x:c r="B43" s="101"/>
      <x:c r="C43" s="120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  <x:c r="AA43" s="101"/>
      <x:c r="AB43" s="101"/>
      <x:c r="AC43" s="101"/>
      <x:c r="AD43" s="101"/>
      <x:c r="AE43" s="101"/>
    </x:row>
    <x:row r="44">
      <x:c r="A44" s="101"/>
      <x:c r="B44" s="101"/>
      <x:c r="C44" s="120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  <x:c r="AA44" s="101"/>
      <x:c r="AB44" s="101"/>
      <x:c r="AC44" s="101"/>
      <x:c r="AD44" s="101"/>
      <x:c r="AE44" s="101"/>
    </x:row>
    <x:row r="45">
      <x:c r="A45" s="101"/>
      <x:c r="B45" s="101"/>
      <x:c r="C45" s="120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  <x:c r="AA45" s="101"/>
      <x:c r="AB45" s="101"/>
      <x:c r="AC45" s="101"/>
      <x:c r="AD45" s="101"/>
      <x:c r="AE45" s="101"/>
    </x:row>
    <x:row r="46">
      <x:c r="A46" s="101"/>
      <x:c r="B46" s="101"/>
      <x:c r="C46" s="120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  <x:c r="AA46" s="101"/>
      <x:c r="AB46" s="101"/>
      <x:c r="AC46" s="101"/>
      <x:c r="AD46" s="101"/>
      <x:c r="AE46" s="101"/>
    </x:row>
    <x:row r="47">
      <x:c r="A47" s="101"/>
      <x:c r="B47" s="101"/>
      <x:c r="C47" s="120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  <x:c r="AA47" s="101"/>
      <x:c r="AB47" s="101"/>
      <x:c r="AC47" s="101"/>
      <x:c r="AD47" s="101"/>
      <x:c r="AE47" s="101"/>
    </x:row>
    <x:row r="48">
      <x:c r="A48" s="101"/>
      <x:c r="B48" s="101"/>
      <x:c r="C48" s="120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  <x:c r="AA48" s="101"/>
      <x:c r="AB48" s="101"/>
      <x:c r="AC48" s="101"/>
      <x:c r="AD48" s="101"/>
      <x:c r="AE48" s="101"/>
    </x:row>
    <x:row r="49">
      <x:c r="A49" s="101"/>
      <x:c r="B49" s="101"/>
      <x:c r="C49" s="120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  <x:c r="AA49" s="101"/>
      <x:c r="AB49" s="101"/>
      <x:c r="AC49" s="101"/>
      <x:c r="AD49" s="101"/>
      <x:c r="AE49" s="101"/>
    </x:row>
    <x:row r="50">
      <x:c r="A50" s="101"/>
      <x:c r="B50" s="101"/>
      <x:c r="C50" s="120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  <x:c r="AA50" s="101"/>
      <x:c r="AB50" s="101"/>
      <x:c r="AC50" s="101"/>
      <x:c r="AD50" s="101"/>
      <x:c r="AE50" s="101"/>
    </x:row>
    <x:row r="51">
      <x:c r="A51" s="101"/>
      <x:c r="B51" s="101"/>
      <x:c r="C51" s="120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  <x:c r="AA51" s="101"/>
      <x:c r="AB51" s="101"/>
      <x:c r="AC51" s="101"/>
      <x:c r="AD51" s="101"/>
      <x:c r="AE51" s="101"/>
    </x:row>
    <x:row r="52">
      <x:c r="A52" s="101"/>
      <x:c r="B52" s="101"/>
      <x:c r="C52" s="120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  <x:c r="AA52" s="101"/>
      <x:c r="AB52" s="101"/>
      <x:c r="AC52" s="101"/>
      <x:c r="AD52" s="101"/>
      <x:c r="AE52" s="101"/>
    </x:row>
    <x:row r="53">
      <x:c r="A53" s="101"/>
      <x:c r="B53" s="101"/>
      <x:c r="C53" s="120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  <x:c r="AA53" s="101"/>
      <x:c r="AB53" s="101"/>
      <x:c r="AC53" s="101"/>
      <x:c r="AD53" s="101"/>
      <x:c r="AE53" s="101"/>
    </x:row>
    <x:row r="54">
      <x:c r="A54" s="101"/>
      <x:c r="B54" s="101"/>
      <x:c r="C54" s="120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  <x:c r="AA54" s="101"/>
      <x:c r="AB54" s="101"/>
      <x:c r="AC54" s="101"/>
      <x:c r="AD54" s="101"/>
      <x:c r="AE54" s="101"/>
    </x:row>
    <x:row r="55">
      <x:c r="A55" s="101"/>
      <x:c r="B55" s="101"/>
      <x:c r="C55" s="120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  <x:c r="AA55" s="101"/>
      <x:c r="AB55" s="101"/>
      <x:c r="AC55" s="101"/>
      <x:c r="AD55" s="101"/>
      <x:c r="AE55" s="101"/>
    </x:row>
    <x:row r="56">
      <x:c r="A56" s="101"/>
      <x:c r="B56" s="101"/>
      <x:c r="C56" s="120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  <x:c r="AA56" s="101"/>
      <x:c r="AB56" s="101"/>
      <x:c r="AC56" s="101"/>
      <x:c r="AD56" s="101"/>
      <x:c r="AE56" s="101"/>
    </x:row>
    <x:row r="57">
      <x:c r="A57" s="101"/>
      <x:c r="B57" s="101"/>
      <x:c r="C57" s="120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  <x:c r="AA57" s="101"/>
      <x:c r="AB57" s="101"/>
      <x:c r="AC57" s="101"/>
      <x:c r="AD57" s="101"/>
      <x:c r="AE57" s="101"/>
    </x:row>
    <x:row r="58">
      <x:c r="A58" s="101"/>
      <x:c r="B58" s="101"/>
      <x:c r="C58" s="120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  <x:c r="AA58" s="101"/>
      <x:c r="AB58" s="101"/>
      <x:c r="AC58" s="101"/>
      <x:c r="AD58" s="101"/>
      <x:c r="AE58" s="101"/>
    </x:row>
    <x:row r="59">
      <x:c r="A59" s="101"/>
      <x:c r="B59" s="101"/>
      <x:c r="C59" s="120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  <x:c r="AA59" s="101"/>
      <x:c r="AB59" s="101"/>
      <x:c r="AC59" s="101"/>
      <x:c r="AD59" s="101"/>
      <x:c r="AE59" s="101"/>
    </x:row>
    <x:row r="60">
      <x:c r="A60" s="101"/>
      <x:c r="B60" s="101"/>
      <x:c r="C60" s="120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  <x:c r="AA60" s="101"/>
      <x:c r="AB60" s="101"/>
      <x:c r="AC60" s="101"/>
      <x:c r="AD60" s="101"/>
      <x:c r="AE60" s="101"/>
    </x:row>
    <x:row r="61">
      <x:c r="A61" s="101"/>
      <x:c r="B61" s="101"/>
      <x:c r="C61" s="120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  <x:c r="AA61" s="101"/>
      <x:c r="AB61" s="101"/>
      <x:c r="AC61" s="101"/>
      <x:c r="AD61" s="101"/>
      <x:c r="AE61" s="101"/>
    </x:row>
    <x:row r="62">
      <x:c r="A62" s="101"/>
      <x:c r="B62" s="101"/>
      <x:c r="C62" s="120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  <x:c r="AA62" s="101"/>
      <x:c r="AB62" s="101"/>
      <x:c r="AC62" s="101"/>
      <x:c r="AD62" s="101"/>
      <x:c r="AE62" s="101"/>
    </x:row>
    <x:row r="63">
      <x:c r="A63" s="101"/>
      <x:c r="B63" s="101"/>
      <x:c r="C63" s="120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  <x:c r="AA63" s="101"/>
      <x:c r="AB63" s="101"/>
      <x:c r="AC63" s="101"/>
      <x:c r="AD63" s="101"/>
      <x:c r="AE63" s="101"/>
    </x:row>
    <x:row r="64">
      <x:c r="A64" s="101"/>
      <x:c r="B64" s="101"/>
      <x:c r="C64" s="120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  <x:c r="AA64" s="101"/>
      <x:c r="AB64" s="101"/>
      <x:c r="AC64" s="101"/>
      <x:c r="AD64" s="101"/>
      <x:c r="AE64" s="101"/>
    </x:row>
    <x:row r="65">
      <x:c r="A65" s="101"/>
      <x:c r="B65" s="101"/>
      <x:c r="C65" s="120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  <x:c r="AA65" s="101"/>
      <x:c r="AB65" s="101"/>
      <x:c r="AC65" s="101"/>
      <x:c r="AD65" s="101"/>
      <x:c r="AE65" s="101"/>
    </x:row>
    <x:row r="66">
      <x:c r="A66" s="101"/>
      <x:c r="B66" s="101"/>
      <x:c r="C66" s="120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  <x:c r="AA66" s="101"/>
      <x:c r="AB66" s="101"/>
      <x:c r="AC66" s="101"/>
      <x:c r="AD66" s="101"/>
      <x:c r="AE66" s="101"/>
    </x:row>
    <x:row r="67">
      <x:c r="A67" s="101"/>
      <x:c r="B67" s="101"/>
      <x:c r="C67" s="120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  <x:c r="AA67" s="101"/>
      <x:c r="AB67" s="101"/>
      <x:c r="AC67" s="101"/>
      <x:c r="AD67" s="101"/>
      <x:c r="AE67" s="101"/>
    </x:row>
    <x:row r="68">
      <x:c r="A68" s="101"/>
      <x:c r="B68" s="101"/>
      <x:c r="C68" s="120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  <x:c r="AA68" s="101"/>
      <x:c r="AB68" s="101"/>
      <x:c r="AC68" s="101"/>
      <x:c r="AD68" s="101"/>
      <x:c r="AE68" s="101"/>
    </x:row>
    <x:row r="69">
      <x:c r="A69" s="101"/>
      <x:c r="B69" s="101"/>
      <x:c r="C69" s="120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  <x:c r="AA69" s="101"/>
      <x:c r="AB69" s="101"/>
      <x:c r="AC69" s="101"/>
      <x:c r="AD69" s="101"/>
      <x:c r="AE69" s="101"/>
    </x:row>
    <x:row r="70">
      <x:c r="A70" s="101"/>
      <x:c r="B70" s="101"/>
      <x:c r="C70" s="120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  <x:c r="AA70" s="101"/>
      <x:c r="AB70" s="101"/>
      <x:c r="AC70" s="101"/>
      <x:c r="AD70" s="101"/>
      <x:c r="AE70" s="101"/>
    </x:row>
    <x:row r="71">
      <x:c r="A71" s="101"/>
      <x:c r="B71" s="101"/>
      <x:c r="C71" s="120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  <x:c r="AA71" s="101"/>
      <x:c r="AB71" s="101"/>
      <x:c r="AC71" s="101"/>
      <x:c r="AD71" s="101"/>
      <x:c r="AE71" s="101"/>
    </x:row>
    <x:row r="72">
      <x:c r="A72" s="101"/>
      <x:c r="B72" s="101"/>
      <x:c r="C72" s="120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  <x:c r="AA72" s="101"/>
      <x:c r="AB72" s="101"/>
      <x:c r="AC72" s="101"/>
      <x:c r="AD72" s="101"/>
      <x:c r="AE72" s="101"/>
    </x:row>
    <x:row r="73">
      <x:c r="A73" s="101"/>
      <x:c r="B73" s="101"/>
      <x:c r="C73" s="120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  <x:c r="AA73" s="101"/>
      <x:c r="AB73" s="101"/>
      <x:c r="AC73" s="101"/>
      <x:c r="AD73" s="101"/>
      <x:c r="AE73" s="101"/>
    </x:row>
    <x:row r="74">
      <x:c r="A74" s="101"/>
      <x:c r="B74" s="101"/>
      <x:c r="C74" s="120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  <x:c r="AA74" s="101"/>
      <x:c r="AB74" s="101"/>
      <x:c r="AC74" s="101"/>
      <x:c r="AD74" s="101"/>
      <x:c r="AE74" s="101"/>
    </x:row>
    <x:row r="75">
      <x:c r="A75" s="101"/>
      <x:c r="B75" s="101"/>
      <x:c r="C75" s="120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  <x:c r="AA75" s="101"/>
      <x:c r="AB75" s="101"/>
      <x:c r="AC75" s="101"/>
      <x:c r="AD75" s="101"/>
      <x:c r="AE75" s="101"/>
    </x:row>
    <x:row r="76">
      <x:c r="A76" s="101"/>
      <x:c r="B76" s="101"/>
      <x:c r="C76" s="120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  <x:c r="AA76" s="101"/>
      <x:c r="AB76" s="101"/>
      <x:c r="AC76" s="101"/>
      <x:c r="AD76" s="101"/>
      <x:c r="AE76" s="101"/>
    </x:row>
    <x:row r="77">
      <x:c r="A77" s="101"/>
      <x:c r="B77" s="101"/>
      <x:c r="C77" s="120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  <x:c r="AA77" s="101"/>
      <x:c r="AB77" s="101"/>
      <x:c r="AC77" s="101"/>
      <x:c r="AD77" s="101"/>
      <x:c r="AE77" s="101"/>
    </x:row>
    <x:row r="78">
      <x:c r="A78" s="101"/>
      <x:c r="B78" s="101"/>
      <x:c r="C78" s="120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  <x:c r="AA78" s="101"/>
      <x:c r="AB78" s="101"/>
      <x:c r="AC78" s="101"/>
      <x:c r="AD78" s="101"/>
      <x:c r="AE78" s="101"/>
    </x:row>
    <x:row r="79">
      <x:c r="A79" s="101"/>
      <x:c r="B79" s="101"/>
      <x:c r="C79" s="120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  <x:c r="AA79" s="101"/>
      <x:c r="AB79" s="101"/>
      <x:c r="AC79" s="101"/>
      <x:c r="AD79" s="101"/>
      <x:c r="AE79" s="101"/>
    </x:row>
    <x:row r="80">
      <x:c r="A80" s="101"/>
      <x:c r="B80" s="101"/>
      <x:c r="C80" s="120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  <x:c r="AA80" s="101"/>
      <x:c r="AB80" s="101"/>
      <x:c r="AC80" s="101"/>
      <x:c r="AD80" s="101"/>
      <x:c r="AE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  <x:c r="AA81" s="101"/>
      <x:c r="AB81" s="101"/>
      <x:c r="AC81" s="101"/>
      <x:c r="AD81" s="101"/>
      <x:c r="AE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  <x:c r="AA82" s="101"/>
      <x:c r="AB82" s="101"/>
      <x:c r="AC82" s="101"/>
      <x:c r="AD82" s="101"/>
      <x:c r="AE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  <x:c r="AA83" s="101"/>
      <x:c r="AB83" s="101"/>
      <x:c r="AC83" s="101"/>
      <x:c r="AD83" s="101"/>
      <x:c r="AE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  <x:c r="AA84" s="101"/>
      <x:c r="AB84" s="101"/>
      <x:c r="AC84" s="101"/>
      <x:c r="AD84" s="101"/>
      <x:c r="AE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  <x:c r="AA85" s="101"/>
      <x:c r="AB85" s="101"/>
      <x:c r="AC85" s="101"/>
      <x:c r="AD85" s="101"/>
      <x:c r="AE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  <x:c r="AA86" s="101"/>
      <x:c r="AB86" s="101"/>
      <x:c r="AC86" s="101"/>
      <x:c r="AD86" s="101"/>
      <x:c r="AE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  <x:c r="AA87" s="101"/>
      <x:c r="AB87" s="101"/>
      <x:c r="AC87" s="101"/>
      <x:c r="AD87" s="101"/>
      <x:c r="AE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  <x:c r="AA88" s="101"/>
      <x:c r="AB88" s="101"/>
      <x:c r="AC88" s="101"/>
      <x:c r="AD88" s="101"/>
      <x:c r="AE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  <x:c r="AA89" s="101"/>
      <x:c r="AB89" s="101"/>
      <x:c r="AC89" s="101"/>
      <x:c r="AD89" s="101"/>
      <x:c r="AE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  <x:c r="AA90" s="101"/>
      <x:c r="AB90" s="101"/>
      <x:c r="AC90" s="101"/>
      <x:c r="AD90" s="101"/>
      <x:c r="AE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  <x:c r="AA91" s="101"/>
      <x:c r="AB91" s="101"/>
      <x:c r="AC91" s="101"/>
      <x:c r="AD91" s="101"/>
      <x:c r="AE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  <x:c r="AA92" s="101"/>
      <x:c r="AB92" s="101"/>
      <x:c r="AC92" s="101"/>
      <x:c r="AD92" s="101"/>
      <x:c r="AE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  <x:c r="AA93" s="101"/>
      <x:c r="AB93" s="101"/>
      <x:c r="AC93" s="101"/>
      <x:c r="AD93" s="101"/>
      <x:c r="AE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  <x:c r="AA94" s="101"/>
      <x:c r="AB94" s="101"/>
      <x:c r="AC94" s="101"/>
      <x:c r="AD94" s="101"/>
      <x:c r="AE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  <x:c r="AA95" s="101"/>
      <x:c r="AB95" s="101"/>
      <x:c r="AC95" s="101"/>
      <x:c r="AD95" s="101"/>
      <x:c r="AE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  <x:c r="AA96" s="101"/>
      <x:c r="AB96" s="101"/>
      <x:c r="AC96" s="101"/>
      <x:c r="AD96" s="101"/>
      <x:c r="AE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  <x:c r="AA97" s="101"/>
      <x:c r="AB97" s="101"/>
      <x:c r="AC97" s="101"/>
      <x:c r="AD97" s="101"/>
      <x:c r="AE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  <x:c r="AA98" s="101"/>
      <x:c r="AB98" s="101"/>
      <x:c r="AC98" s="101"/>
      <x:c r="AD98" s="101"/>
      <x:c r="AE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  <x:c r="AA99" s="101"/>
      <x:c r="AB99" s="101"/>
      <x:c r="AC99" s="101"/>
      <x:c r="AD99" s="101"/>
      <x:c r="AE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  <x:c r="AA100" s="101"/>
      <x:c r="AB100" s="101"/>
      <x:c r="AC100" s="101"/>
      <x:c r="AD100" s="101"/>
      <x:c r="AE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  <x:c r="AA101" s="101"/>
      <x:c r="AB101" s="101"/>
      <x:c r="AC101" s="101"/>
      <x:c r="AD101" s="101"/>
      <x:c r="AE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  <x:c r="AA102" s="101"/>
      <x:c r="AB102" s="101"/>
      <x:c r="AC102" s="101"/>
      <x:c r="AD102" s="101"/>
      <x:c r="AE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  <x:c r="AA103" s="101"/>
      <x:c r="AB103" s="101"/>
      <x:c r="AC103" s="101"/>
      <x:c r="AD103" s="101"/>
      <x:c r="AE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  <x:c r="AA104" s="101"/>
      <x:c r="AB104" s="101"/>
      <x:c r="AC104" s="101"/>
      <x:c r="AD104" s="101"/>
      <x:c r="AE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  <x:c r="AA105" s="101"/>
      <x:c r="AB105" s="101"/>
      <x:c r="AC105" s="101"/>
      <x:c r="AD105" s="101"/>
      <x:c r="AE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  <x:c r="AA106" s="101"/>
      <x:c r="AB106" s="101"/>
      <x:c r="AC106" s="101"/>
      <x:c r="AD106" s="101"/>
      <x:c r="AE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  <x:c r="AA107" s="101"/>
      <x:c r="AB107" s="101"/>
      <x:c r="AC107" s="101"/>
      <x:c r="AD107" s="101"/>
      <x:c r="AE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  <x:c r="AA108" s="101"/>
      <x:c r="AB108" s="101"/>
      <x:c r="AC108" s="101"/>
      <x:c r="AD108" s="101"/>
      <x:c r="AE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  <x:c r="AA109" s="101"/>
      <x:c r="AB109" s="101"/>
      <x:c r="AC109" s="101"/>
      <x:c r="AD109" s="101"/>
      <x:c r="AE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  <x:c r="AA110" s="101"/>
      <x:c r="AB110" s="101"/>
      <x:c r="AC110" s="101"/>
      <x:c r="AD110" s="101"/>
      <x:c r="AE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  <x:c r="AA111" s="101"/>
      <x:c r="AB111" s="101"/>
      <x:c r="AC111" s="101"/>
      <x:c r="AD111" s="101"/>
      <x:c r="AE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  <x:c r="AA112" s="101"/>
      <x:c r="AB112" s="101"/>
      <x:c r="AC112" s="101"/>
      <x:c r="AD112" s="101"/>
      <x:c r="AE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  <x:c r="AA113" s="101"/>
      <x:c r="AB113" s="101"/>
      <x:c r="AC113" s="101"/>
      <x:c r="AD113" s="101"/>
      <x:c r="AE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  <x:c r="AA114" s="101"/>
      <x:c r="AB114" s="101"/>
      <x:c r="AC114" s="101"/>
      <x:c r="AD114" s="101"/>
      <x:c r="AE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  <x:c r="AA115" s="101"/>
      <x:c r="AB115" s="101"/>
      <x:c r="AC115" s="101"/>
      <x:c r="AD115" s="101"/>
      <x:c r="AE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  <x:c r="AA116" s="101"/>
      <x:c r="AB116" s="101"/>
      <x:c r="AC116" s="101"/>
      <x:c r="AD116" s="101"/>
      <x:c r="AE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  <x:c r="AA117" s="101"/>
      <x:c r="AB117" s="101"/>
      <x:c r="AC117" s="101"/>
      <x:c r="AD117" s="101"/>
      <x:c r="AE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  <x:c r="AA118" s="101"/>
      <x:c r="AB118" s="101"/>
      <x:c r="AC118" s="101"/>
      <x:c r="AD118" s="101"/>
      <x:c r="AE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  <x:c r="AA119" s="101"/>
      <x:c r="AB119" s="101"/>
      <x:c r="AC119" s="101"/>
      <x:c r="AD119" s="101"/>
      <x:c r="AE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  <x:c r="AA120" s="101"/>
      <x:c r="AB120" s="101"/>
      <x:c r="AC120" s="101"/>
      <x:c r="AD120" s="101"/>
      <x:c r="AE120" s="101"/>
    </x:row>
    <x:row r="121">
      <x:c r="A121" s="101"/>
      <x:c r="B121" s="101"/>
      <x:c r="C121" s="101"/>
      <x:c r="D121" s="101"/>
      <x:c r="E121" s="101"/>
      <x:c r="F121" s="101"/>
      <x:c r="G121" s="101"/>
      <x:c r="H121" s="101"/>
      <x:c r="I121" s="101"/>
      <x:c r="J121" s="101"/>
      <x:c r="K121" s="101"/>
      <x:c r="L121" s="101"/>
      <x:c r="M121" s="101"/>
      <x:c r="N121" s="101"/>
      <x:c r="O121" s="101"/>
      <x:c r="P121" s="101"/>
      <x:c r="Q121" s="101"/>
      <x:c r="R121" s="101"/>
      <x:c r="S121" s="101"/>
      <x:c r="T121" s="101"/>
      <x:c r="U121" s="101"/>
      <x:c r="V121" s="101"/>
      <x:c r="W121" s="101"/>
      <x:c r="X121" s="101"/>
      <x:c r="Y121" s="101"/>
      <x:c r="Z121" s="101"/>
      <x:c r="AA121" s="101"/>
      <x:c r="AB121" s="101"/>
      <x:c r="AC121" s="101"/>
      <x:c r="AD121" s="101"/>
      <x:c r="AE121" s="101"/>
    </x:row>
    <x:row r="122">
      <x:c r="A122" s="101"/>
      <x:c r="B122" s="101"/>
      <x:c r="C122" s="101"/>
      <x:c r="D122" s="101"/>
      <x:c r="E122" s="101"/>
      <x:c r="F122" s="101"/>
      <x:c r="G122" s="101"/>
      <x:c r="H122" s="101"/>
      <x:c r="I122" s="101"/>
      <x:c r="J122" s="101"/>
      <x:c r="K122" s="101"/>
      <x:c r="L122" s="101"/>
      <x:c r="M122" s="101"/>
      <x:c r="N122" s="101"/>
      <x:c r="O122" s="101"/>
      <x:c r="P122" s="101"/>
      <x:c r="Q122" s="101"/>
      <x:c r="R122" s="101"/>
      <x:c r="S122" s="101"/>
      <x:c r="T122" s="101"/>
      <x:c r="U122" s="101"/>
      <x:c r="V122" s="101"/>
      <x:c r="W122" s="101"/>
      <x:c r="X122" s="101"/>
      <x:c r="Y122" s="101"/>
      <x:c r="Z122" s="101"/>
      <x:c r="AA122" s="101"/>
      <x:c r="AB122" s="101"/>
      <x:c r="AC122" s="101"/>
      <x:c r="AD122" s="101"/>
      <x:c r="AE122" s="101"/>
    </x:row>
    <x:row r="123">
      <x:c r="A123" s="101"/>
      <x:c r="B123" s="101"/>
      <x:c r="C123" s="101"/>
      <x:c r="D123" s="101"/>
      <x:c r="E123" s="101"/>
      <x:c r="F123" s="101"/>
      <x:c r="G123" s="101"/>
      <x:c r="H123" s="101"/>
      <x:c r="I123" s="101"/>
      <x:c r="J123" s="101"/>
      <x:c r="K123" s="101"/>
      <x:c r="L123" s="101"/>
      <x:c r="M123" s="101"/>
      <x:c r="N123" s="101"/>
      <x:c r="O123" s="101"/>
      <x:c r="P123" s="101"/>
      <x:c r="Q123" s="101"/>
      <x:c r="R123" s="101"/>
      <x:c r="S123" s="101"/>
      <x:c r="T123" s="101"/>
      <x:c r="U123" s="101"/>
      <x:c r="V123" s="101"/>
      <x:c r="W123" s="101"/>
      <x:c r="X123" s="101"/>
      <x:c r="Y123" s="101"/>
      <x:c r="Z123" s="101"/>
      <x:c r="AA123" s="101"/>
      <x:c r="AB123" s="101"/>
      <x:c r="AC123" s="101"/>
      <x:c r="AD123" s="101"/>
      <x:c r="AE123" s="101"/>
    </x:row>
    <x:row r="124">
      <x:c r="A124" s="101"/>
      <x:c r="B124" s="101"/>
      <x:c r="C124" s="101"/>
      <x:c r="D124" s="101"/>
      <x:c r="E124" s="101"/>
      <x:c r="F124" s="101"/>
      <x:c r="G124" s="101"/>
      <x:c r="H124" s="101"/>
      <x:c r="I124" s="101"/>
      <x:c r="J124" s="101"/>
      <x:c r="K124" s="101"/>
      <x:c r="L124" s="101"/>
      <x:c r="M124" s="101"/>
      <x:c r="N124" s="101"/>
      <x:c r="O124" s="101"/>
      <x:c r="P124" s="101"/>
      <x:c r="Q124" s="101"/>
      <x:c r="R124" s="101"/>
      <x:c r="S124" s="101"/>
      <x:c r="T124" s="101"/>
      <x:c r="U124" s="101"/>
      <x:c r="V124" s="101"/>
      <x:c r="W124" s="101"/>
      <x:c r="X124" s="101"/>
      <x:c r="Y124" s="101"/>
      <x:c r="Z124" s="101"/>
      <x:c r="AA124" s="101"/>
      <x:c r="AB124" s="101"/>
      <x:c r="AC124" s="101"/>
      <x:c r="AD124" s="101"/>
      <x:c r="AE124" s="101"/>
    </x:row>
    <x:row r="125">
      <x:c r="A125" s="101"/>
      <x:c r="B125" s="101"/>
      <x:c r="C125" s="101"/>
      <x:c r="D125" s="101"/>
      <x:c r="E125" s="101"/>
      <x:c r="F125" s="101"/>
      <x:c r="G125" s="101"/>
      <x:c r="H125" s="101"/>
      <x:c r="I125" s="101"/>
      <x:c r="J125" s="101"/>
      <x:c r="K125" s="101"/>
      <x:c r="L125" s="101"/>
      <x:c r="M125" s="101"/>
      <x:c r="N125" s="101"/>
      <x:c r="O125" s="101"/>
      <x:c r="P125" s="101"/>
      <x:c r="Q125" s="101"/>
      <x:c r="R125" s="101"/>
      <x:c r="S125" s="101"/>
      <x:c r="T125" s="101"/>
      <x:c r="U125" s="101"/>
      <x:c r="V125" s="101"/>
      <x:c r="W125" s="101"/>
      <x:c r="X125" s="101"/>
      <x:c r="Y125" s="101"/>
      <x:c r="Z125" s="101"/>
      <x:c r="AA125" s="101"/>
      <x:c r="AB125" s="101"/>
      <x:c r="AC125" s="101"/>
      <x:c r="AD125" s="101"/>
      <x:c r="AE125" s="101"/>
    </x:row>
    <x:row r="126">
      <x:c r="A126" s="101"/>
      <x:c r="B126" s="101"/>
      <x:c r="C126" s="101"/>
      <x:c r="D126" s="101"/>
      <x:c r="E126" s="101"/>
      <x:c r="F126" s="101"/>
      <x:c r="G126" s="101"/>
      <x:c r="H126" s="101"/>
      <x:c r="I126" s="101"/>
      <x:c r="J126" s="101"/>
      <x:c r="K126" s="101"/>
      <x:c r="L126" s="101"/>
      <x:c r="M126" s="101"/>
      <x:c r="N126" s="101"/>
      <x:c r="O126" s="101"/>
      <x:c r="P126" s="101"/>
      <x:c r="Q126" s="101"/>
      <x:c r="R126" s="101"/>
      <x:c r="S126" s="101"/>
      <x:c r="T126" s="101"/>
      <x:c r="U126" s="101"/>
      <x:c r="V126" s="101"/>
      <x:c r="W126" s="101"/>
      <x:c r="X126" s="101"/>
      <x:c r="Y126" s="101"/>
      <x:c r="Z126" s="101"/>
      <x:c r="AA126" s="101"/>
      <x:c r="AB126" s="101"/>
      <x:c r="AC126" s="101"/>
      <x:c r="AD126" s="101"/>
      <x:c r="AE126" s="101"/>
    </x:row>
    <x:row r="127">
      <x:c r="A127" s="101"/>
      <x:c r="B127" s="101"/>
      <x:c r="C127" s="101"/>
      <x:c r="D127" s="101"/>
      <x:c r="E127" s="101"/>
      <x:c r="F127" s="101"/>
      <x:c r="G127" s="101"/>
      <x:c r="H127" s="101"/>
      <x:c r="I127" s="101"/>
      <x:c r="J127" s="101"/>
      <x:c r="K127" s="101"/>
      <x:c r="L127" s="101"/>
      <x:c r="M127" s="101"/>
      <x:c r="N127" s="101"/>
      <x:c r="O127" s="101"/>
      <x:c r="P127" s="101"/>
      <x:c r="Q127" s="101"/>
      <x:c r="R127" s="101"/>
      <x:c r="S127" s="101"/>
      <x:c r="T127" s="101"/>
      <x:c r="U127" s="101"/>
      <x:c r="V127" s="101"/>
      <x:c r="W127" s="101"/>
      <x:c r="X127" s="101"/>
      <x:c r="Y127" s="101"/>
      <x:c r="Z127" s="101"/>
      <x:c r="AA127" s="101"/>
      <x:c r="AB127" s="101"/>
      <x:c r="AC127" s="101"/>
      <x:c r="AD127" s="101"/>
      <x:c r="AE127" s="101"/>
    </x:row>
    <x:row r="128">
      <x:c r="A128" s="101"/>
      <x:c r="B128" s="101"/>
      <x:c r="C128" s="101"/>
      <x:c r="D128" s="101"/>
      <x:c r="E128" s="101"/>
      <x:c r="F128" s="101"/>
      <x:c r="G128" s="101"/>
      <x:c r="H128" s="101"/>
      <x:c r="I128" s="101"/>
      <x:c r="J128" s="101"/>
      <x:c r="K128" s="101"/>
      <x:c r="L128" s="101"/>
      <x:c r="M128" s="101"/>
      <x:c r="N128" s="101"/>
      <x:c r="O128" s="101"/>
      <x:c r="P128" s="101"/>
      <x:c r="Q128" s="101"/>
      <x:c r="R128" s="101"/>
      <x:c r="S128" s="101"/>
      <x:c r="T128" s="101"/>
      <x:c r="U128" s="101"/>
      <x:c r="V128" s="101"/>
      <x:c r="W128" s="101"/>
      <x:c r="X128" s="101"/>
      <x:c r="Y128" s="101"/>
      <x:c r="Z128" s="101"/>
      <x:c r="AA128" s="101"/>
      <x:c r="AB128" s="101"/>
      <x:c r="AC128" s="101"/>
      <x:c r="AD128" s="101"/>
      <x:c r="AE128" s="101"/>
    </x:row>
    <x:row r="129">
      <x:c r="A129" s="101"/>
      <x:c r="B129" s="101"/>
      <x:c r="C129" s="101"/>
      <x:c r="D129" s="101"/>
      <x:c r="E129" s="101"/>
      <x:c r="F129" s="101"/>
      <x:c r="G129" s="101"/>
      <x:c r="H129" s="101"/>
      <x:c r="I129" s="101"/>
      <x:c r="J129" s="101"/>
      <x:c r="K129" s="101"/>
      <x:c r="L129" s="101"/>
      <x:c r="M129" s="101"/>
      <x:c r="N129" s="101"/>
      <x:c r="O129" s="101"/>
      <x:c r="P129" s="101"/>
      <x:c r="Q129" s="101"/>
      <x:c r="R129" s="101"/>
      <x:c r="S129" s="101"/>
      <x:c r="T129" s="101"/>
      <x:c r="U129" s="101"/>
      <x:c r="V129" s="101"/>
      <x:c r="W129" s="101"/>
      <x:c r="X129" s="101"/>
      <x:c r="Y129" s="101"/>
      <x:c r="Z129" s="101"/>
      <x:c r="AA129" s="101"/>
      <x:c r="AB129" s="101"/>
      <x:c r="AC129" s="101"/>
      <x:c r="AD129" s="101"/>
      <x:c r="AE129" s="101"/>
    </x:row>
    <x:row r="130">
      <x:c r="A130" s="101"/>
      <x:c r="B130" s="101"/>
      <x:c r="C130" s="101"/>
      <x:c r="D130" s="101"/>
      <x:c r="E130" s="101"/>
      <x:c r="F130" s="101"/>
      <x:c r="G130" s="101"/>
      <x:c r="H130" s="101"/>
      <x:c r="I130" s="101"/>
      <x:c r="J130" s="101"/>
      <x:c r="K130" s="101"/>
      <x:c r="L130" s="101"/>
      <x:c r="M130" s="101"/>
      <x:c r="N130" s="101"/>
      <x:c r="O130" s="101"/>
      <x:c r="P130" s="101"/>
      <x:c r="Q130" s="101"/>
      <x:c r="R130" s="101"/>
      <x:c r="S130" s="101"/>
      <x:c r="T130" s="101"/>
      <x:c r="U130" s="101"/>
      <x:c r="V130" s="101"/>
      <x:c r="W130" s="101"/>
      <x:c r="X130" s="101"/>
      <x:c r="Y130" s="101"/>
      <x:c r="Z130" s="101"/>
      <x:c r="AA130" s="101"/>
      <x:c r="AB130" s="101"/>
      <x:c r="AC130" s="101"/>
      <x:c r="AD130" s="101"/>
      <x:c r="AE130" s="101"/>
    </x:row>
    <x:row r="131">
      <x:c r="A131" s="101"/>
      <x:c r="B131" s="101"/>
      <x:c r="C131" s="101"/>
      <x:c r="D131" s="101"/>
      <x:c r="E131" s="101"/>
      <x:c r="F131" s="101"/>
      <x:c r="G131" s="101"/>
      <x:c r="H131" s="101"/>
      <x:c r="I131" s="101"/>
      <x:c r="J131" s="101"/>
      <x:c r="K131" s="101"/>
      <x:c r="L131" s="101"/>
      <x:c r="M131" s="101"/>
      <x:c r="N131" s="101"/>
      <x:c r="O131" s="101"/>
      <x:c r="P131" s="101"/>
      <x:c r="Q131" s="101"/>
      <x:c r="R131" s="101"/>
      <x:c r="S131" s="101"/>
      <x:c r="T131" s="101"/>
      <x:c r="U131" s="101"/>
      <x:c r="V131" s="101"/>
      <x:c r="W131" s="101"/>
      <x:c r="X131" s="101"/>
      <x:c r="Y131" s="101"/>
      <x:c r="Z131" s="101"/>
      <x:c r="AA131" s="101"/>
      <x:c r="AB131" s="101"/>
      <x:c r="AC131" s="101"/>
      <x:c r="AD131" s="101"/>
      <x:c r="AE131" s="101"/>
    </x:row>
    <x:row r="132">
      <x:c r="A132" s="101"/>
      <x:c r="B132" s="101"/>
      <x:c r="C132" s="101"/>
      <x:c r="D132" s="101"/>
      <x:c r="E132" s="101"/>
      <x:c r="F132" s="101"/>
      <x:c r="G132" s="101"/>
      <x:c r="H132" s="101"/>
      <x:c r="I132" s="101"/>
      <x:c r="J132" s="101"/>
      <x:c r="K132" s="101"/>
      <x:c r="L132" s="101"/>
      <x:c r="M132" s="101"/>
      <x:c r="N132" s="101"/>
      <x:c r="O132" s="101"/>
      <x:c r="P132" s="101"/>
      <x:c r="Q132" s="101"/>
      <x:c r="R132" s="101"/>
      <x:c r="S132" s="101"/>
      <x:c r="T132" s="101"/>
      <x:c r="U132" s="101"/>
      <x:c r="V132" s="101"/>
      <x:c r="W132" s="101"/>
      <x:c r="X132" s="101"/>
      <x:c r="Y132" s="101"/>
      <x:c r="Z132" s="101"/>
      <x:c r="AA132" s="101"/>
      <x:c r="AB132" s="101"/>
      <x:c r="AC132" s="101"/>
      <x:c r="AD132" s="101"/>
      <x:c r="AE132" s="101"/>
    </x:row>
    <x:row r="133">
      <x:c r="A133" s="101"/>
      <x:c r="B133" s="101"/>
      <x:c r="C133" s="101"/>
      <x:c r="D133" s="101"/>
      <x:c r="E133" s="101"/>
      <x:c r="F133" s="101"/>
      <x:c r="G133" s="101"/>
      <x:c r="H133" s="101"/>
      <x:c r="I133" s="101"/>
      <x:c r="J133" s="101"/>
      <x:c r="K133" s="101"/>
      <x:c r="L133" s="101"/>
      <x:c r="M133" s="101"/>
      <x:c r="N133" s="101"/>
      <x:c r="O133" s="101"/>
      <x:c r="P133" s="101"/>
      <x:c r="Q133" s="101"/>
      <x:c r="R133" s="101"/>
      <x:c r="S133" s="101"/>
      <x:c r="T133" s="101"/>
      <x:c r="U133" s="101"/>
      <x:c r="V133" s="101"/>
      <x:c r="W133" s="101"/>
      <x:c r="X133" s="101"/>
      <x:c r="Y133" s="101"/>
      <x:c r="Z133" s="101"/>
      <x:c r="AA133" s="101"/>
      <x:c r="AB133" s="101"/>
      <x:c r="AC133" s="101"/>
      <x:c r="AD133" s="101"/>
      <x:c r="AE133" s="101"/>
    </x:row>
    <x:row r="134">
      <x:c r="A134" s="101"/>
      <x:c r="B134" s="101"/>
      <x:c r="C134" s="101"/>
      <x:c r="D134" s="101"/>
      <x:c r="E134" s="101"/>
      <x:c r="F134" s="101"/>
      <x:c r="G134" s="101"/>
      <x:c r="H134" s="101"/>
      <x:c r="I134" s="101"/>
      <x:c r="J134" s="101"/>
      <x:c r="K134" s="101"/>
      <x:c r="L134" s="101"/>
      <x:c r="M134" s="101"/>
      <x:c r="N134" s="101"/>
      <x:c r="O134" s="101"/>
      <x:c r="P134" s="101"/>
      <x:c r="Q134" s="101"/>
      <x:c r="R134" s="101"/>
      <x:c r="S134" s="101"/>
      <x:c r="T134" s="101"/>
      <x:c r="U134" s="101"/>
      <x:c r="V134" s="101"/>
      <x:c r="W134" s="101"/>
      <x:c r="X134" s="101"/>
      <x:c r="Y134" s="101"/>
      <x:c r="Z134" s="101"/>
      <x:c r="AA134" s="101"/>
      <x:c r="AB134" s="101"/>
      <x:c r="AC134" s="101"/>
      <x:c r="AD134" s="101"/>
      <x:c r="AE134" s="101"/>
    </x:row>
    <x:row r="135">
      <x:c r="A135" s="101"/>
      <x:c r="B135" s="101"/>
      <x:c r="C135" s="101"/>
      <x:c r="D135" s="101"/>
      <x:c r="E135" s="101"/>
      <x:c r="F135" s="101"/>
      <x:c r="G135" s="101"/>
      <x:c r="H135" s="101"/>
      <x:c r="I135" s="101"/>
      <x:c r="J135" s="101"/>
      <x:c r="K135" s="101"/>
      <x:c r="L135" s="101"/>
      <x:c r="M135" s="101"/>
      <x:c r="N135" s="101"/>
      <x:c r="O135" s="101"/>
      <x:c r="P135" s="101"/>
      <x:c r="Q135" s="101"/>
      <x:c r="R135" s="101"/>
      <x:c r="S135" s="101"/>
      <x:c r="T135" s="101"/>
      <x:c r="U135" s="101"/>
      <x:c r="V135" s="101"/>
      <x:c r="W135" s="101"/>
      <x:c r="X135" s="101"/>
      <x:c r="Y135" s="101"/>
      <x:c r="Z135" s="101"/>
      <x:c r="AA135" s="101"/>
      <x:c r="AB135" s="101"/>
      <x:c r="AC135" s="101"/>
      <x:c r="AD135" s="101"/>
      <x:c r="AE135" s="101"/>
    </x:row>
    <x:row r="136">
      <x:c r="A136" s="101"/>
      <x:c r="B136" s="101"/>
      <x:c r="C136" s="101"/>
      <x:c r="D136" s="101"/>
      <x:c r="E136" s="101"/>
      <x:c r="F136" s="101"/>
      <x:c r="G136" s="101"/>
      <x:c r="H136" s="101"/>
      <x:c r="I136" s="101"/>
      <x:c r="J136" s="101"/>
      <x:c r="K136" s="101"/>
      <x:c r="L136" s="101"/>
      <x:c r="M136" s="101"/>
      <x:c r="N136" s="101"/>
      <x:c r="O136" s="101"/>
      <x:c r="P136" s="101"/>
      <x:c r="Q136" s="101"/>
      <x:c r="R136" s="101"/>
      <x:c r="S136" s="101"/>
      <x:c r="T136" s="101"/>
      <x:c r="U136" s="101"/>
      <x:c r="V136" s="101"/>
      <x:c r="W136" s="101"/>
      <x:c r="X136" s="101"/>
      <x:c r="Y136" s="101"/>
      <x:c r="Z136" s="101"/>
      <x:c r="AA136" s="101"/>
      <x:c r="AB136" s="101"/>
      <x:c r="AC136" s="101"/>
      <x:c r="AD136" s="101"/>
      <x:c r="AE136" s="101"/>
    </x:row>
    <x:row r="137">
      <x:c r="A137" s="101"/>
      <x:c r="B137" s="101"/>
      <x:c r="C137" s="101"/>
      <x:c r="D137" s="101"/>
      <x:c r="E137" s="101"/>
      <x:c r="F137" s="101"/>
      <x:c r="G137" s="101"/>
      <x:c r="H137" s="101"/>
      <x:c r="I137" s="101"/>
      <x:c r="J137" s="101"/>
      <x:c r="K137" s="101"/>
      <x:c r="L137" s="101"/>
      <x:c r="M137" s="101"/>
      <x:c r="N137" s="101"/>
      <x:c r="O137" s="101"/>
      <x:c r="P137" s="101"/>
      <x:c r="Q137" s="101"/>
      <x:c r="R137" s="101"/>
      <x:c r="S137" s="101"/>
      <x:c r="T137" s="101"/>
      <x:c r="U137" s="101"/>
      <x:c r="V137" s="101"/>
      <x:c r="W137" s="101"/>
      <x:c r="X137" s="101"/>
      <x:c r="Y137" s="101"/>
      <x:c r="Z137" s="101"/>
      <x:c r="AA137" s="101"/>
      <x:c r="AB137" s="101"/>
      <x:c r="AC137" s="101"/>
      <x:c r="AD137" s="101"/>
      <x:c r="AE137" s="101"/>
    </x:row>
    <x:row r="138">
      <x:c r="A138" s="101"/>
      <x:c r="B138" s="101"/>
      <x:c r="C138" s="101"/>
      <x:c r="D138" s="101"/>
      <x:c r="E138" s="101"/>
      <x:c r="F138" s="101"/>
      <x:c r="G138" s="101"/>
      <x:c r="H138" s="101"/>
      <x:c r="I138" s="101"/>
      <x:c r="J138" s="101"/>
      <x:c r="K138" s="101"/>
      <x:c r="L138" s="101"/>
      <x:c r="M138" s="101"/>
      <x:c r="N138" s="101"/>
      <x:c r="O138" s="101"/>
      <x:c r="P138" s="101"/>
      <x:c r="Q138" s="101"/>
      <x:c r="R138" s="101"/>
      <x:c r="S138" s="101"/>
      <x:c r="T138" s="101"/>
      <x:c r="U138" s="101"/>
      <x:c r="V138" s="101"/>
      <x:c r="W138" s="101"/>
      <x:c r="X138" s="101"/>
      <x:c r="Y138" s="101"/>
      <x:c r="Z138" s="101"/>
      <x:c r="AA138" s="101"/>
      <x:c r="AB138" s="101"/>
      <x:c r="AC138" s="101"/>
      <x:c r="AD138" s="101"/>
      <x:c r="AE138" s="101"/>
    </x:row>
    <x:row r="139">
      <x:c r="A139" s="101"/>
      <x:c r="B139" s="101"/>
      <x:c r="C139" s="101"/>
      <x:c r="D139" s="101"/>
      <x:c r="E139" s="101"/>
      <x:c r="F139" s="101"/>
      <x:c r="G139" s="101"/>
      <x:c r="H139" s="101"/>
      <x:c r="I139" s="101"/>
      <x:c r="J139" s="101"/>
      <x:c r="K139" s="101"/>
      <x:c r="L139" s="101"/>
      <x:c r="M139" s="101"/>
      <x:c r="N139" s="101"/>
      <x:c r="O139" s="101"/>
      <x:c r="P139" s="101"/>
      <x:c r="Q139" s="101"/>
      <x:c r="R139" s="101"/>
      <x:c r="S139" s="101"/>
      <x:c r="T139" s="101"/>
      <x:c r="U139" s="101"/>
      <x:c r="V139" s="101"/>
      <x:c r="W139" s="101"/>
      <x:c r="X139" s="101"/>
      <x:c r="Y139" s="101"/>
      <x:c r="Z139" s="101"/>
      <x:c r="AA139" s="101"/>
      <x:c r="AB139" s="101"/>
      <x:c r="AC139" s="101"/>
      <x:c r="AD139" s="101"/>
      <x:c r="AE139" s="101"/>
    </x:row>
    <x:row r="140">
      <x:c r="A140" s="101"/>
      <x:c r="B140" s="101"/>
      <x:c r="C140" s="101"/>
      <x:c r="D140" s="101"/>
      <x:c r="E140" s="101"/>
      <x:c r="F140" s="101"/>
      <x:c r="G140" s="101"/>
      <x:c r="H140" s="101"/>
      <x:c r="I140" s="101"/>
      <x:c r="J140" s="101"/>
      <x:c r="K140" s="101"/>
      <x:c r="L140" s="101"/>
      <x:c r="M140" s="101"/>
      <x:c r="N140" s="101"/>
      <x:c r="O140" s="101"/>
      <x:c r="P140" s="101"/>
      <x:c r="Q140" s="101"/>
      <x:c r="R140" s="101"/>
      <x:c r="S140" s="101"/>
      <x:c r="T140" s="101"/>
      <x:c r="U140" s="101"/>
      <x:c r="V140" s="101"/>
      <x:c r="W140" s="101"/>
      <x:c r="X140" s="101"/>
      <x:c r="Y140" s="101"/>
      <x:c r="Z140" s="101"/>
      <x:c r="AA140" s="101"/>
      <x:c r="AB140" s="101"/>
      <x:c r="AC140" s="101"/>
      <x:c r="AD140" s="101"/>
      <x:c r="AE140" s="101"/>
    </x:row>
    <x:row r="141">
      <x:c r="A141" s="101"/>
      <x:c r="B141" s="101"/>
      <x:c r="C141" s="101"/>
      <x:c r="D141" s="101"/>
      <x:c r="E141" s="101"/>
      <x:c r="F141" s="101"/>
      <x:c r="G141" s="101"/>
      <x:c r="H141" s="101"/>
      <x:c r="I141" s="101"/>
      <x:c r="J141" s="101"/>
      <x:c r="K141" s="101"/>
      <x:c r="L141" s="101"/>
      <x:c r="M141" s="101"/>
      <x:c r="N141" s="101"/>
      <x:c r="O141" s="101"/>
      <x:c r="P141" s="101"/>
      <x:c r="Q141" s="101"/>
      <x:c r="R141" s="101"/>
      <x:c r="S141" s="101"/>
      <x:c r="T141" s="101"/>
      <x:c r="U141" s="101"/>
      <x:c r="V141" s="101"/>
      <x:c r="W141" s="101"/>
      <x:c r="X141" s="101"/>
      <x:c r="Y141" s="101"/>
      <x:c r="Z141" s="101"/>
      <x:c r="AA141" s="101"/>
      <x:c r="AB141" s="101"/>
      <x:c r="AC141" s="101"/>
      <x:c r="AD141" s="101"/>
      <x:c r="AE141" s="101"/>
    </x:row>
    <x:row r="142">
      <x:c r="A142" s="101"/>
      <x:c r="B142" s="101"/>
      <x:c r="C142" s="101"/>
      <x:c r="D142" s="101"/>
      <x:c r="E142" s="101"/>
      <x:c r="F142" s="101"/>
      <x:c r="G142" s="101"/>
      <x:c r="H142" s="101"/>
      <x:c r="I142" s="101"/>
      <x:c r="J142" s="101"/>
      <x:c r="K142" s="101"/>
      <x:c r="L142" s="101"/>
      <x:c r="M142" s="101"/>
      <x:c r="N142" s="101"/>
      <x:c r="O142" s="101"/>
      <x:c r="P142" s="101"/>
      <x:c r="Q142" s="101"/>
      <x:c r="R142" s="101"/>
      <x:c r="S142" s="101"/>
      <x:c r="T142" s="101"/>
      <x:c r="U142" s="101"/>
      <x:c r="V142" s="101"/>
      <x:c r="W142" s="101"/>
      <x:c r="X142" s="101"/>
      <x:c r="Y142" s="101"/>
      <x:c r="Z142" s="101"/>
      <x:c r="AA142" s="101"/>
      <x:c r="AB142" s="101"/>
      <x:c r="AC142" s="101"/>
      <x:c r="AD142" s="101"/>
      <x:c r="AE142" s="101"/>
    </x:row>
    <x:row r="143">
      <x:c r="A143" s="101"/>
      <x:c r="B143" s="101"/>
      <x:c r="C143" s="101"/>
      <x:c r="D143" s="101"/>
      <x:c r="E143" s="101"/>
      <x:c r="F143" s="101"/>
      <x:c r="G143" s="101"/>
      <x:c r="H143" s="101"/>
      <x:c r="I143" s="101"/>
      <x:c r="J143" s="101"/>
      <x:c r="K143" s="101"/>
      <x:c r="L143" s="101"/>
      <x:c r="M143" s="101"/>
      <x:c r="N143" s="101"/>
      <x:c r="O143" s="101"/>
      <x:c r="P143" s="101"/>
      <x:c r="Q143" s="101"/>
      <x:c r="R143" s="101"/>
      <x:c r="S143" s="101"/>
      <x:c r="T143" s="101"/>
      <x:c r="U143" s="101"/>
      <x:c r="V143" s="101"/>
      <x:c r="W143" s="101"/>
      <x:c r="X143" s="101"/>
      <x:c r="Y143" s="101"/>
      <x:c r="Z143" s="101"/>
      <x:c r="AA143" s="101"/>
      <x:c r="AB143" s="101"/>
      <x:c r="AC143" s="101"/>
      <x:c r="AD143" s="101"/>
      <x:c r="AE143" s="101"/>
    </x:row>
    <x:row r="144">
      <x:c r="A144" s="101"/>
      <x:c r="B144" s="101"/>
      <x:c r="C144" s="101"/>
      <x:c r="D144" s="101"/>
      <x:c r="E144" s="101"/>
      <x:c r="F144" s="101"/>
      <x:c r="G144" s="101"/>
      <x:c r="H144" s="101"/>
      <x:c r="I144" s="101"/>
      <x:c r="J144" s="101"/>
      <x:c r="K144" s="101"/>
      <x:c r="L144" s="101"/>
      <x:c r="M144" s="101"/>
      <x:c r="N144" s="101"/>
      <x:c r="O144" s="101"/>
      <x:c r="P144" s="101"/>
      <x:c r="Q144" s="101"/>
      <x:c r="R144" s="101"/>
      <x:c r="S144" s="101"/>
      <x:c r="T144" s="101"/>
      <x:c r="U144" s="101"/>
      <x:c r="V144" s="101"/>
      <x:c r="W144" s="101"/>
      <x:c r="X144" s="101"/>
      <x:c r="Y144" s="101"/>
      <x:c r="Z144" s="101"/>
      <x:c r="AA144" s="101"/>
      <x:c r="AB144" s="101"/>
      <x:c r="AC144" s="101"/>
      <x:c r="AD144" s="101"/>
      <x:c r="AE144" s="101"/>
    </x:row>
    <x:row r="145">
      <x:c r="A145" s="101"/>
      <x:c r="B145" s="101"/>
      <x:c r="C145" s="101"/>
      <x:c r="D145" s="101"/>
      <x:c r="E145" s="101"/>
      <x:c r="F145" s="101"/>
      <x:c r="G145" s="101"/>
      <x:c r="H145" s="101"/>
      <x:c r="I145" s="101"/>
      <x:c r="J145" s="101"/>
      <x:c r="K145" s="101"/>
      <x:c r="L145" s="101"/>
      <x:c r="M145" s="101"/>
      <x:c r="N145" s="101"/>
      <x:c r="O145" s="101"/>
      <x:c r="P145" s="101"/>
      <x:c r="Q145" s="101"/>
      <x:c r="R145" s="101"/>
      <x:c r="S145" s="101"/>
      <x:c r="T145" s="101"/>
      <x:c r="U145" s="101"/>
      <x:c r="V145" s="101"/>
      <x:c r="W145" s="101"/>
      <x:c r="X145" s="101"/>
      <x:c r="Y145" s="101"/>
      <x:c r="Z145" s="101"/>
      <x:c r="AA145" s="101"/>
      <x:c r="AB145" s="101"/>
      <x:c r="AC145" s="101"/>
      <x:c r="AD145" s="101"/>
      <x:c r="AE145" s="101"/>
    </x:row>
    <x:row r="146">
      <x:c r="A146" s="101"/>
      <x:c r="B146" s="101"/>
      <x:c r="C146" s="101"/>
      <x:c r="D146" s="101"/>
      <x:c r="E146" s="101"/>
      <x:c r="F146" s="101"/>
      <x:c r="G146" s="101"/>
      <x:c r="H146" s="101"/>
      <x:c r="I146" s="101"/>
      <x:c r="J146" s="101"/>
      <x:c r="K146" s="101"/>
      <x:c r="L146" s="101"/>
      <x:c r="M146" s="101"/>
      <x:c r="N146" s="101"/>
      <x:c r="O146" s="101"/>
      <x:c r="P146" s="101"/>
      <x:c r="Q146" s="101"/>
      <x:c r="R146" s="101"/>
      <x:c r="S146" s="101"/>
      <x:c r="T146" s="101"/>
      <x:c r="U146" s="101"/>
      <x:c r="V146" s="101"/>
      <x:c r="W146" s="101"/>
      <x:c r="X146" s="101"/>
      <x:c r="Y146" s="101"/>
      <x:c r="Z146" s="101"/>
      <x:c r="AA146" s="101"/>
      <x:c r="AB146" s="101"/>
      <x:c r="AC146" s="101"/>
      <x:c r="AD146" s="101"/>
      <x:c r="AE146" s="101"/>
    </x:row>
    <x:row r="147">
      <x:c r="A147" s="101"/>
      <x:c r="B147" s="101"/>
      <x:c r="C147" s="101"/>
      <x:c r="D147" s="101"/>
      <x:c r="E147" s="101"/>
      <x:c r="F147" s="101"/>
      <x:c r="G147" s="101"/>
      <x:c r="H147" s="101"/>
      <x:c r="I147" s="101"/>
      <x:c r="J147" s="101"/>
      <x:c r="K147" s="101"/>
      <x:c r="L147" s="101"/>
      <x:c r="M147" s="101"/>
      <x:c r="N147" s="101"/>
      <x:c r="O147" s="101"/>
      <x:c r="P147" s="101"/>
      <x:c r="Q147" s="101"/>
      <x:c r="R147" s="101"/>
      <x:c r="S147" s="101"/>
      <x:c r="T147" s="101"/>
      <x:c r="U147" s="101"/>
      <x:c r="V147" s="101"/>
      <x:c r="W147" s="101"/>
      <x:c r="X147" s="101"/>
      <x:c r="Y147" s="101"/>
      <x:c r="Z147" s="101"/>
      <x:c r="AA147" s="101"/>
      <x:c r="AB147" s="101"/>
      <x:c r="AC147" s="101"/>
      <x:c r="AD147" s="101"/>
      <x:c r="AE147" s="101"/>
    </x:row>
    <x:row r="148">
      <x:c r="A148" s="101"/>
      <x:c r="B148" s="101"/>
      <x:c r="C148" s="101"/>
      <x:c r="D148" s="101"/>
      <x:c r="E148" s="101"/>
      <x:c r="F148" s="101"/>
      <x:c r="G148" s="101"/>
      <x:c r="H148" s="101"/>
      <x:c r="I148" s="101"/>
      <x:c r="J148" s="101"/>
      <x:c r="K148" s="101"/>
      <x:c r="L148" s="101"/>
      <x:c r="M148" s="101"/>
      <x:c r="N148" s="101"/>
      <x:c r="O148" s="101"/>
      <x:c r="P148" s="101"/>
      <x:c r="Q148" s="101"/>
      <x:c r="R148" s="101"/>
      <x:c r="S148" s="101"/>
      <x:c r="T148" s="101"/>
      <x:c r="U148" s="101"/>
      <x:c r="V148" s="101"/>
      <x:c r="W148" s="101"/>
      <x:c r="X148" s="101"/>
      <x:c r="Y148" s="101"/>
      <x:c r="Z148" s="101"/>
      <x:c r="AA148" s="101"/>
      <x:c r="AB148" s="101"/>
      <x:c r="AC148" s="101"/>
      <x:c r="AD148" s="101"/>
      <x:c r="AE148" s="101"/>
    </x:row>
    <x:row r="149">
      <x:c r="A149" s="101"/>
      <x:c r="B149" s="101"/>
      <x:c r="C149" s="101"/>
      <x:c r="D149" s="101"/>
      <x:c r="E149" s="101"/>
      <x:c r="F149" s="101"/>
      <x:c r="G149" s="101"/>
      <x:c r="H149" s="101"/>
      <x:c r="I149" s="101"/>
      <x:c r="J149" s="101"/>
      <x:c r="K149" s="101"/>
      <x:c r="L149" s="101"/>
      <x:c r="M149" s="101"/>
      <x:c r="N149" s="101"/>
      <x:c r="O149" s="101"/>
      <x:c r="P149" s="101"/>
      <x:c r="Q149" s="101"/>
      <x:c r="R149" s="101"/>
      <x:c r="S149" s="101"/>
      <x:c r="T149" s="101"/>
      <x:c r="U149" s="101"/>
      <x:c r="V149" s="101"/>
      <x:c r="W149" s="101"/>
      <x:c r="X149" s="101"/>
      <x:c r="Y149" s="101"/>
      <x:c r="Z149" s="101"/>
      <x:c r="AA149" s="101"/>
      <x:c r="AB149" s="101"/>
      <x:c r="AC149" s="101"/>
      <x:c r="AD149" s="101"/>
      <x:c r="AE149" s="101"/>
    </x:row>
    <x:row r="150">
      <x:c r="A150" s="101"/>
      <x:c r="B150" s="101"/>
      <x:c r="C150" s="101"/>
      <x:c r="D150" s="101"/>
      <x:c r="E150" s="101"/>
      <x:c r="F150" s="101"/>
      <x:c r="G150" s="101"/>
      <x:c r="H150" s="101"/>
      <x:c r="I150" s="101"/>
      <x:c r="J150" s="101"/>
      <x:c r="K150" s="101"/>
      <x:c r="L150" s="101"/>
      <x:c r="M150" s="101"/>
      <x:c r="N150" s="101"/>
      <x:c r="O150" s="101"/>
      <x:c r="P150" s="101"/>
      <x:c r="Q150" s="101"/>
      <x:c r="R150" s="101"/>
      <x:c r="S150" s="101"/>
      <x:c r="T150" s="101"/>
      <x:c r="U150" s="101"/>
      <x:c r="V150" s="101"/>
      <x:c r="W150" s="101"/>
      <x:c r="X150" s="101"/>
      <x:c r="Y150" s="101"/>
      <x:c r="Z150" s="101"/>
      <x:c r="AA150" s="101"/>
      <x:c r="AB150" s="101"/>
      <x:c r="AC150" s="101"/>
      <x:c r="AD150" s="101"/>
      <x:c r="AE150" s="101"/>
    </x:row>
    <x:row r="151">
      <x:c r="A151" s="101"/>
      <x:c r="B151" s="101"/>
      <x:c r="C151" s="101"/>
      <x:c r="D151" s="101"/>
      <x:c r="E151" s="101"/>
      <x:c r="F151" s="101"/>
      <x:c r="G151" s="101"/>
      <x:c r="H151" s="101"/>
      <x:c r="I151" s="101"/>
      <x:c r="J151" s="101"/>
      <x:c r="K151" s="101"/>
      <x:c r="L151" s="101"/>
      <x:c r="M151" s="101"/>
      <x:c r="N151" s="101"/>
      <x:c r="O151" s="101"/>
      <x:c r="P151" s="101"/>
      <x:c r="Q151" s="101"/>
      <x:c r="R151" s="101"/>
      <x:c r="S151" s="101"/>
      <x:c r="T151" s="101"/>
      <x:c r="U151" s="101"/>
      <x:c r="V151" s="101"/>
      <x:c r="W151" s="101"/>
      <x:c r="X151" s="101"/>
      <x:c r="Y151" s="101"/>
      <x:c r="Z151" s="101"/>
      <x:c r="AA151" s="101"/>
      <x:c r="AB151" s="101"/>
      <x:c r="AC151" s="101"/>
      <x:c r="AD151" s="101"/>
      <x:c r="AE151" s="101"/>
    </x:row>
    <x:row r="152">
      <x:c r="A152" s="101"/>
      <x:c r="B152" s="101"/>
      <x:c r="C152" s="101"/>
      <x:c r="D152" s="101"/>
      <x:c r="E152" s="101"/>
      <x:c r="F152" s="101"/>
      <x:c r="G152" s="101"/>
      <x:c r="H152" s="101"/>
      <x:c r="I152" s="101"/>
      <x:c r="J152" s="101"/>
      <x:c r="K152" s="101"/>
      <x:c r="L152" s="101"/>
      <x:c r="M152" s="101"/>
      <x:c r="N152" s="101"/>
      <x:c r="O152" s="101"/>
      <x:c r="P152" s="101"/>
      <x:c r="Q152" s="101"/>
      <x:c r="R152" s="101"/>
      <x:c r="S152" s="101"/>
      <x:c r="T152" s="101"/>
      <x:c r="U152" s="101"/>
      <x:c r="V152" s="101"/>
      <x:c r="W152" s="101"/>
      <x:c r="X152" s="101"/>
      <x:c r="Y152" s="101"/>
      <x:c r="Z152" s="101"/>
      <x:c r="AA152" s="101"/>
      <x:c r="AB152" s="101"/>
      <x:c r="AC152" s="101"/>
      <x:c r="AD152" s="101"/>
      <x:c r="AE152" s="101"/>
    </x:row>
    <x:row r="153">
      <x:c r="A153" s="101"/>
      <x:c r="B153" s="101"/>
      <x:c r="C153" s="101"/>
      <x:c r="D153" s="101"/>
      <x:c r="E153" s="101"/>
      <x:c r="F153" s="101"/>
      <x:c r="G153" s="101"/>
      <x:c r="H153" s="101"/>
      <x:c r="I153" s="101"/>
      <x:c r="J153" s="101"/>
      <x:c r="K153" s="101"/>
      <x:c r="L153" s="101"/>
      <x:c r="M153" s="101"/>
      <x:c r="N153" s="101"/>
      <x:c r="O153" s="101"/>
      <x:c r="P153" s="101"/>
      <x:c r="Q153" s="101"/>
      <x:c r="R153" s="101"/>
      <x:c r="S153" s="101"/>
      <x:c r="T153" s="101"/>
      <x:c r="U153" s="101"/>
      <x:c r="V153" s="101"/>
      <x:c r="W153" s="101"/>
      <x:c r="X153" s="101"/>
      <x:c r="Y153" s="101"/>
      <x:c r="Z153" s="101"/>
      <x:c r="AA153" s="101"/>
      <x:c r="AB153" s="101"/>
      <x:c r="AC153" s="101"/>
      <x:c r="AD153" s="101"/>
      <x:c r="AE153" s="101"/>
    </x:row>
    <x:row r="154">
      <x:c r="A154" s="101"/>
      <x:c r="B154" s="101"/>
      <x:c r="C154" s="101"/>
      <x:c r="D154" s="101"/>
      <x:c r="E154" s="101"/>
      <x:c r="F154" s="101"/>
      <x:c r="G154" s="101"/>
      <x:c r="H154" s="101"/>
      <x:c r="I154" s="101"/>
      <x:c r="J154" s="101"/>
      <x:c r="K154" s="101"/>
      <x:c r="L154" s="101"/>
      <x:c r="M154" s="101"/>
      <x:c r="N154" s="101"/>
      <x:c r="O154" s="101"/>
      <x:c r="P154" s="101"/>
      <x:c r="Q154" s="101"/>
      <x:c r="R154" s="101"/>
      <x:c r="S154" s="101"/>
      <x:c r="T154" s="101"/>
      <x:c r="U154" s="101"/>
      <x:c r="V154" s="101"/>
      <x:c r="W154" s="101"/>
      <x:c r="X154" s="101"/>
      <x:c r="Y154" s="101"/>
      <x:c r="Z154" s="101"/>
      <x:c r="AA154" s="101"/>
      <x:c r="AB154" s="101"/>
      <x:c r="AC154" s="101"/>
      <x:c r="AD154" s="101"/>
      <x:c r="AE154" s="101"/>
    </x:row>
    <x:row r="155">
      <x:c r="A155" s="101"/>
      <x:c r="B155" s="101"/>
      <x:c r="C155" s="101"/>
      <x:c r="D155" s="101"/>
      <x:c r="E155" s="101"/>
      <x:c r="F155" s="101"/>
      <x:c r="G155" s="101"/>
      <x:c r="H155" s="101"/>
      <x:c r="I155" s="101"/>
      <x:c r="J155" s="101"/>
      <x:c r="K155" s="101"/>
      <x:c r="L155" s="101"/>
      <x:c r="M155" s="101"/>
      <x:c r="N155" s="101"/>
      <x:c r="O155" s="101"/>
      <x:c r="P155" s="101"/>
      <x:c r="Q155" s="101"/>
      <x:c r="R155" s="101"/>
      <x:c r="S155" s="101"/>
      <x:c r="T155" s="101"/>
      <x:c r="U155" s="101"/>
      <x:c r="V155" s="101"/>
      <x:c r="W155" s="101"/>
      <x:c r="X155" s="101"/>
      <x:c r="Y155" s="101"/>
      <x:c r="Z155" s="101"/>
      <x:c r="AA155" s="101"/>
      <x:c r="AB155" s="101"/>
      <x:c r="AC155" s="101"/>
      <x:c r="AD155" s="101"/>
      <x:c r="AE155" s="101"/>
    </x:row>
    <x:row r="156">
      <x:c r="A156" s="101"/>
      <x:c r="B156" s="101"/>
      <x:c r="C156" s="101"/>
      <x:c r="D156" s="101"/>
      <x:c r="E156" s="101"/>
      <x:c r="F156" s="101"/>
      <x:c r="G156" s="101"/>
      <x:c r="H156" s="101"/>
      <x:c r="I156" s="101"/>
      <x:c r="J156" s="101"/>
      <x:c r="K156" s="101"/>
      <x:c r="L156" s="101"/>
      <x:c r="M156" s="101"/>
      <x:c r="N156" s="101"/>
      <x:c r="O156" s="101"/>
      <x:c r="P156" s="101"/>
      <x:c r="Q156" s="101"/>
      <x:c r="R156" s="101"/>
      <x:c r="S156" s="101"/>
      <x:c r="T156" s="101"/>
      <x:c r="U156" s="101"/>
      <x:c r="V156" s="101"/>
      <x:c r="W156" s="101"/>
      <x:c r="X156" s="101"/>
      <x:c r="Y156" s="101"/>
      <x:c r="Z156" s="101"/>
      <x:c r="AA156" s="101"/>
      <x:c r="AB156" s="101"/>
      <x:c r="AC156" s="101"/>
      <x:c r="AD156" s="101"/>
      <x:c r="AE156" s="101"/>
    </x:row>
    <x:row r="157">
      <x:c r="A157" s="101"/>
      <x:c r="B157" s="101"/>
      <x:c r="C157" s="101"/>
      <x:c r="D157" s="101"/>
      <x:c r="E157" s="101"/>
      <x:c r="F157" s="101"/>
      <x:c r="G157" s="101"/>
      <x:c r="H157" s="101"/>
      <x:c r="I157" s="101"/>
      <x:c r="J157" s="101"/>
      <x:c r="K157" s="101"/>
      <x:c r="L157" s="101"/>
      <x:c r="M157" s="101"/>
      <x:c r="N157" s="101"/>
      <x:c r="O157" s="101"/>
      <x:c r="P157" s="101"/>
      <x:c r="Q157" s="101"/>
      <x:c r="R157" s="101"/>
      <x:c r="S157" s="101"/>
      <x:c r="T157" s="101"/>
      <x:c r="U157" s="101"/>
      <x:c r="V157" s="101"/>
      <x:c r="W157" s="101"/>
      <x:c r="X157" s="101"/>
      <x:c r="Y157" s="101"/>
      <x:c r="Z157" s="101"/>
      <x:c r="AA157" s="101"/>
      <x:c r="AB157" s="101"/>
      <x:c r="AC157" s="101"/>
      <x:c r="AD157" s="101"/>
      <x:c r="AE157" s="101"/>
    </x:row>
    <x:row r="158">
      <x:c r="A158" s="101"/>
      <x:c r="B158" s="101"/>
      <x:c r="C158" s="101"/>
      <x:c r="D158" s="101"/>
      <x:c r="E158" s="101"/>
      <x:c r="F158" s="101"/>
      <x:c r="G158" s="101"/>
      <x:c r="H158" s="101"/>
      <x:c r="I158" s="101"/>
      <x:c r="J158" s="101"/>
      <x:c r="K158" s="101"/>
      <x:c r="L158" s="101"/>
      <x:c r="M158" s="101"/>
      <x:c r="N158" s="101"/>
      <x:c r="O158" s="101"/>
      <x:c r="P158" s="101"/>
      <x:c r="Q158" s="101"/>
      <x:c r="R158" s="101"/>
      <x:c r="S158" s="101"/>
      <x:c r="T158" s="101"/>
      <x:c r="U158" s="101"/>
      <x:c r="V158" s="101"/>
      <x:c r="W158" s="101"/>
      <x:c r="X158" s="101"/>
      <x:c r="Y158" s="101"/>
      <x:c r="Z158" s="101"/>
      <x:c r="AA158" s="101"/>
      <x:c r="AB158" s="101"/>
      <x:c r="AC158" s="101"/>
      <x:c r="AD158" s="101"/>
      <x:c r="AE158" s="101"/>
    </x:row>
    <x:row r="159">
      <x:c r="A159" s="101"/>
      <x:c r="B159" s="101"/>
      <x:c r="C159" s="101"/>
      <x:c r="D159" s="101"/>
      <x:c r="E159" s="101"/>
      <x:c r="F159" s="101"/>
      <x:c r="G159" s="101"/>
      <x:c r="H159" s="101"/>
      <x:c r="I159" s="101"/>
      <x:c r="J159" s="101"/>
      <x:c r="K159" s="101"/>
      <x:c r="L159" s="101"/>
      <x:c r="M159" s="101"/>
      <x:c r="N159" s="101"/>
      <x:c r="O159" s="101"/>
      <x:c r="P159" s="101"/>
      <x:c r="Q159" s="101"/>
      <x:c r="R159" s="101"/>
      <x:c r="S159" s="101"/>
      <x:c r="T159" s="101"/>
      <x:c r="U159" s="101"/>
      <x:c r="V159" s="101"/>
      <x:c r="W159" s="101"/>
      <x:c r="X159" s="101"/>
      <x:c r="Y159" s="101"/>
      <x:c r="Z159" s="101"/>
      <x:c r="AA159" s="101"/>
      <x:c r="AB159" s="101"/>
      <x:c r="AC159" s="101"/>
      <x:c r="AD159" s="101"/>
      <x:c r="AE159" s="101"/>
    </x:row>
    <x:row r="160">
      <x:c r="A160" s="101"/>
      <x:c r="B160" s="101"/>
      <x:c r="C160" s="101"/>
      <x:c r="D160" s="101"/>
      <x:c r="E160" s="101"/>
      <x:c r="F160" s="101"/>
      <x:c r="G160" s="101"/>
      <x:c r="H160" s="101"/>
      <x:c r="I160" s="101"/>
      <x:c r="J160" s="101"/>
      <x:c r="K160" s="101"/>
      <x:c r="L160" s="101"/>
      <x:c r="M160" s="101"/>
      <x:c r="N160" s="101"/>
      <x:c r="O160" s="101"/>
      <x:c r="P160" s="101"/>
      <x:c r="Q160" s="101"/>
      <x:c r="R160" s="101"/>
      <x:c r="S160" s="101"/>
      <x:c r="T160" s="101"/>
      <x:c r="U160" s="101"/>
      <x:c r="V160" s="101"/>
      <x:c r="W160" s="101"/>
      <x:c r="X160" s="101"/>
      <x:c r="Y160" s="101"/>
      <x:c r="Z160" s="101"/>
      <x:c r="AA160" s="101"/>
      <x:c r="AB160" s="101"/>
      <x:c r="AC160" s="101"/>
      <x:c r="AD160" s="101"/>
      <x:c r="AE160" s="101"/>
    </x:row>
    <x:row r="161">
      <x:c r="A161" s="101"/>
      <x:c r="B161" s="101"/>
      <x:c r="C161" s="101"/>
      <x:c r="D161" s="101"/>
      <x:c r="E161" s="101"/>
      <x:c r="F161" s="101"/>
      <x:c r="G161" s="101"/>
      <x:c r="H161" s="101"/>
      <x:c r="I161" s="101"/>
      <x:c r="J161" s="101"/>
      <x:c r="K161" s="101"/>
      <x:c r="L161" s="101"/>
      <x:c r="M161" s="101"/>
      <x:c r="N161" s="101"/>
      <x:c r="O161" s="101"/>
      <x:c r="P161" s="101"/>
      <x:c r="Q161" s="101"/>
      <x:c r="R161" s="101"/>
      <x:c r="S161" s="101"/>
      <x:c r="T161" s="101"/>
      <x:c r="U161" s="101"/>
      <x:c r="V161" s="101"/>
      <x:c r="W161" s="101"/>
      <x:c r="X161" s="101"/>
      <x:c r="Y161" s="101"/>
      <x:c r="Z161" s="101"/>
      <x:c r="AA161" s="101"/>
      <x:c r="AB161" s="101"/>
      <x:c r="AC161" s="101"/>
      <x:c r="AD161" s="101"/>
      <x:c r="AE161" s="101"/>
    </x:row>
    <x:row r="162">
      <x:c r="A162" s="101"/>
      <x:c r="B162" s="101"/>
      <x:c r="C162" s="101"/>
      <x:c r="D162" s="101"/>
      <x:c r="E162" s="101"/>
      <x:c r="F162" s="101"/>
      <x:c r="G162" s="101"/>
      <x:c r="H162" s="101"/>
      <x:c r="I162" s="101"/>
      <x:c r="J162" s="101"/>
      <x:c r="K162" s="101"/>
      <x:c r="L162" s="101"/>
      <x:c r="M162" s="101"/>
      <x:c r="N162" s="101"/>
      <x:c r="O162" s="101"/>
      <x:c r="P162" s="101"/>
      <x:c r="Q162" s="101"/>
      <x:c r="R162" s="101"/>
      <x:c r="S162" s="101"/>
      <x:c r="T162" s="101"/>
      <x:c r="U162" s="101"/>
      <x:c r="V162" s="101"/>
      <x:c r="W162" s="101"/>
      <x:c r="X162" s="101"/>
      <x:c r="Y162" s="101"/>
      <x:c r="Z162" s="101"/>
      <x:c r="AA162" s="101"/>
      <x:c r="AB162" s="101"/>
      <x:c r="AC162" s="101"/>
      <x:c r="AD162" s="101"/>
      <x:c r="AE162" s="101"/>
    </x:row>
    <x:row r="163">
      <x:c r="A163" s="101"/>
      <x:c r="B163" s="101"/>
      <x:c r="C163" s="101"/>
      <x:c r="D163" s="101"/>
      <x:c r="E163" s="101"/>
      <x:c r="F163" s="101"/>
      <x:c r="G163" s="101"/>
      <x:c r="H163" s="101"/>
      <x:c r="I163" s="101"/>
      <x:c r="J163" s="101"/>
      <x:c r="K163" s="101"/>
      <x:c r="L163" s="101"/>
      <x:c r="M163" s="101"/>
      <x:c r="N163" s="101"/>
      <x:c r="O163" s="101"/>
      <x:c r="P163" s="101"/>
      <x:c r="Q163" s="101"/>
      <x:c r="R163" s="101"/>
      <x:c r="S163" s="101"/>
      <x:c r="T163" s="101"/>
      <x:c r="U163" s="101"/>
      <x:c r="V163" s="101"/>
      <x:c r="W163" s="101"/>
      <x:c r="X163" s="101"/>
      <x:c r="Y163" s="101"/>
      <x:c r="Z163" s="101"/>
      <x:c r="AA163" s="101"/>
      <x:c r="AB163" s="101"/>
      <x:c r="AC163" s="101"/>
      <x:c r="AD163" s="101"/>
      <x:c r="AE163" s="101"/>
    </x:row>
    <x:row r="164">
      <x:c r="A164" s="101"/>
      <x:c r="B164" s="101"/>
      <x:c r="C164" s="101"/>
      <x:c r="D164" s="101"/>
      <x:c r="E164" s="101"/>
      <x:c r="F164" s="101"/>
      <x:c r="G164" s="101"/>
      <x:c r="H164" s="101"/>
      <x:c r="I164" s="101"/>
      <x:c r="J164" s="101"/>
      <x:c r="K164" s="101"/>
      <x:c r="L164" s="101"/>
      <x:c r="M164" s="101"/>
      <x:c r="N164" s="101"/>
      <x:c r="O164" s="101"/>
      <x:c r="P164" s="101"/>
      <x:c r="Q164" s="101"/>
      <x:c r="R164" s="101"/>
      <x:c r="S164" s="101"/>
      <x:c r="T164" s="101"/>
      <x:c r="U164" s="101"/>
      <x:c r="V164" s="101"/>
      <x:c r="W164" s="101"/>
      <x:c r="X164" s="101"/>
      <x:c r="Y164" s="101"/>
      <x:c r="Z164" s="101"/>
      <x:c r="AA164" s="101"/>
      <x:c r="AB164" s="101"/>
      <x:c r="AC164" s="101"/>
      <x:c r="AD164" s="101"/>
      <x:c r="AE164" s="101"/>
    </x:row>
    <x:row r="165">
      <x:c r="A165" s="101"/>
      <x:c r="B165" s="101"/>
      <x:c r="C165" s="101"/>
      <x:c r="D165" s="101"/>
      <x:c r="E165" s="101"/>
      <x:c r="F165" s="101"/>
      <x:c r="G165" s="101"/>
      <x:c r="H165" s="101"/>
      <x:c r="I165" s="101"/>
      <x:c r="J165" s="101"/>
      <x:c r="K165" s="101"/>
      <x:c r="L165" s="101"/>
      <x:c r="M165" s="101"/>
      <x:c r="N165" s="101"/>
      <x:c r="O165" s="101"/>
      <x:c r="P165" s="101"/>
      <x:c r="Q165" s="101"/>
      <x:c r="R165" s="101"/>
      <x:c r="S165" s="101"/>
      <x:c r="T165" s="101"/>
      <x:c r="U165" s="101"/>
      <x:c r="V165" s="101"/>
      <x:c r="W165" s="101"/>
      <x:c r="X165" s="101"/>
      <x:c r="Y165" s="101"/>
      <x:c r="Z165" s="101"/>
      <x:c r="AA165" s="101"/>
      <x:c r="AB165" s="101"/>
      <x:c r="AC165" s="101"/>
      <x:c r="AD165" s="101"/>
      <x:c r="AE165" s="101"/>
    </x:row>
    <x:row r="166">
      <x:c r="A166" s="101"/>
      <x:c r="B166" s="101"/>
      <x:c r="C166" s="101"/>
      <x:c r="D166" s="101"/>
      <x:c r="E166" s="101"/>
      <x:c r="F166" s="101"/>
      <x:c r="G166" s="101"/>
      <x:c r="H166" s="101"/>
      <x:c r="I166" s="101"/>
      <x:c r="J166" s="101"/>
      <x:c r="K166" s="101"/>
      <x:c r="L166" s="101"/>
      <x:c r="M166" s="101"/>
      <x:c r="N166" s="101"/>
      <x:c r="O166" s="101"/>
      <x:c r="P166" s="101"/>
      <x:c r="Q166" s="101"/>
      <x:c r="R166" s="101"/>
      <x:c r="S166" s="101"/>
      <x:c r="T166" s="101"/>
      <x:c r="U166" s="101"/>
      <x:c r="V166" s="101"/>
      <x:c r="W166" s="101"/>
      <x:c r="X166" s="101"/>
      <x:c r="Y166" s="101"/>
      <x:c r="Z166" s="101"/>
      <x:c r="AA166" s="101"/>
      <x:c r="AB166" s="101"/>
      <x:c r="AC166" s="101"/>
      <x:c r="AD166" s="101"/>
      <x:c r="AE166" s="101"/>
    </x:row>
    <x:row r="167">
      <x:c r="A167" s="101"/>
      <x:c r="B167" s="101"/>
      <x:c r="C167" s="101"/>
      <x:c r="D167" s="101"/>
      <x:c r="E167" s="101"/>
      <x:c r="F167" s="101"/>
      <x:c r="G167" s="101"/>
      <x:c r="H167" s="101"/>
      <x:c r="I167" s="101"/>
      <x:c r="J167" s="101"/>
      <x:c r="K167" s="101"/>
      <x:c r="L167" s="101"/>
      <x:c r="M167" s="101"/>
      <x:c r="N167" s="101"/>
      <x:c r="O167" s="101"/>
      <x:c r="P167" s="101"/>
      <x:c r="Q167" s="101"/>
      <x:c r="R167" s="101"/>
      <x:c r="S167" s="101"/>
      <x:c r="T167" s="101"/>
      <x:c r="U167" s="101"/>
      <x:c r="V167" s="101"/>
      <x:c r="W167" s="101"/>
      <x:c r="X167" s="101"/>
      <x:c r="Y167" s="101"/>
      <x:c r="Z167" s="101"/>
      <x:c r="AA167" s="101"/>
      <x:c r="AB167" s="101"/>
      <x:c r="AC167" s="101"/>
      <x:c r="AD167" s="101"/>
      <x:c r="AE167" s="101"/>
    </x:row>
    <x:row r="168">
      <x:c r="A168" s="101"/>
      <x:c r="B168" s="101"/>
      <x:c r="C168" s="101"/>
      <x:c r="D168" s="101"/>
      <x:c r="E168" s="101"/>
      <x:c r="F168" s="101"/>
      <x:c r="G168" s="101"/>
      <x:c r="H168" s="101"/>
      <x:c r="I168" s="101"/>
      <x:c r="J168" s="101"/>
      <x:c r="K168" s="101"/>
      <x:c r="L168" s="101"/>
      <x:c r="M168" s="101"/>
      <x:c r="N168" s="101"/>
      <x:c r="O168" s="101"/>
      <x:c r="P168" s="101"/>
      <x:c r="Q168" s="101"/>
      <x:c r="R168" s="101"/>
      <x:c r="S168" s="101"/>
      <x:c r="T168" s="101"/>
      <x:c r="U168" s="101"/>
      <x:c r="V168" s="101"/>
      <x:c r="W168" s="101"/>
      <x:c r="X168" s="101"/>
      <x:c r="Y168" s="101"/>
      <x:c r="Z168" s="101"/>
      <x:c r="AA168" s="101"/>
      <x:c r="AB168" s="101"/>
      <x:c r="AC168" s="101"/>
      <x:c r="AD168" s="101"/>
      <x:c r="AE168" s="101"/>
    </x:row>
    <x:row r="169">
      <x:c r="A169" s="101"/>
      <x:c r="B169" s="101"/>
      <x:c r="C169" s="101"/>
      <x:c r="D169" s="101"/>
      <x:c r="E169" s="101"/>
      <x:c r="F169" s="101"/>
      <x:c r="G169" s="101"/>
      <x:c r="H169" s="101"/>
      <x:c r="I169" s="101"/>
      <x:c r="J169" s="101"/>
      <x:c r="K169" s="101"/>
      <x:c r="L169" s="101"/>
      <x:c r="M169" s="101"/>
      <x:c r="N169" s="101"/>
      <x:c r="O169" s="101"/>
      <x:c r="P169" s="101"/>
      <x:c r="Q169" s="101"/>
      <x:c r="R169" s="101"/>
      <x:c r="S169" s="101"/>
      <x:c r="T169" s="101"/>
      <x:c r="U169" s="101"/>
      <x:c r="V169" s="101"/>
      <x:c r="W169" s="101"/>
      <x:c r="X169" s="101"/>
      <x:c r="Y169" s="101"/>
      <x:c r="Z169" s="101"/>
      <x:c r="AA169" s="101"/>
      <x:c r="AB169" s="101"/>
      <x:c r="AC169" s="101"/>
      <x:c r="AD169" s="101"/>
      <x:c r="AE169" s="101"/>
    </x:row>
    <x:row r="170">
      <x:c r="A170" s="101"/>
      <x:c r="B170" s="101"/>
      <x:c r="C170" s="101"/>
      <x:c r="D170" s="101"/>
      <x:c r="E170" s="101"/>
      <x:c r="F170" s="101"/>
      <x:c r="G170" s="101"/>
      <x:c r="H170" s="101"/>
      <x:c r="I170" s="101"/>
      <x:c r="J170" s="101"/>
      <x:c r="K170" s="101"/>
      <x:c r="L170" s="101"/>
      <x:c r="M170" s="101"/>
      <x:c r="N170" s="101"/>
      <x:c r="O170" s="101"/>
      <x:c r="P170" s="101"/>
      <x:c r="Q170" s="101"/>
      <x:c r="R170" s="101"/>
      <x:c r="S170" s="101"/>
      <x:c r="T170" s="101"/>
      <x:c r="U170" s="101"/>
      <x:c r="V170" s="101"/>
      <x:c r="W170" s="101"/>
      <x:c r="X170" s="101"/>
      <x:c r="Y170" s="101"/>
      <x:c r="Z170" s="101"/>
      <x:c r="AA170" s="101"/>
      <x:c r="AB170" s="101"/>
      <x:c r="AC170" s="101"/>
      <x:c r="AD170" s="101"/>
      <x:c r="AE170" s="101"/>
    </x:row>
    <x:row r="171">
      <x:c r="A171" s="101"/>
      <x:c r="B171" s="101"/>
      <x:c r="C171" s="101"/>
      <x:c r="D171" s="101"/>
      <x:c r="E171" s="101"/>
      <x:c r="F171" s="101"/>
      <x:c r="G171" s="101"/>
      <x:c r="H171" s="101"/>
      <x:c r="I171" s="101"/>
      <x:c r="J171" s="101"/>
      <x:c r="K171" s="101"/>
      <x:c r="L171" s="101"/>
      <x:c r="M171" s="101"/>
      <x:c r="N171" s="101"/>
      <x:c r="O171" s="101"/>
      <x:c r="P171" s="101"/>
      <x:c r="Q171" s="101"/>
      <x:c r="R171" s="101"/>
      <x:c r="S171" s="101"/>
      <x:c r="T171" s="101"/>
      <x:c r="U171" s="101"/>
      <x:c r="V171" s="101"/>
      <x:c r="W171" s="101"/>
      <x:c r="X171" s="101"/>
      <x:c r="Y171" s="101"/>
      <x:c r="Z171" s="101"/>
      <x:c r="AA171" s="101"/>
      <x:c r="AB171" s="101"/>
      <x:c r="AC171" s="101"/>
      <x:c r="AD171" s="101"/>
      <x:c r="AE171" s="101"/>
    </x:row>
    <x:row r="172">
      <x:c r="A172" s="101"/>
      <x:c r="B172" s="101"/>
      <x:c r="C172" s="101"/>
      <x:c r="D172" s="101"/>
      <x:c r="E172" s="101"/>
      <x:c r="F172" s="101"/>
      <x:c r="G172" s="101"/>
      <x:c r="H172" s="101"/>
      <x:c r="I172" s="101"/>
      <x:c r="J172" s="101"/>
      <x:c r="K172" s="101"/>
      <x:c r="L172" s="101"/>
      <x:c r="M172" s="101"/>
      <x:c r="N172" s="101"/>
      <x:c r="O172" s="101"/>
      <x:c r="P172" s="101"/>
      <x:c r="Q172" s="101"/>
      <x:c r="R172" s="101"/>
      <x:c r="S172" s="101"/>
      <x:c r="T172" s="101"/>
      <x:c r="U172" s="101"/>
      <x:c r="V172" s="101"/>
      <x:c r="W172" s="101"/>
      <x:c r="X172" s="101"/>
      <x:c r="Y172" s="101"/>
      <x:c r="Z172" s="101"/>
      <x:c r="AA172" s="101"/>
      <x:c r="AB172" s="101"/>
      <x:c r="AC172" s="101"/>
      <x:c r="AD172" s="101"/>
      <x:c r="AE172" s="101"/>
    </x:row>
    <x:row r="173">
      <x:c r="A173" s="101"/>
      <x:c r="B173" s="101"/>
      <x:c r="C173" s="101"/>
      <x:c r="D173" s="101"/>
      <x:c r="E173" s="101"/>
      <x:c r="F173" s="101"/>
      <x:c r="G173" s="101"/>
      <x:c r="H173" s="101"/>
      <x:c r="I173" s="101"/>
      <x:c r="J173" s="101"/>
      <x:c r="K173" s="101"/>
      <x:c r="L173" s="101"/>
      <x:c r="M173" s="101"/>
      <x:c r="N173" s="101"/>
      <x:c r="O173" s="101"/>
      <x:c r="P173" s="101"/>
      <x:c r="Q173" s="101"/>
      <x:c r="R173" s="101"/>
      <x:c r="S173" s="101"/>
      <x:c r="T173" s="101"/>
      <x:c r="U173" s="101"/>
      <x:c r="V173" s="101"/>
      <x:c r="W173" s="101"/>
      <x:c r="X173" s="101"/>
      <x:c r="Y173" s="101"/>
      <x:c r="Z173" s="101"/>
      <x:c r="AA173" s="101"/>
      <x:c r="AB173" s="101"/>
      <x:c r="AC173" s="101"/>
      <x:c r="AD173" s="101"/>
      <x:c r="AE173" s="101"/>
    </x:row>
    <x:row r="174">
      <x:c r="A174" s="101"/>
      <x:c r="B174" s="101"/>
      <x:c r="C174" s="101"/>
      <x:c r="D174" s="101"/>
      <x:c r="E174" s="101"/>
      <x:c r="F174" s="101"/>
      <x:c r="G174" s="101"/>
      <x:c r="H174" s="101"/>
      <x:c r="I174" s="101"/>
      <x:c r="J174" s="101"/>
      <x:c r="K174" s="101"/>
      <x:c r="L174" s="101"/>
      <x:c r="M174" s="101"/>
      <x:c r="N174" s="101"/>
      <x:c r="O174" s="101"/>
      <x:c r="P174" s="101"/>
      <x:c r="Q174" s="101"/>
      <x:c r="R174" s="101"/>
      <x:c r="S174" s="101"/>
      <x:c r="T174" s="101"/>
      <x:c r="U174" s="101"/>
      <x:c r="V174" s="101"/>
      <x:c r="W174" s="101"/>
      <x:c r="X174" s="101"/>
      <x:c r="Y174" s="101"/>
      <x:c r="Z174" s="101"/>
      <x:c r="AA174" s="101"/>
      <x:c r="AB174" s="101"/>
      <x:c r="AC174" s="101"/>
      <x:c r="AD174" s="101"/>
      <x:c r="AE174" s="101"/>
    </x:row>
    <x:row r="175">
      <x:c r="A175" s="101"/>
      <x:c r="B175" s="101"/>
      <x:c r="C175" s="101"/>
      <x:c r="D175" s="101"/>
      <x:c r="E175" s="101"/>
      <x:c r="F175" s="101"/>
      <x:c r="G175" s="101"/>
      <x:c r="H175" s="101"/>
      <x:c r="I175" s="101"/>
      <x:c r="J175" s="101"/>
      <x:c r="K175" s="101"/>
      <x:c r="L175" s="101"/>
      <x:c r="M175" s="101"/>
      <x:c r="N175" s="101"/>
      <x:c r="O175" s="101"/>
      <x:c r="P175" s="101"/>
      <x:c r="Q175" s="101"/>
      <x:c r="R175" s="101"/>
      <x:c r="S175" s="101"/>
      <x:c r="T175" s="101"/>
      <x:c r="U175" s="101"/>
      <x:c r="V175" s="101"/>
      <x:c r="W175" s="101"/>
      <x:c r="X175" s="101"/>
      <x:c r="Y175" s="101"/>
      <x:c r="Z175" s="101"/>
      <x:c r="AA175" s="101"/>
      <x:c r="AB175" s="101"/>
      <x:c r="AC175" s="101"/>
      <x:c r="AD175" s="101"/>
      <x:c r="AE175" s="101"/>
    </x:row>
    <x:row r="176">
      <x:c r="A176" s="101"/>
      <x:c r="B176" s="101"/>
      <x:c r="C176" s="101"/>
      <x:c r="D176" s="101"/>
      <x:c r="E176" s="101"/>
      <x:c r="F176" s="101"/>
      <x:c r="G176" s="101"/>
      <x:c r="H176" s="101"/>
      <x:c r="I176" s="101"/>
      <x:c r="J176" s="101"/>
      <x:c r="K176" s="101"/>
      <x:c r="L176" s="101"/>
      <x:c r="M176" s="101"/>
      <x:c r="N176" s="101"/>
      <x:c r="O176" s="101"/>
      <x:c r="P176" s="101"/>
      <x:c r="Q176" s="101"/>
      <x:c r="R176" s="101"/>
      <x:c r="S176" s="101"/>
      <x:c r="T176" s="101"/>
      <x:c r="U176" s="101"/>
      <x:c r="V176" s="101"/>
      <x:c r="W176" s="101"/>
      <x:c r="X176" s="101"/>
      <x:c r="Y176" s="101"/>
      <x:c r="Z176" s="101"/>
      <x:c r="AA176" s="101"/>
      <x:c r="AB176" s="101"/>
      <x:c r="AC176" s="101"/>
      <x:c r="AD176" s="101"/>
      <x:c r="AE176" s="101"/>
    </x:row>
    <x:row r="177">
      <x:c r="A177" s="101"/>
      <x:c r="B177" s="101"/>
      <x:c r="C177" s="101"/>
      <x:c r="D177" s="101"/>
      <x:c r="E177" s="101"/>
      <x:c r="F177" s="101"/>
      <x:c r="G177" s="101"/>
      <x:c r="H177" s="101"/>
      <x:c r="I177" s="101"/>
      <x:c r="J177" s="101"/>
      <x:c r="K177" s="101"/>
      <x:c r="L177" s="101"/>
      <x:c r="M177" s="101"/>
      <x:c r="N177" s="101"/>
      <x:c r="O177" s="101"/>
      <x:c r="P177" s="101"/>
      <x:c r="Q177" s="101"/>
      <x:c r="R177" s="101"/>
      <x:c r="S177" s="101"/>
      <x:c r="T177" s="101"/>
      <x:c r="U177" s="101"/>
      <x:c r="V177" s="101"/>
      <x:c r="W177" s="101"/>
      <x:c r="X177" s="101"/>
      <x:c r="Y177" s="101"/>
      <x:c r="Z177" s="101"/>
      <x:c r="AA177" s="101"/>
      <x:c r="AB177" s="101"/>
      <x:c r="AC177" s="101"/>
      <x:c r="AD177" s="101"/>
      <x:c r="AE177" s="101"/>
    </x:row>
    <x:row r="178">
      <x:c r="A178" s="101"/>
      <x:c r="B178" s="101"/>
      <x:c r="C178" s="101"/>
      <x:c r="D178" s="101"/>
      <x:c r="E178" s="101"/>
      <x:c r="F178" s="101"/>
      <x:c r="G178" s="101"/>
      <x:c r="H178" s="101"/>
      <x:c r="I178" s="101"/>
      <x:c r="J178" s="101"/>
      <x:c r="K178" s="101"/>
      <x:c r="L178" s="101"/>
      <x:c r="M178" s="101"/>
      <x:c r="N178" s="101"/>
      <x:c r="O178" s="101"/>
      <x:c r="P178" s="101"/>
      <x:c r="Q178" s="101"/>
      <x:c r="R178" s="101"/>
      <x:c r="S178" s="101"/>
      <x:c r="T178" s="101"/>
      <x:c r="U178" s="101"/>
      <x:c r="V178" s="101"/>
      <x:c r="W178" s="101"/>
      <x:c r="X178" s="101"/>
      <x:c r="Y178" s="101"/>
      <x:c r="Z178" s="101"/>
      <x:c r="AA178" s="101"/>
      <x:c r="AB178" s="101"/>
      <x:c r="AC178" s="101"/>
      <x:c r="AD178" s="101"/>
      <x:c r="AE178" s="101"/>
    </x:row>
    <x:row r="179">
      <x:c r="A179" s="101"/>
      <x:c r="B179" s="101"/>
      <x:c r="C179" s="101"/>
      <x:c r="D179" s="101"/>
      <x:c r="E179" s="101"/>
      <x:c r="F179" s="101"/>
      <x:c r="G179" s="101"/>
      <x:c r="H179" s="101"/>
      <x:c r="I179" s="101"/>
      <x:c r="J179" s="101"/>
      <x:c r="K179" s="101"/>
      <x:c r="L179" s="101"/>
      <x:c r="M179" s="101"/>
      <x:c r="N179" s="101"/>
      <x:c r="O179" s="101"/>
      <x:c r="P179" s="101"/>
      <x:c r="Q179" s="101"/>
      <x:c r="R179" s="101"/>
      <x:c r="S179" s="101"/>
      <x:c r="T179" s="101"/>
      <x:c r="U179" s="101"/>
      <x:c r="V179" s="101"/>
      <x:c r="W179" s="101"/>
      <x:c r="X179" s="101"/>
      <x:c r="Y179" s="101"/>
      <x:c r="Z179" s="101"/>
      <x:c r="AA179" s="101"/>
      <x:c r="AB179" s="101"/>
      <x:c r="AC179" s="101"/>
      <x:c r="AD179" s="101"/>
      <x:c r="AE179" s="101"/>
    </x:row>
    <x:row r="180">
      <x:c r="A180" s="101"/>
      <x:c r="B180" s="101"/>
      <x:c r="C180" s="101"/>
      <x:c r="D180" s="101"/>
      <x:c r="E180" s="101"/>
      <x:c r="F180" s="101"/>
      <x:c r="G180" s="101"/>
      <x:c r="H180" s="101"/>
      <x:c r="I180" s="101"/>
      <x:c r="J180" s="101"/>
      <x:c r="K180" s="101"/>
      <x:c r="L180" s="101"/>
      <x:c r="M180" s="101"/>
      <x:c r="N180" s="101"/>
      <x:c r="O180" s="101"/>
      <x:c r="P180" s="101"/>
      <x:c r="Q180" s="101"/>
      <x:c r="R180" s="101"/>
      <x:c r="S180" s="101"/>
      <x:c r="T180" s="101"/>
      <x:c r="U180" s="101"/>
      <x:c r="V180" s="101"/>
      <x:c r="W180" s="101"/>
      <x:c r="X180" s="101"/>
      <x:c r="Y180" s="101"/>
      <x:c r="Z180" s="101"/>
      <x:c r="AA180" s="101"/>
      <x:c r="AB180" s="101"/>
      <x:c r="AC180" s="101"/>
      <x:c r="AD180" s="101"/>
      <x:c r="AE180" s="101"/>
    </x:row>
    <x:row r="181">
      <x:c r="A181" s="101"/>
      <x:c r="B181" s="101"/>
      <x:c r="C181" s="101"/>
      <x:c r="D181" s="101"/>
      <x:c r="E181" s="101"/>
      <x:c r="F181" s="101"/>
      <x:c r="G181" s="101"/>
      <x:c r="H181" s="101"/>
      <x:c r="I181" s="101"/>
      <x:c r="J181" s="101"/>
      <x:c r="K181" s="101"/>
      <x:c r="L181" s="101"/>
      <x:c r="M181" s="101"/>
      <x:c r="N181" s="101"/>
      <x:c r="O181" s="101"/>
      <x:c r="P181" s="101"/>
      <x:c r="Q181" s="101"/>
      <x:c r="R181" s="101"/>
      <x:c r="S181" s="101"/>
      <x:c r="T181" s="101"/>
      <x:c r="U181" s="101"/>
      <x:c r="V181" s="101"/>
      <x:c r="W181" s="101"/>
      <x:c r="X181" s="101"/>
      <x:c r="Y181" s="101"/>
      <x:c r="Z181" s="101"/>
      <x:c r="AA181" s="101"/>
      <x:c r="AB181" s="101"/>
      <x:c r="AC181" s="101"/>
      <x:c r="AD181" s="101"/>
      <x:c r="AE181" s="101"/>
    </x:row>
    <x:row r="182">
      <x:c r="A182" s="101"/>
      <x:c r="B182" s="101"/>
      <x:c r="C182" s="101"/>
      <x:c r="D182" s="101"/>
      <x:c r="E182" s="101"/>
      <x:c r="F182" s="101"/>
      <x:c r="G182" s="101"/>
      <x:c r="H182" s="101"/>
      <x:c r="I182" s="101"/>
      <x:c r="J182" s="101"/>
      <x:c r="K182" s="101"/>
      <x:c r="L182" s="101"/>
      <x:c r="M182" s="101"/>
      <x:c r="N182" s="101"/>
      <x:c r="O182" s="101"/>
      <x:c r="P182" s="101"/>
      <x:c r="Q182" s="101"/>
      <x:c r="R182" s="101"/>
      <x:c r="S182" s="101"/>
      <x:c r="T182" s="101"/>
      <x:c r="U182" s="101"/>
      <x:c r="V182" s="101"/>
      <x:c r="W182" s="101"/>
      <x:c r="X182" s="101"/>
      <x:c r="Y182" s="101"/>
      <x:c r="Z182" s="101"/>
      <x:c r="AA182" s="101"/>
      <x:c r="AB182" s="101"/>
      <x:c r="AC182" s="101"/>
      <x:c r="AD182" s="101"/>
      <x:c r="AE182" s="101"/>
    </x:row>
    <x:row r="183">
      <x:c r="A183" s="101"/>
      <x:c r="B183" s="101"/>
      <x:c r="C183" s="101"/>
      <x:c r="D183" s="101"/>
      <x:c r="E183" s="101"/>
      <x:c r="F183" s="101"/>
      <x:c r="G183" s="101"/>
      <x:c r="H183" s="101"/>
      <x:c r="I183" s="101"/>
      <x:c r="J183" s="101"/>
      <x:c r="K183" s="101"/>
      <x:c r="L183" s="101"/>
      <x:c r="M183" s="101"/>
      <x:c r="N183" s="101"/>
      <x:c r="O183" s="101"/>
      <x:c r="P183" s="101"/>
      <x:c r="Q183" s="101"/>
      <x:c r="R183" s="101"/>
      <x:c r="S183" s="101"/>
      <x:c r="T183" s="101"/>
      <x:c r="U183" s="101"/>
      <x:c r="V183" s="101"/>
      <x:c r="W183" s="101"/>
      <x:c r="X183" s="101"/>
      <x:c r="Y183" s="101"/>
      <x:c r="Z183" s="101"/>
      <x:c r="AA183" s="101"/>
      <x:c r="AB183" s="101"/>
      <x:c r="AC183" s="101"/>
      <x:c r="AD183" s="101"/>
      <x:c r="AE183" s="101"/>
    </x:row>
    <x:row r="184">
      <x:c r="A184" s="101"/>
      <x:c r="B184" s="101"/>
      <x:c r="C184" s="101"/>
      <x:c r="D184" s="101"/>
      <x:c r="E184" s="101"/>
      <x:c r="F184" s="101"/>
      <x:c r="G184" s="101"/>
      <x:c r="H184" s="101"/>
      <x:c r="I184" s="101"/>
      <x:c r="J184" s="101"/>
      <x:c r="K184" s="101"/>
      <x:c r="L184" s="101"/>
      <x:c r="M184" s="101"/>
      <x:c r="N184" s="101"/>
      <x:c r="O184" s="101"/>
      <x:c r="P184" s="101"/>
      <x:c r="Q184" s="101"/>
      <x:c r="R184" s="101"/>
      <x:c r="S184" s="101"/>
      <x:c r="T184" s="101"/>
      <x:c r="U184" s="101"/>
      <x:c r="V184" s="101"/>
      <x:c r="W184" s="101"/>
      <x:c r="X184" s="101"/>
      <x:c r="Y184" s="101"/>
      <x:c r="Z184" s="101"/>
      <x:c r="AA184" s="101"/>
      <x:c r="AB184" s="101"/>
      <x:c r="AC184" s="101"/>
      <x:c r="AD184" s="101"/>
      <x:c r="AE184" s="101"/>
    </x:row>
    <x:row r="185">
      <x:c r="A185" s="101"/>
      <x:c r="B185" s="101"/>
      <x:c r="C185" s="101"/>
      <x:c r="D185" s="101"/>
      <x:c r="E185" s="101"/>
      <x:c r="F185" s="101"/>
      <x:c r="G185" s="101"/>
      <x:c r="H185" s="101"/>
      <x:c r="I185" s="101"/>
      <x:c r="J185" s="101"/>
      <x:c r="K185" s="101"/>
      <x:c r="L185" s="101"/>
      <x:c r="M185" s="101"/>
      <x:c r="N185" s="101"/>
      <x:c r="O185" s="101"/>
      <x:c r="P185" s="101"/>
      <x:c r="Q185" s="101"/>
      <x:c r="R185" s="101"/>
      <x:c r="S185" s="101"/>
      <x:c r="T185" s="101"/>
      <x:c r="U185" s="101"/>
      <x:c r="V185" s="101"/>
      <x:c r="W185" s="101"/>
      <x:c r="X185" s="101"/>
      <x:c r="Y185" s="101"/>
      <x:c r="Z185" s="101"/>
      <x:c r="AA185" s="101"/>
      <x:c r="AB185" s="101"/>
      <x:c r="AC185" s="101"/>
      <x:c r="AD185" s="101"/>
      <x:c r="AE185" s="101"/>
    </x:row>
    <x:row r="186">
      <x:c r="A186" s="101"/>
      <x:c r="B186" s="101"/>
      <x:c r="C186" s="101"/>
      <x:c r="D186" s="101"/>
      <x:c r="E186" s="101"/>
      <x:c r="F186" s="101"/>
      <x:c r="G186" s="101"/>
      <x:c r="H186" s="101"/>
      <x:c r="I186" s="101"/>
      <x:c r="J186" s="101"/>
      <x:c r="K186" s="101"/>
      <x:c r="L186" s="101"/>
      <x:c r="M186" s="101"/>
      <x:c r="N186" s="101"/>
      <x:c r="O186" s="101"/>
      <x:c r="P186" s="101"/>
      <x:c r="Q186" s="101"/>
      <x:c r="R186" s="101"/>
      <x:c r="S186" s="101"/>
      <x:c r="T186" s="101"/>
      <x:c r="U186" s="101"/>
      <x:c r="V186" s="101"/>
      <x:c r="W186" s="101"/>
      <x:c r="X186" s="101"/>
      <x:c r="Y186" s="101"/>
      <x:c r="Z186" s="101"/>
      <x:c r="AA186" s="101"/>
      <x:c r="AB186" s="101"/>
      <x:c r="AC186" s="101"/>
      <x:c r="AD186" s="101"/>
      <x:c r="AE186" s="101"/>
    </x:row>
    <x:row r="187">
      <x:c r="A187" s="101"/>
      <x:c r="B187" s="101"/>
      <x:c r="C187" s="101"/>
      <x:c r="D187" s="101"/>
      <x:c r="E187" s="101"/>
      <x:c r="F187" s="101"/>
      <x:c r="G187" s="101"/>
      <x:c r="H187" s="101"/>
      <x:c r="I187" s="101"/>
      <x:c r="J187" s="101"/>
      <x:c r="K187" s="101"/>
      <x:c r="L187" s="101"/>
      <x:c r="M187" s="101"/>
      <x:c r="N187" s="101"/>
      <x:c r="O187" s="101"/>
      <x:c r="P187" s="101"/>
      <x:c r="Q187" s="101"/>
      <x:c r="R187" s="101"/>
      <x:c r="S187" s="101"/>
      <x:c r="T187" s="101"/>
      <x:c r="U187" s="101"/>
      <x:c r="V187" s="101"/>
      <x:c r="W187" s="101"/>
      <x:c r="X187" s="101"/>
      <x:c r="Y187" s="101"/>
      <x:c r="Z187" s="101"/>
      <x:c r="AA187" s="101"/>
      <x:c r="AB187" s="101"/>
      <x:c r="AC187" s="101"/>
      <x:c r="AD187" s="101"/>
      <x:c r="AE187" s="101"/>
    </x:row>
    <x:row r="188">
      <x:c r="A188" s="101"/>
      <x:c r="B188" s="101"/>
      <x:c r="C188" s="101"/>
      <x:c r="D188" s="101"/>
      <x:c r="E188" s="101"/>
      <x:c r="F188" s="101"/>
      <x:c r="G188" s="101"/>
      <x:c r="H188" s="101"/>
      <x:c r="I188" s="101"/>
      <x:c r="J188" s="101"/>
      <x:c r="K188" s="101"/>
      <x:c r="L188" s="101"/>
      <x:c r="M188" s="101"/>
      <x:c r="N188" s="101"/>
      <x:c r="O188" s="101"/>
      <x:c r="P188" s="101"/>
      <x:c r="Q188" s="101"/>
      <x:c r="R188" s="101"/>
      <x:c r="S188" s="101"/>
      <x:c r="T188" s="101"/>
      <x:c r="U188" s="101"/>
      <x:c r="V188" s="101"/>
      <x:c r="W188" s="101"/>
      <x:c r="X188" s="101"/>
      <x:c r="Y188" s="101"/>
      <x:c r="Z188" s="101"/>
      <x:c r="AA188" s="101"/>
      <x:c r="AB188" s="101"/>
      <x:c r="AC188" s="101"/>
      <x:c r="AD188" s="101"/>
      <x:c r="AE188" s="101"/>
    </x:row>
    <x:row r="189">
      <x:c r="A189" s="101"/>
      <x:c r="B189" s="101"/>
      <x:c r="C189" s="101"/>
      <x:c r="D189" s="101"/>
      <x:c r="E189" s="101"/>
      <x:c r="F189" s="101"/>
      <x:c r="G189" s="101"/>
      <x:c r="H189" s="101"/>
      <x:c r="I189" s="101"/>
      <x:c r="J189" s="101"/>
      <x:c r="K189" s="101"/>
      <x:c r="L189" s="101"/>
      <x:c r="M189" s="101"/>
      <x:c r="N189" s="101"/>
      <x:c r="O189" s="101"/>
      <x:c r="P189" s="101"/>
      <x:c r="Q189" s="101"/>
      <x:c r="R189" s="101"/>
      <x:c r="S189" s="101"/>
      <x:c r="T189" s="101"/>
      <x:c r="U189" s="101"/>
      <x:c r="V189" s="101"/>
      <x:c r="W189" s="101"/>
      <x:c r="X189" s="101"/>
      <x:c r="Y189" s="101"/>
      <x:c r="Z189" s="101"/>
      <x:c r="AA189" s="101"/>
      <x:c r="AB189" s="101"/>
      <x:c r="AC189" s="101"/>
      <x:c r="AD189" s="101"/>
      <x:c r="AE189" s="101"/>
    </x:row>
    <x:row r="190">
      <x:c r="A190" s="101"/>
      <x:c r="B190" s="101"/>
      <x:c r="C190" s="101"/>
      <x:c r="D190" s="101"/>
      <x:c r="E190" s="101"/>
      <x:c r="F190" s="101"/>
      <x:c r="G190" s="101"/>
      <x:c r="H190" s="101"/>
      <x:c r="I190" s="101"/>
      <x:c r="J190" s="101"/>
      <x:c r="K190" s="101"/>
      <x:c r="L190" s="101"/>
      <x:c r="M190" s="101"/>
      <x:c r="N190" s="101"/>
      <x:c r="O190" s="101"/>
      <x:c r="P190" s="101"/>
      <x:c r="Q190" s="101"/>
      <x:c r="R190" s="101"/>
      <x:c r="S190" s="101"/>
      <x:c r="T190" s="101"/>
      <x:c r="U190" s="101"/>
      <x:c r="V190" s="101"/>
      <x:c r="W190" s="101"/>
      <x:c r="X190" s="101"/>
      <x:c r="Y190" s="101"/>
      <x:c r="Z190" s="101"/>
      <x:c r="AA190" s="101"/>
      <x:c r="AB190" s="101"/>
      <x:c r="AC190" s="101"/>
      <x:c r="AD190" s="101"/>
      <x:c r="AE190" s="101"/>
    </x:row>
    <x:row r="191">
      <x:c r="A191" s="101"/>
      <x:c r="B191" s="101"/>
      <x:c r="C191" s="101"/>
      <x:c r="D191" s="101"/>
      <x:c r="E191" s="101"/>
      <x:c r="F191" s="101"/>
      <x:c r="G191" s="101"/>
      <x:c r="H191" s="101"/>
      <x:c r="I191" s="101"/>
      <x:c r="J191" s="101"/>
      <x:c r="K191" s="101"/>
      <x:c r="L191" s="101"/>
      <x:c r="M191" s="101"/>
      <x:c r="N191" s="101"/>
      <x:c r="O191" s="101"/>
      <x:c r="P191" s="101"/>
      <x:c r="Q191" s="101"/>
      <x:c r="R191" s="101"/>
      <x:c r="S191" s="101"/>
      <x:c r="T191" s="101"/>
      <x:c r="U191" s="101"/>
      <x:c r="V191" s="101"/>
      <x:c r="W191" s="101"/>
      <x:c r="X191" s="101"/>
      <x:c r="Y191" s="101"/>
      <x:c r="Z191" s="101"/>
      <x:c r="AA191" s="101"/>
      <x:c r="AB191" s="101"/>
      <x:c r="AC191" s="101"/>
      <x:c r="AD191" s="101"/>
      <x:c r="AE191" s="101"/>
    </x:row>
    <x:row r="192">
      <x:c r="A192" s="101"/>
      <x:c r="B192" s="101"/>
      <x:c r="C192" s="101"/>
      <x:c r="D192" s="101"/>
      <x:c r="E192" s="101"/>
      <x:c r="F192" s="101"/>
      <x:c r="G192" s="101"/>
      <x:c r="H192" s="101"/>
      <x:c r="I192" s="101"/>
      <x:c r="J192" s="101"/>
      <x:c r="K192" s="101"/>
      <x:c r="L192" s="101"/>
      <x:c r="M192" s="101"/>
      <x:c r="N192" s="101"/>
      <x:c r="O192" s="101"/>
      <x:c r="P192" s="101"/>
      <x:c r="Q192" s="101"/>
      <x:c r="R192" s="101"/>
      <x:c r="S192" s="101"/>
      <x:c r="T192" s="101"/>
      <x:c r="U192" s="101"/>
      <x:c r="V192" s="101"/>
      <x:c r="W192" s="101"/>
      <x:c r="X192" s="101"/>
      <x:c r="Y192" s="101"/>
      <x:c r="Z192" s="101"/>
      <x:c r="AA192" s="101"/>
      <x:c r="AB192" s="101"/>
      <x:c r="AC192" s="101"/>
      <x:c r="AD192" s="101"/>
      <x:c r="AE192" s="101"/>
    </x:row>
    <x:row r="193">
      <x:c r="A193" s="101"/>
      <x:c r="B193" s="101"/>
      <x:c r="C193" s="101"/>
      <x:c r="D193" s="101"/>
      <x:c r="E193" s="101"/>
      <x:c r="F193" s="101"/>
      <x:c r="G193" s="101"/>
      <x:c r="H193" s="101"/>
      <x:c r="I193" s="101"/>
      <x:c r="J193" s="101"/>
      <x:c r="K193" s="101"/>
      <x:c r="L193" s="101"/>
      <x:c r="M193" s="101"/>
      <x:c r="N193" s="101"/>
      <x:c r="O193" s="101"/>
      <x:c r="P193" s="101"/>
      <x:c r="Q193" s="101"/>
      <x:c r="R193" s="101"/>
      <x:c r="S193" s="101"/>
      <x:c r="T193" s="101"/>
      <x:c r="U193" s="101"/>
      <x:c r="V193" s="101"/>
      <x:c r="W193" s="101"/>
      <x:c r="X193" s="101"/>
      <x:c r="Y193" s="101"/>
      <x:c r="Z193" s="101"/>
      <x:c r="AA193" s="101"/>
      <x:c r="AB193" s="101"/>
      <x:c r="AC193" s="101"/>
      <x:c r="AD193" s="101"/>
      <x:c r="AE193" s="101"/>
    </x:row>
    <x:row r="194">
      <x:c r="A194" s="101"/>
      <x:c r="B194" s="101"/>
      <x:c r="C194" s="101"/>
      <x:c r="D194" s="101"/>
      <x:c r="E194" s="101"/>
      <x:c r="F194" s="101"/>
      <x:c r="G194" s="101"/>
      <x:c r="H194" s="101"/>
      <x:c r="I194" s="101"/>
      <x:c r="J194" s="101"/>
      <x:c r="K194" s="101"/>
      <x:c r="L194" s="101"/>
      <x:c r="M194" s="101"/>
      <x:c r="N194" s="101"/>
      <x:c r="O194" s="101"/>
      <x:c r="P194" s="101"/>
      <x:c r="Q194" s="101"/>
      <x:c r="R194" s="101"/>
      <x:c r="S194" s="101"/>
      <x:c r="T194" s="101"/>
      <x:c r="U194" s="101"/>
      <x:c r="V194" s="101"/>
      <x:c r="W194" s="101"/>
      <x:c r="X194" s="101"/>
      <x:c r="Y194" s="101"/>
      <x:c r="Z194" s="101"/>
      <x:c r="AA194" s="101"/>
      <x:c r="AB194" s="101"/>
      <x:c r="AC194" s="101"/>
      <x:c r="AD194" s="101"/>
      <x:c r="AE194" s="101"/>
    </x:row>
    <x:row r="195">
      <x:c r="A195" s="101"/>
      <x:c r="B195" s="101"/>
      <x:c r="C195" s="101"/>
      <x:c r="D195" s="101"/>
      <x:c r="E195" s="101"/>
      <x:c r="F195" s="101"/>
      <x:c r="G195" s="101"/>
      <x:c r="H195" s="101"/>
      <x:c r="I195" s="101"/>
      <x:c r="J195" s="101"/>
      <x:c r="K195" s="101"/>
      <x:c r="L195" s="101"/>
      <x:c r="M195" s="101"/>
      <x:c r="N195" s="101"/>
      <x:c r="O195" s="101"/>
      <x:c r="P195" s="101"/>
      <x:c r="Q195" s="101"/>
      <x:c r="R195" s="101"/>
      <x:c r="S195" s="101"/>
      <x:c r="T195" s="101"/>
      <x:c r="U195" s="101"/>
      <x:c r="V195" s="101"/>
      <x:c r="W195" s="101"/>
      <x:c r="X195" s="101"/>
      <x:c r="Y195" s="101"/>
      <x:c r="Z195" s="101"/>
      <x:c r="AA195" s="101"/>
      <x:c r="AB195" s="101"/>
      <x:c r="AC195" s="101"/>
      <x:c r="AD195" s="101"/>
      <x:c r="AE195" s="101"/>
    </x:row>
    <x:row r="196">
      <x:c r="A196" s="101"/>
      <x:c r="B196" s="101"/>
      <x:c r="C196" s="101"/>
      <x:c r="D196" s="101"/>
      <x:c r="E196" s="101"/>
      <x:c r="F196" s="101"/>
      <x:c r="G196" s="101"/>
      <x:c r="H196" s="101"/>
      <x:c r="I196" s="101"/>
      <x:c r="J196" s="101"/>
      <x:c r="K196" s="101"/>
      <x:c r="L196" s="101"/>
      <x:c r="M196" s="101"/>
      <x:c r="N196" s="101"/>
      <x:c r="O196" s="101"/>
      <x:c r="P196" s="101"/>
      <x:c r="Q196" s="101"/>
      <x:c r="R196" s="101"/>
      <x:c r="S196" s="101"/>
      <x:c r="T196" s="101"/>
      <x:c r="U196" s="101"/>
      <x:c r="V196" s="101"/>
      <x:c r="W196" s="101"/>
      <x:c r="X196" s="101"/>
      <x:c r="Y196" s="101"/>
      <x:c r="Z196" s="101"/>
      <x:c r="AA196" s="101"/>
      <x:c r="AB196" s="101"/>
      <x:c r="AC196" s="101"/>
      <x:c r="AD196" s="101"/>
      <x:c r="AE196" s="101"/>
    </x:row>
    <x:row r="197">
      <x:c r="A197" s="101"/>
      <x:c r="B197" s="101"/>
      <x:c r="C197" s="101"/>
      <x:c r="D197" s="101"/>
      <x:c r="E197" s="101"/>
      <x:c r="F197" s="101"/>
      <x:c r="G197" s="101"/>
      <x:c r="H197" s="101"/>
      <x:c r="I197" s="101"/>
      <x:c r="J197" s="101"/>
      <x:c r="K197" s="101"/>
      <x:c r="L197" s="101"/>
      <x:c r="M197" s="101"/>
      <x:c r="N197" s="101"/>
      <x:c r="O197" s="101"/>
      <x:c r="P197" s="101"/>
      <x:c r="Q197" s="101"/>
      <x:c r="R197" s="101"/>
      <x:c r="S197" s="101"/>
      <x:c r="T197" s="101"/>
      <x:c r="U197" s="101"/>
      <x:c r="V197" s="101"/>
      <x:c r="W197" s="101"/>
      <x:c r="X197" s="101"/>
      <x:c r="Y197" s="101"/>
      <x:c r="Z197" s="101"/>
      <x:c r="AA197" s="101"/>
      <x:c r="AB197" s="101"/>
      <x:c r="AC197" s="101"/>
      <x:c r="AD197" s="101"/>
      <x:c r="AE197" s="101"/>
    </x:row>
    <x:row r="198">
      <x:c r="A198" s="101"/>
      <x:c r="B198" s="101"/>
      <x:c r="C198" s="101"/>
      <x:c r="D198" s="101"/>
      <x:c r="E198" s="101"/>
      <x:c r="F198" s="101"/>
      <x:c r="G198" s="101"/>
      <x:c r="H198" s="101"/>
      <x:c r="I198" s="101"/>
      <x:c r="J198" s="101"/>
      <x:c r="K198" s="101"/>
      <x:c r="L198" s="101"/>
      <x:c r="M198" s="101"/>
      <x:c r="N198" s="101"/>
      <x:c r="O198" s="101"/>
      <x:c r="P198" s="101"/>
      <x:c r="Q198" s="101"/>
      <x:c r="R198" s="101"/>
      <x:c r="S198" s="101"/>
      <x:c r="T198" s="101"/>
      <x:c r="U198" s="101"/>
      <x:c r="V198" s="101"/>
      <x:c r="W198" s="101"/>
      <x:c r="X198" s="101"/>
      <x:c r="Y198" s="101"/>
      <x:c r="Z198" s="101"/>
      <x:c r="AA198" s="101"/>
      <x:c r="AB198" s="101"/>
      <x:c r="AC198" s="101"/>
      <x:c r="AD198" s="101"/>
      <x:c r="AE198" s="101"/>
    </x:row>
    <x:row r="199">
      <x:c r="A199" s="101"/>
      <x:c r="B199" s="101"/>
      <x:c r="C199" s="101"/>
      <x:c r="D199" s="101"/>
      <x:c r="E199" s="101"/>
      <x:c r="F199" s="101"/>
      <x:c r="G199" s="101"/>
      <x:c r="H199" s="101"/>
      <x:c r="I199" s="101"/>
      <x:c r="J199" s="101"/>
      <x:c r="K199" s="101"/>
      <x:c r="L199" s="101"/>
      <x:c r="M199" s="101"/>
      <x:c r="N199" s="101"/>
      <x:c r="O199" s="101"/>
      <x:c r="P199" s="101"/>
      <x:c r="Q199" s="101"/>
      <x:c r="R199" s="101"/>
      <x:c r="S199" s="101"/>
      <x:c r="T199" s="101"/>
      <x:c r="U199" s="101"/>
      <x:c r="V199" s="101"/>
      <x:c r="W199" s="101"/>
      <x:c r="X199" s="101"/>
      <x:c r="Y199" s="101"/>
      <x:c r="Z199" s="101"/>
      <x:c r="AA199" s="101"/>
      <x:c r="AB199" s="101"/>
      <x:c r="AC199" s="101"/>
      <x:c r="AD199" s="101"/>
      <x:c r="AE199" s="101"/>
    </x:row>
    <x:row r="200">
      <x:c r="A200" s="101"/>
      <x:c r="B200" s="101"/>
      <x:c r="C200" s="101"/>
      <x:c r="D200" s="101"/>
      <x:c r="E200" s="101"/>
      <x:c r="F200" s="101"/>
      <x:c r="G200" s="101"/>
      <x:c r="H200" s="101"/>
      <x:c r="I200" s="101"/>
      <x:c r="J200" s="101"/>
      <x:c r="K200" s="101"/>
      <x:c r="L200" s="101"/>
      <x:c r="M200" s="101"/>
      <x:c r="N200" s="101"/>
      <x:c r="O200" s="101"/>
      <x:c r="P200" s="101"/>
      <x:c r="Q200" s="101"/>
      <x:c r="R200" s="101"/>
      <x:c r="S200" s="101"/>
      <x:c r="T200" s="101"/>
      <x:c r="U200" s="101"/>
      <x:c r="V200" s="101"/>
      <x:c r="W200" s="101"/>
      <x:c r="X200" s="101"/>
      <x:c r="Y200" s="101"/>
      <x:c r="Z200" s="101"/>
      <x:c r="AA200" s="101"/>
      <x:c r="AB200" s="101"/>
      <x:c r="AC200" s="101"/>
      <x:c r="AD200" s="101"/>
      <x:c r="AE200" s="101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6d9973c1f0341f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8" hidden="0" customWidth="1"/>
    <x:col min="4" max="4" width="14" hidden="0" customWidth="1"/>
    <x:col min="5" max="5" width="14" hidden="0" customWidth="1"/>
    <x:col min="6" max="6" width="20" hidden="0" customWidth="1"/>
    <x:col min="7" max="7" width="14" hidden="0" customWidth="1"/>
    <x:col min="8" max="8" width="22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8" hidden="0" customWidth="1"/>
    <x:col min="18" max="18" width="14" hidden="0" customWidth="1"/>
    <x:col min="19" max="19" width="16" hidden="0" customWidth="1"/>
    <x:col min="20" max="20" width="10" hidden="0" customWidth="1"/>
    <x:col min="21" max="21" width="12" hidden="0" customWidth="1"/>
    <x:col min="22" max="22" width="12" hidden="0" customWidth="1"/>
    <x:col min="23" max="23" width="10" hidden="0" customWidth="1"/>
    <x:col min="24" max="24" width="16" hidden="0" customWidth="1"/>
    <x:col min="25" max="25" width="14" hidden="0" customWidth="1"/>
    <x:col min="26" max="26" width="12" hidden="0" customWidth="1"/>
    <x:col min="27" max="27" width="12" hidden="0" customWidth="1"/>
    <x:col min="28" max="28" width="12" hidden="0" customWidth="1"/>
    <x:col min="29" max="29" width="18" hidden="0" customWidth="1"/>
    <x:col min="30" max="30" width="10" hidden="0" customWidth="1"/>
    <x:col min="31" max="31" width="28" hidden="0" customWidth="1"/>
  </x:cols>
  <x:sheetData>
    <x:row r="1">
      <x:c r="A1" s="118" t="str">
        <x:v>CURTAIN INPUT - fill one row per curtain / curtain type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</x:row>
    <x:row r="2">
      <x:c r="A2" s="96" t="str">
        <x:v>Curtain Ref</x:v>
      </x:c>
      <x:c r="B2" s="96" t="str">
        <x:v>Product / Fabric</x:v>
      </x:c>
      <x:c r="C2" s="96" t="str">
        <x:v>Qty</x:v>
      </x:c>
      <x:c r="D2" s="96" t="str">
        <x:v>Overall Width mm</x:v>
      </x:c>
      <x:c r="E2" s="96" t="str">
        <x:v>Overall Height mm</x:v>
      </x:c>
      <x:c r="F2" s="96" t="str">
        <x:v>Headbox Type</x:v>
      </x:c>
      <x:c r="G2" s="96" t="str">
        <x:v>Headbox Length mm</x:v>
      </x:c>
      <x:c r="H2" s="96" t="str">
        <x:v>Guide Type</x:v>
      </x:c>
      <x:c r="I2" s="96" t="str">
        <x:v>Guide Length mm</x:v>
      </x:c>
      <x:c r="J2" s="96" t="str">
        <x:v>Guide split parts</x:v>
      </x:c>
      <x:c r="K2" s="96" t="str">
        <x:v>Barrel Type</x:v>
      </x:c>
      <x:c r="L2" s="96" t="str">
        <x:v>Barrel Qty</x:v>
      </x:c>
      <x:c r="M2" s="96" t="str">
        <x:v>Barrel Length mm</x:v>
      </x:c>
      <x:c r="N2" s="96" t="str">
        <x:v>Curtain Panels Qty</x:v>
      </x:c>
      <x:c r="O2" s="96" t="str">
        <x:v>Curtain Width mm</x:v>
      </x:c>
      <x:c r="P2" s="96" t="str">
        <x:v>Curtain Drop mm</x:v>
      </x:c>
      <x:c r="Q2" s="96" t="str">
        <x:v>Bottom Rail Type</x:v>
      </x:c>
      <x:c r="R2" s="96" t="str">
        <x:v>Bottom Rail Length mm</x:v>
      </x:c>
      <x:c r="S2" s="96" t="str">
        <x:v>Motor Type</x:v>
      </x:c>
      <x:c r="T2" s="96" t="str">
        <x:v>Motor Qty</x:v>
      </x:c>
      <x:c r="U2" s="96" t="str">
        <x:v>Control Panel Qty</x:v>
      </x:c>
      <x:c r="V2" s="96" t="str">
        <x:v>Key Switch Qty</x:v>
      </x:c>
      <x:c r="W2" s="96" t="str">
        <x:v>ERB Qty</x:v>
      </x:c>
      <x:c r="X2" s="96" t="str">
        <x:v>Battery &amp; Mains Monitor Qty</x:v>
      </x:c>
      <x:c r="Y2" s="96" t="str">
        <x:v>Beam Sensor Kit Qty</x:v>
      </x:c>
      <x:c r="Z2" s="96" t="str">
        <x:v>Audio Visual Qty</x:v>
      </x:c>
      <x:c r="AA2" s="96" t="str">
        <x:v>Timer Relay Qty</x:v>
      </x:c>
      <x:c r="AB2" s="96" t="str">
        <x:v>Delay/Split Drop Qty</x:v>
      </x:c>
      <x:c r="AC2" s="96" t="str">
        <x:v>Endplate Type</x:v>
      </x:c>
      <x:c r="AD2" s="96" t="str">
        <x:v>Pallet No</x:v>
      </x:c>
      <x:c r="AE2" s="96" t="str">
        <x:v>Notes</x:v>
      </x:c>
    </x:row>
    <x:row r="3">
      <x:c r="A3" s="104"/>
      <x:c r="B3" s="104"/>
      <x:c r="C3" s="106"/>
      <x:c r="D3" s="106"/>
      <x:c r="E3" s="106"/>
      <x:c r="F3" s="104"/>
      <x:c r="G3" s="106"/>
      <x:c r="H3" s="106"/>
      <x:c r="I3" s="106"/>
      <x:c r="J3" s="106"/>
      <x:c r="K3" s="104"/>
      <x:c r="L3" s="106"/>
      <x:c r="M3" s="106"/>
      <x:c r="N3" s="106"/>
      <x:c r="O3" s="106"/>
      <x:c r="P3" s="106"/>
      <x:c r="Q3" s="104"/>
      <x:c r="R3" s="106"/>
      <x:c r="S3" s="106"/>
      <x:c r="T3" s="106"/>
      <x:c r="U3" s="106"/>
      <x:c r="V3" s="106"/>
      <x:c r="W3" s="106"/>
      <x:c r="X3" s="106"/>
      <x:c r="Y3" s="106"/>
      <x:c r="Z3" s="106"/>
      <x:c r="AA3" s="106"/>
      <x:c r="AB3" s="106"/>
      <x:c r="AC3" s="106"/>
      <x:c r="AD3" s="106"/>
      <x:c r="AE3" s="104"/>
    </x:row>
    <x:row r="4">
      <x:c r="A4" s="104"/>
      <x:c r="B4" s="104"/>
      <x:c r="C4" s="106"/>
      <x:c r="D4" s="106"/>
      <x:c r="E4" s="106"/>
      <x:c r="F4" s="104"/>
      <x:c r="G4" s="106"/>
      <x:c r="H4" s="106"/>
      <x:c r="I4" s="106"/>
      <x:c r="J4" s="106"/>
      <x:c r="K4" s="104"/>
      <x:c r="L4" s="106"/>
      <x:c r="M4" s="106"/>
      <x:c r="N4" s="106"/>
      <x:c r="O4" s="106"/>
      <x:c r="P4" s="106"/>
      <x:c r="Q4" s="104"/>
      <x:c r="R4" s="106"/>
      <x:c r="S4" s="106"/>
      <x:c r="T4" s="106"/>
      <x:c r="U4" s="106"/>
      <x:c r="V4" s="106"/>
      <x:c r="W4" s="106"/>
      <x:c r="X4" s="106"/>
      <x:c r="Y4" s="106"/>
      <x:c r="Z4" s="106"/>
      <x:c r="AA4" s="106"/>
      <x:c r="AB4" s="106"/>
      <x:c r="AC4" s="106"/>
      <x:c r="AD4" s="106"/>
      <x:c r="AE4" s="104"/>
    </x:row>
    <x:row r="5">
      <x:c r="A5" s="104"/>
      <x:c r="B5" s="104"/>
      <x:c r="C5" s="106"/>
      <x:c r="D5" s="106"/>
      <x:c r="E5" s="106"/>
      <x:c r="F5" s="104"/>
      <x:c r="G5" s="106"/>
      <x:c r="H5" s="106"/>
      <x:c r="I5" s="106"/>
      <x:c r="J5" s="106"/>
      <x:c r="K5" s="104"/>
      <x:c r="L5" s="106"/>
      <x:c r="M5" s="106"/>
      <x:c r="N5" s="106"/>
      <x:c r="O5" s="106"/>
      <x:c r="P5" s="106"/>
      <x:c r="Q5" s="104"/>
      <x:c r="R5" s="106"/>
      <x:c r="S5" s="106"/>
      <x:c r="T5" s="106"/>
      <x:c r="U5" s="106"/>
      <x:c r="V5" s="106"/>
      <x:c r="W5" s="106"/>
      <x:c r="X5" s="106"/>
      <x:c r="Y5" s="106"/>
      <x:c r="Z5" s="106"/>
      <x:c r="AA5" s="106"/>
      <x:c r="AB5" s="106"/>
      <x:c r="AC5" s="106"/>
      <x:c r="AD5" s="106"/>
      <x:c r="AE5" s="104"/>
    </x:row>
    <x:row r="6">
      <x:c r="A6" s="104"/>
      <x:c r="B6" s="104"/>
      <x:c r="C6" s="106"/>
      <x:c r="D6" s="106"/>
      <x:c r="E6" s="106"/>
      <x:c r="F6" s="104"/>
      <x:c r="G6" s="106"/>
      <x:c r="H6" s="106"/>
      <x:c r="I6" s="106"/>
      <x:c r="J6" s="106"/>
      <x:c r="K6" s="104"/>
      <x:c r="L6" s="106"/>
      <x:c r="M6" s="106"/>
      <x:c r="N6" s="106"/>
      <x:c r="O6" s="106"/>
      <x:c r="P6" s="106"/>
      <x:c r="Q6" s="104"/>
      <x:c r="R6" s="106"/>
      <x:c r="S6" s="106"/>
      <x:c r="T6" s="106"/>
      <x:c r="U6" s="106"/>
      <x:c r="V6" s="106"/>
      <x:c r="W6" s="106"/>
      <x:c r="X6" s="106"/>
      <x:c r="Y6" s="106"/>
      <x:c r="Z6" s="106"/>
      <x:c r="AA6" s="106"/>
      <x:c r="AB6" s="106"/>
      <x:c r="AC6" s="106"/>
      <x:c r="AD6" s="106"/>
      <x:c r="AE6" s="104"/>
    </x:row>
    <x:row r="7">
      <x:c r="A7" s="104"/>
      <x:c r="B7" s="104"/>
      <x:c r="C7" s="106"/>
      <x:c r="D7" s="106"/>
      <x:c r="E7" s="106"/>
      <x:c r="F7" s="104"/>
      <x:c r="G7" s="106"/>
      <x:c r="H7" s="106"/>
      <x:c r="I7" s="106"/>
      <x:c r="J7" s="106"/>
      <x:c r="K7" s="104"/>
      <x:c r="L7" s="106"/>
      <x:c r="M7" s="106"/>
      <x:c r="N7" s="106"/>
      <x:c r="O7" s="106"/>
      <x:c r="P7" s="106"/>
      <x:c r="Q7" s="104"/>
      <x:c r="R7" s="106"/>
      <x:c r="S7" s="106"/>
      <x:c r="T7" s="106"/>
      <x:c r="U7" s="106"/>
      <x:c r="V7" s="106"/>
      <x:c r="W7" s="106"/>
      <x:c r="X7" s="106"/>
      <x:c r="Y7" s="106"/>
      <x:c r="Z7" s="106"/>
      <x:c r="AA7" s="106"/>
      <x:c r="AB7" s="106"/>
      <x:c r="AC7" s="106"/>
      <x:c r="AD7" s="106"/>
      <x:c r="AE7" s="104"/>
    </x:row>
    <x:row r="8">
      <x:c r="A8" s="104"/>
      <x:c r="B8" s="104"/>
      <x:c r="C8" s="106"/>
      <x:c r="D8" s="106"/>
      <x:c r="E8" s="106"/>
      <x:c r="F8" s="104"/>
      <x:c r="G8" s="106"/>
      <x:c r="H8" s="106"/>
      <x:c r="I8" s="106"/>
      <x:c r="J8" s="106"/>
      <x:c r="K8" s="104"/>
      <x:c r="L8" s="106"/>
      <x:c r="M8" s="106"/>
      <x:c r="N8" s="106"/>
      <x:c r="O8" s="106"/>
      <x:c r="P8" s="106"/>
      <x:c r="Q8" s="104"/>
      <x:c r="R8" s="106"/>
      <x:c r="S8" s="106"/>
      <x:c r="T8" s="106"/>
      <x:c r="U8" s="106"/>
      <x:c r="V8" s="106"/>
      <x:c r="W8" s="106"/>
      <x:c r="X8" s="106"/>
      <x:c r="Y8" s="106"/>
      <x:c r="Z8" s="106"/>
      <x:c r="AA8" s="106"/>
      <x:c r="AB8" s="106"/>
      <x:c r="AC8" s="106"/>
      <x:c r="AD8" s="106"/>
      <x:c r="AE8" s="104"/>
    </x:row>
    <x:row r="9">
      <x:c r="A9" s="104"/>
      <x:c r="B9" s="104"/>
      <x:c r="C9" s="106"/>
      <x:c r="D9" s="106"/>
      <x:c r="E9" s="106"/>
      <x:c r="F9" s="104"/>
      <x:c r="G9" s="106"/>
      <x:c r="H9" s="106"/>
      <x:c r="I9" s="106"/>
      <x:c r="J9" s="106"/>
      <x:c r="K9" s="104"/>
      <x:c r="L9" s="106"/>
      <x:c r="M9" s="106"/>
      <x:c r="N9" s="106"/>
      <x:c r="O9" s="106"/>
      <x:c r="P9" s="106"/>
      <x:c r="Q9" s="104"/>
      <x:c r="R9" s="106"/>
      <x:c r="S9" s="106"/>
      <x:c r="T9" s="106"/>
      <x:c r="U9" s="106"/>
      <x:c r="V9" s="106"/>
      <x:c r="W9" s="106"/>
      <x:c r="X9" s="106"/>
      <x:c r="Y9" s="106"/>
      <x:c r="Z9" s="106"/>
      <x:c r="AA9" s="106"/>
      <x:c r="AB9" s="106"/>
      <x:c r="AC9" s="106"/>
      <x:c r="AD9" s="106"/>
      <x:c r="AE9" s="104"/>
    </x:row>
    <x:row r="10">
      <x:c r="A10" s="104"/>
      <x:c r="B10" s="104"/>
      <x:c r="C10" s="106"/>
      <x:c r="D10" s="106"/>
      <x:c r="E10" s="106"/>
      <x:c r="F10" s="104"/>
      <x:c r="G10" s="106"/>
      <x:c r="H10" s="106"/>
      <x:c r="I10" s="106"/>
      <x:c r="J10" s="106"/>
      <x:c r="K10" s="104"/>
      <x:c r="L10" s="106"/>
      <x:c r="M10" s="106"/>
      <x:c r="N10" s="106"/>
      <x:c r="O10" s="106"/>
      <x:c r="P10" s="106"/>
      <x:c r="Q10" s="104"/>
      <x:c r="R10" s="106"/>
      <x:c r="S10" s="106"/>
      <x:c r="T10" s="106"/>
      <x:c r="U10" s="106"/>
      <x:c r="V10" s="106"/>
      <x:c r="W10" s="106"/>
      <x:c r="X10" s="106"/>
      <x:c r="Y10" s="106"/>
      <x:c r="Z10" s="106"/>
      <x:c r="AA10" s="106"/>
      <x:c r="AB10" s="106"/>
      <x:c r="AC10" s="106"/>
      <x:c r="AD10" s="106"/>
      <x:c r="AE10" s="104"/>
    </x:row>
    <x:row r="11">
      <x:c r="A11" s="104"/>
      <x:c r="B11" s="104"/>
      <x:c r="C11" s="106"/>
      <x:c r="D11" s="106"/>
      <x:c r="E11" s="106"/>
      <x:c r="F11" s="104"/>
      <x:c r="G11" s="106"/>
      <x:c r="H11" s="106"/>
      <x:c r="I11" s="106"/>
      <x:c r="J11" s="106"/>
      <x:c r="K11" s="104"/>
      <x:c r="L11" s="106"/>
      <x:c r="M11" s="106"/>
      <x:c r="N11" s="106"/>
      <x:c r="O11" s="106"/>
      <x:c r="P11" s="106"/>
      <x:c r="Q11" s="104"/>
      <x:c r="R11" s="106"/>
      <x:c r="S11" s="106"/>
      <x:c r="T11" s="106"/>
      <x:c r="U11" s="106"/>
      <x:c r="V11" s="106"/>
      <x:c r="W11" s="106"/>
      <x:c r="X11" s="106"/>
      <x:c r="Y11" s="106"/>
      <x:c r="Z11" s="106"/>
      <x:c r="AA11" s="106"/>
      <x:c r="AB11" s="106"/>
      <x:c r="AC11" s="106"/>
      <x:c r="AD11" s="106"/>
      <x:c r="AE11" s="104"/>
    </x:row>
    <x:row r="12">
      <x:c r="A12" s="104"/>
      <x:c r="B12" s="104"/>
      <x:c r="C12" s="106"/>
      <x:c r="D12" s="106"/>
      <x:c r="E12" s="106"/>
      <x:c r="F12" s="104"/>
      <x:c r="G12" s="106"/>
      <x:c r="H12" s="106"/>
      <x:c r="I12" s="106"/>
      <x:c r="J12" s="106"/>
      <x:c r="K12" s="104"/>
      <x:c r="L12" s="106"/>
      <x:c r="M12" s="106"/>
      <x:c r="N12" s="106"/>
      <x:c r="O12" s="106"/>
      <x:c r="P12" s="106"/>
      <x:c r="Q12" s="104"/>
      <x:c r="R12" s="106"/>
      <x:c r="S12" s="106"/>
      <x:c r="T12" s="106"/>
      <x:c r="U12" s="106"/>
      <x:c r="V12" s="106"/>
      <x:c r="W12" s="106"/>
      <x:c r="X12" s="106"/>
      <x:c r="Y12" s="106"/>
      <x:c r="Z12" s="106"/>
      <x:c r="AA12" s="106"/>
      <x:c r="AB12" s="106"/>
      <x:c r="AC12" s="106"/>
      <x:c r="AD12" s="106"/>
      <x:c r="AE12" s="104"/>
    </x:row>
    <x:row r="13">
      <x:c r="A13" s="104"/>
      <x:c r="B13" s="104"/>
      <x:c r="C13" s="106"/>
      <x:c r="D13" s="106"/>
      <x:c r="E13" s="106"/>
      <x:c r="F13" s="104"/>
      <x:c r="G13" s="106"/>
      <x:c r="H13" s="106"/>
      <x:c r="I13" s="106"/>
      <x:c r="J13" s="106"/>
      <x:c r="K13" s="104"/>
      <x:c r="L13" s="106"/>
      <x:c r="M13" s="106"/>
      <x:c r="N13" s="106"/>
      <x:c r="O13" s="106"/>
      <x:c r="P13" s="106"/>
      <x:c r="Q13" s="104"/>
      <x:c r="R13" s="106"/>
      <x:c r="S13" s="106"/>
      <x:c r="T13" s="106"/>
      <x:c r="U13" s="106"/>
      <x:c r="V13" s="106"/>
      <x:c r="W13" s="106"/>
      <x:c r="X13" s="106"/>
      <x:c r="Y13" s="106"/>
      <x:c r="Z13" s="106"/>
      <x:c r="AA13" s="106"/>
      <x:c r="AB13" s="106"/>
      <x:c r="AC13" s="106"/>
      <x:c r="AD13" s="106"/>
      <x:c r="AE13" s="104"/>
    </x:row>
    <x:row r="14">
      <x:c r="A14" s="104"/>
      <x:c r="B14" s="104"/>
      <x:c r="C14" s="106"/>
      <x:c r="D14" s="106"/>
      <x:c r="E14" s="106"/>
      <x:c r="F14" s="104"/>
      <x:c r="G14" s="106"/>
      <x:c r="H14" s="106"/>
      <x:c r="I14" s="106"/>
      <x:c r="J14" s="106"/>
      <x:c r="K14" s="104"/>
      <x:c r="L14" s="106"/>
      <x:c r="M14" s="106"/>
      <x:c r="N14" s="106"/>
      <x:c r="O14" s="106"/>
      <x:c r="P14" s="106"/>
      <x:c r="Q14" s="104"/>
      <x:c r="R14" s="106"/>
      <x:c r="S14" s="106"/>
      <x:c r="T14" s="106"/>
      <x:c r="U14" s="106"/>
      <x:c r="V14" s="106"/>
      <x:c r="W14" s="106"/>
      <x:c r="X14" s="106"/>
      <x:c r="Y14" s="106"/>
      <x:c r="Z14" s="106"/>
      <x:c r="AA14" s="106"/>
      <x:c r="AB14" s="106"/>
      <x:c r="AC14" s="106"/>
      <x:c r="AD14" s="106"/>
      <x:c r="AE14" s="104"/>
    </x:row>
    <x:row r="15">
      <x:c r="A15" s="104"/>
      <x:c r="B15" s="104"/>
      <x:c r="C15" s="106"/>
      <x:c r="D15" s="106"/>
      <x:c r="E15" s="106"/>
      <x:c r="F15" s="104"/>
      <x:c r="G15" s="106"/>
      <x:c r="H15" s="106"/>
      <x:c r="I15" s="106"/>
      <x:c r="J15" s="106"/>
      <x:c r="K15" s="104"/>
      <x:c r="L15" s="106"/>
      <x:c r="M15" s="106"/>
      <x:c r="N15" s="106"/>
      <x:c r="O15" s="106"/>
      <x:c r="P15" s="106"/>
      <x:c r="Q15" s="104"/>
      <x:c r="R15" s="106"/>
      <x:c r="S15" s="106"/>
      <x:c r="T15" s="106"/>
      <x:c r="U15" s="106"/>
      <x:c r="V15" s="106"/>
      <x:c r="W15" s="106"/>
      <x:c r="X15" s="106"/>
      <x:c r="Y15" s="106"/>
      <x:c r="Z15" s="106"/>
      <x:c r="AA15" s="106"/>
      <x:c r="AB15" s="106"/>
      <x:c r="AC15" s="106"/>
      <x:c r="AD15" s="106"/>
      <x:c r="AE15" s="104"/>
    </x:row>
    <x:row r="16">
      <x:c r="A16" s="104"/>
      <x:c r="B16" s="104"/>
      <x:c r="C16" s="106"/>
      <x:c r="D16" s="106"/>
      <x:c r="E16" s="106"/>
      <x:c r="F16" s="104"/>
      <x:c r="G16" s="106"/>
      <x:c r="H16" s="106"/>
      <x:c r="I16" s="106"/>
      <x:c r="J16" s="106"/>
      <x:c r="K16" s="104"/>
      <x:c r="L16" s="106"/>
      <x:c r="M16" s="106"/>
      <x:c r="N16" s="106"/>
      <x:c r="O16" s="106"/>
      <x:c r="P16" s="106"/>
      <x:c r="Q16" s="104"/>
      <x:c r="R16" s="106"/>
      <x:c r="S16" s="106"/>
      <x:c r="T16" s="106"/>
      <x:c r="U16" s="106"/>
      <x:c r="V16" s="106"/>
      <x:c r="W16" s="106"/>
      <x:c r="X16" s="106"/>
      <x:c r="Y16" s="106"/>
      <x:c r="Z16" s="106"/>
      <x:c r="AA16" s="106"/>
      <x:c r="AB16" s="106"/>
      <x:c r="AC16" s="106"/>
      <x:c r="AD16" s="106"/>
      <x:c r="AE16" s="104"/>
    </x:row>
    <x:row r="17">
      <x:c r="A17" s="104"/>
      <x:c r="B17" s="104"/>
      <x:c r="C17" s="106"/>
      <x:c r="D17" s="106"/>
      <x:c r="E17" s="106"/>
      <x:c r="F17" s="104"/>
      <x:c r="G17" s="106"/>
      <x:c r="H17" s="106"/>
      <x:c r="I17" s="106"/>
      <x:c r="J17" s="106"/>
      <x:c r="K17" s="104"/>
      <x:c r="L17" s="106"/>
      <x:c r="M17" s="106"/>
      <x:c r="N17" s="106"/>
      <x:c r="O17" s="106"/>
      <x:c r="P17" s="106"/>
      <x:c r="Q17" s="104"/>
      <x:c r="R17" s="106"/>
      <x:c r="S17" s="106"/>
      <x:c r="T17" s="106"/>
      <x:c r="U17" s="106"/>
      <x:c r="V17" s="106"/>
      <x:c r="W17" s="106"/>
      <x:c r="X17" s="106"/>
      <x:c r="Y17" s="106"/>
      <x:c r="Z17" s="106"/>
      <x:c r="AA17" s="106"/>
      <x:c r="AB17" s="106"/>
      <x:c r="AC17" s="106"/>
      <x:c r="AD17" s="106"/>
      <x:c r="AE17" s="104"/>
    </x:row>
    <x:row r="18">
      <x:c r="A18" s="104"/>
      <x:c r="B18" s="104"/>
      <x:c r="C18" s="106"/>
      <x:c r="D18" s="106"/>
      <x:c r="E18" s="106"/>
      <x:c r="F18" s="104"/>
      <x:c r="G18" s="106"/>
      <x:c r="H18" s="106"/>
      <x:c r="I18" s="106"/>
      <x:c r="J18" s="106"/>
      <x:c r="K18" s="104"/>
      <x:c r="L18" s="106"/>
      <x:c r="M18" s="106"/>
      <x:c r="N18" s="106"/>
      <x:c r="O18" s="106"/>
      <x:c r="P18" s="106"/>
      <x:c r="Q18" s="104"/>
      <x:c r="R18" s="106"/>
      <x:c r="S18" s="106"/>
      <x:c r="T18" s="106"/>
      <x:c r="U18" s="106"/>
      <x:c r="V18" s="106"/>
      <x:c r="W18" s="106"/>
      <x:c r="X18" s="106"/>
      <x:c r="Y18" s="106"/>
      <x:c r="Z18" s="106"/>
      <x:c r="AA18" s="106"/>
      <x:c r="AB18" s="106"/>
      <x:c r="AC18" s="106"/>
      <x:c r="AD18" s="106"/>
      <x:c r="AE18" s="104"/>
    </x:row>
    <x:row r="19">
      <x:c r="A19" s="104"/>
      <x:c r="B19" s="104"/>
      <x:c r="C19" s="106"/>
      <x:c r="D19" s="106"/>
      <x:c r="E19" s="106"/>
      <x:c r="F19" s="104"/>
      <x:c r="G19" s="106"/>
      <x:c r="H19" s="106"/>
      <x:c r="I19" s="106"/>
      <x:c r="J19" s="106"/>
      <x:c r="K19" s="104"/>
      <x:c r="L19" s="106"/>
      <x:c r="M19" s="106"/>
      <x:c r="N19" s="106"/>
      <x:c r="O19" s="106"/>
      <x:c r="P19" s="106"/>
      <x:c r="Q19" s="104"/>
      <x:c r="R19" s="106"/>
      <x:c r="S19" s="106"/>
      <x:c r="T19" s="106"/>
      <x:c r="U19" s="106"/>
      <x:c r="V19" s="106"/>
      <x:c r="W19" s="106"/>
      <x:c r="X19" s="106"/>
      <x:c r="Y19" s="106"/>
      <x:c r="Z19" s="106"/>
      <x:c r="AA19" s="106"/>
      <x:c r="AB19" s="106"/>
      <x:c r="AC19" s="106"/>
      <x:c r="AD19" s="106"/>
      <x:c r="AE19" s="104"/>
    </x:row>
    <x:row r="20">
      <x:c r="A20" s="104"/>
      <x:c r="B20" s="104"/>
      <x:c r="C20" s="106"/>
      <x:c r="D20" s="106"/>
      <x:c r="E20" s="106"/>
      <x:c r="F20" s="104"/>
      <x:c r="G20" s="106"/>
      <x:c r="H20" s="106"/>
      <x:c r="I20" s="106"/>
      <x:c r="J20" s="106"/>
      <x:c r="K20" s="104"/>
      <x:c r="L20" s="106"/>
      <x:c r="M20" s="106"/>
      <x:c r="N20" s="106"/>
      <x:c r="O20" s="106"/>
      <x:c r="P20" s="106"/>
      <x:c r="Q20" s="104"/>
      <x:c r="R20" s="106"/>
      <x:c r="S20" s="106"/>
      <x:c r="T20" s="106"/>
      <x:c r="U20" s="106"/>
      <x:c r="V20" s="106"/>
      <x:c r="W20" s="106"/>
      <x:c r="X20" s="106"/>
      <x:c r="Y20" s="106"/>
      <x:c r="Z20" s="106"/>
      <x:c r="AA20" s="106"/>
      <x:c r="AB20" s="106"/>
      <x:c r="AC20" s="106"/>
      <x:c r="AD20" s="106"/>
      <x:c r="AE20" s="104"/>
    </x:row>
    <x:row r="21">
      <x:c r="A21" s="104"/>
      <x:c r="B21" s="104"/>
      <x:c r="C21" s="106"/>
      <x:c r="D21" s="106"/>
      <x:c r="E21" s="106"/>
      <x:c r="F21" s="104"/>
      <x:c r="G21" s="106"/>
      <x:c r="H21" s="106"/>
      <x:c r="I21" s="106"/>
      <x:c r="J21" s="106"/>
      <x:c r="K21" s="104"/>
      <x:c r="L21" s="106"/>
      <x:c r="M21" s="106"/>
      <x:c r="N21" s="106"/>
      <x:c r="O21" s="106"/>
      <x:c r="P21" s="106"/>
      <x:c r="Q21" s="104"/>
      <x:c r="R21" s="106"/>
      <x:c r="S21" s="106"/>
      <x:c r="T21" s="106"/>
      <x:c r="U21" s="106"/>
      <x:c r="V21" s="106"/>
      <x:c r="W21" s="106"/>
      <x:c r="X21" s="106"/>
      <x:c r="Y21" s="106"/>
      <x:c r="Z21" s="106"/>
      <x:c r="AA21" s="106"/>
      <x:c r="AB21" s="106"/>
      <x:c r="AC21" s="106"/>
      <x:c r="AD21" s="106"/>
      <x:c r="AE21" s="104"/>
    </x:row>
    <x:row r="22">
      <x:c r="A22" s="104"/>
      <x:c r="B22" s="104"/>
      <x:c r="C22" s="106"/>
      <x:c r="D22" s="106"/>
      <x:c r="E22" s="106"/>
      <x:c r="F22" s="104"/>
      <x:c r="G22" s="106"/>
      <x:c r="H22" s="106"/>
      <x:c r="I22" s="106"/>
      <x:c r="J22" s="106"/>
      <x:c r="K22" s="104"/>
      <x:c r="L22" s="106"/>
      <x:c r="M22" s="106"/>
      <x:c r="N22" s="106"/>
      <x:c r="O22" s="106"/>
      <x:c r="P22" s="106"/>
      <x:c r="Q22" s="104"/>
      <x:c r="R22" s="106"/>
      <x:c r="S22" s="106"/>
      <x:c r="T22" s="106"/>
      <x:c r="U22" s="106"/>
      <x:c r="V22" s="106"/>
      <x:c r="W22" s="106"/>
      <x:c r="X22" s="106"/>
      <x:c r="Y22" s="106"/>
      <x:c r="Z22" s="106"/>
      <x:c r="AA22" s="106"/>
      <x:c r="AB22" s="106"/>
      <x:c r="AC22" s="106"/>
      <x:c r="AD22" s="106"/>
      <x:c r="AE22" s="104"/>
    </x:row>
    <x:row r="23">
      <x:c r="A23" s="104"/>
      <x:c r="B23" s="104"/>
      <x:c r="C23" s="106"/>
      <x:c r="D23" s="106"/>
      <x:c r="E23" s="106"/>
      <x:c r="F23" s="104"/>
      <x:c r="G23" s="106"/>
      <x:c r="H23" s="106"/>
      <x:c r="I23" s="106"/>
      <x:c r="J23" s="106"/>
      <x:c r="K23" s="104"/>
      <x:c r="L23" s="106"/>
      <x:c r="M23" s="106"/>
      <x:c r="N23" s="106"/>
      <x:c r="O23" s="106"/>
      <x:c r="P23" s="106"/>
      <x:c r="Q23" s="104"/>
      <x:c r="R23" s="106"/>
      <x:c r="S23" s="106"/>
      <x:c r="T23" s="106"/>
      <x:c r="U23" s="106"/>
      <x:c r="V23" s="106"/>
      <x:c r="W23" s="106"/>
      <x:c r="X23" s="106"/>
      <x:c r="Y23" s="106"/>
      <x:c r="Z23" s="106"/>
      <x:c r="AA23" s="106"/>
      <x:c r="AB23" s="106"/>
      <x:c r="AC23" s="106"/>
      <x:c r="AD23" s="106"/>
      <x:c r="AE23" s="104"/>
    </x:row>
    <x:row r="24">
      <x:c r="A24" s="104"/>
      <x:c r="B24" s="104"/>
      <x:c r="C24" s="106"/>
      <x:c r="D24" s="106"/>
      <x:c r="E24" s="106"/>
      <x:c r="F24" s="104"/>
      <x:c r="G24" s="106"/>
      <x:c r="H24" s="106"/>
      <x:c r="I24" s="106"/>
      <x:c r="J24" s="106"/>
      <x:c r="K24" s="104"/>
      <x:c r="L24" s="106"/>
      <x:c r="M24" s="106"/>
      <x:c r="N24" s="106"/>
      <x:c r="O24" s="106"/>
      <x:c r="P24" s="106"/>
      <x:c r="Q24" s="104"/>
      <x:c r="R24" s="106"/>
      <x:c r="S24" s="106"/>
      <x:c r="T24" s="106"/>
      <x:c r="U24" s="106"/>
      <x:c r="V24" s="106"/>
      <x:c r="W24" s="106"/>
      <x:c r="X24" s="106"/>
      <x:c r="Y24" s="106"/>
      <x:c r="Z24" s="106"/>
      <x:c r="AA24" s="106"/>
      <x:c r="AB24" s="106"/>
      <x:c r="AC24" s="106"/>
      <x:c r="AD24" s="106"/>
      <x:c r="AE24" s="104"/>
    </x:row>
    <x:row r="25">
      <x:c r="A25" s="104"/>
      <x:c r="B25" s="104"/>
      <x:c r="C25" s="106"/>
      <x:c r="D25" s="106"/>
      <x:c r="E25" s="106"/>
      <x:c r="F25" s="104"/>
      <x:c r="G25" s="106"/>
      <x:c r="H25" s="106"/>
      <x:c r="I25" s="106"/>
      <x:c r="J25" s="106"/>
      <x:c r="K25" s="104"/>
      <x:c r="L25" s="106"/>
      <x:c r="M25" s="106"/>
      <x:c r="N25" s="106"/>
      <x:c r="O25" s="106"/>
      <x:c r="P25" s="106"/>
      <x:c r="Q25" s="104"/>
      <x:c r="R25" s="106"/>
      <x:c r="S25" s="106"/>
      <x:c r="T25" s="106"/>
      <x:c r="U25" s="106"/>
      <x:c r="V25" s="106"/>
      <x:c r="W25" s="106"/>
      <x:c r="X25" s="106"/>
      <x:c r="Y25" s="106"/>
      <x:c r="Z25" s="106"/>
      <x:c r="AA25" s="106"/>
      <x:c r="AB25" s="106"/>
      <x:c r="AC25" s="106"/>
      <x:c r="AD25" s="106"/>
      <x:c r="AE25" s="104"/>
    </x:row>
    <x:row r="26">
      <x:c r="A26" s="104"/>
      <x:c r="B26" s="104"/>
      <x:c r="C26" s="106"/>
      <x:c r="D26" s="106"/>
      <x:c r="E26" s="106"/>
      <x:c r="F26" s="104"/>
      <x:c r="G26" s="106"/>
      <x:c r="H26" s="106"/>
      <x:c r="I26" s="106"/>
      <x:c r="J26" s="106"/>
      <x:c r="K26" s="104"/>
      <x:c r="L26" s="106"/>
      <x:c r="M26" s="106"/>
      <x:c r="N26" s="106"/>
      <x:c r="O26" s="106"/>
      <x:c r="P26" s="106"/>
      <x:c r="Q26" s="104"/>
      <x:c r="R26" s="106"/>
      <x:c r="S26" s="106"/>
      <x:c r="T26" s="106"/>
      <x:c r="U26" s="106"/>
      <x:c r="V26" s="106"/>
      <x:c r="W26" s="106"/>
      <x:c r="X26" s="106"/>
      <x:c r="Y26" s="106"/>
      <x:c r="Z26" s="106"/>
      <x:c r="AA26" s="106"/>
      <x:c r="AB26" s="106"/>
      <x:c r="AC26" s="106"/>
      <x:c r="AD26" s="106"/>
      <x:c r="AE26" s="104"/>
    </x:row>
    <x:row r="27">
      <x:c r="A27" s="104"/>
      <x:c r="B27" s="104"/>
      <x:c r="C27" s="106"/>
      <x:c r="D27" s="106"/>
      <x:c r="E27" s="106"/>
      <x:c r="F27" s="104"/>
      <x:c r="G27" s="106"/>
      <x:c r="H27" s="106"/>
      <x:c r="I27" s="106"/>
      <x:c r="J27" s="106"/>
      <x:c r="K27" s="104"/>
      <x:c r="L27" s="106"/>
      <x:c r="M27" s="106"/>
      <x:c r="N27" s="106"/>
      <x:c r="O27" s="106"/>
      <x:c r="P27" s="106"/>
      <x:c r="Q27" s="104"/>
      <x:c r="R27" s="106"/>
      <x:c r="S27" s="106"/>
      <x:c r="T27" s="106"/>
      <x:c r="U27" s="106"/>
      <x:c r="V27" s="106"/>
      <x:c r="W27" s="106"/>
      <x:c r="X27" s="106"/>
      <x:c r="Y27" s="106"/>
      <x:c r="Z27" s="106"/>
      <x:c r="AA27" s="106"/>
      <x:c r="AB27" s="106"/>
      <x:c r="AC27" s="106"/>
      <x:c r="AD27" s="106"/>
      <x:c r="AE27" s="104"/>
    </x:row>
    <x:row r="28">
      <x:c r="A28" s="104"/>
      <x:c r="B28" s="104"/>
      <x:c r="C28" s="106"/>
      <x:c r="D28" s="106"/>
      <x:c r="E28" s="106"/>
      <x:c r="F28" s="104"/>
      <x:c r="G28" s="106"/>
      <x:c r="H28" s="106"/>
      <x:c r="I28" s="106"/>
      <x:c r="J28" s="106"/>
      <x:c r="K28" s="104"/>
      <x:c r="L28" s="106"/>
      <x:c r="M28" s="106"/>
      <x:c r="N28" s="106"/>
      <x:c r="O28" s="106"/>
      <x:c r="P28" s="106"/>
      <x:c r="Q28" s="104"/>
      <x:c r="R28" s="106"/>
      <x:c r="S28" s="106"/>
      <x:c r="T28" s="106"/>
      <x:c r="U28" s="106"/>
      <x:c r="V28" s="106"/>
      <x:c r="W28" s="106"/>
      <x:c r="X28" s="106"/>
      <x:c r="Y28" s="106"/>
      <x:c r="Z28" s="106"/>
      <x:c r="AA28" s="106"/>
      <x:c r="AB28" s="106"/>
      <x:c r="AC28" s="106"/>
      <x:c r="AD28" s="106"/>
      <x:c r="AE28" s="104"/>
    </x:row>
    <x:row r="29">
      <x:c r="A29" s="104"/>
      <x:c r="B29" s="104"/>
      <x:c r="C29" s="106"/>
      <x:c r="D29" s="106"/>
      <x:c r="E29" s="106"/>
      <x:c r="F29" s="104"/>
      <x:c r="G29" s="106"/>
      <x:c r="H29" s="106"/>
      <x:c r="I29" s="106"/>
      <x:c r="J29" s="106"/>
      <x:c r="K29" s="104"/>
      <x:c r="L29" s="106"/>
      <x:c r="M29" s="106"/>
      <x:c r="N29" s="106"/>
      <x:c r="O29" s="106"/>
      <x:c r="P29" s="106"/>
      <x:c r="Q29" s="104"/>
      <x:c r="R29" s="106"/>
      <x:c r="S29" s="106"/>
      <x:c r="T29" s="106"/>
      <x:c r="U29" s="106"/>
      <x:c r="V29" s="106"/>
      <x:c r="W29" s="106"/>
      <x:c r="X29" s="106"/>
      <x:c r="Y29" s="106"/>
      <x:c r="Z29" s="106"/>
      <x:c r="AA29" s="106"/>
      <x:c r="AB29" s="106"/>
      <x:c r="AC29" s="106"/>
      <x:c r="AD29" s="106"/>
      <x:c r="AE29" s="104"/>
    </x:row>
    <x:row r="30">
      <x:c r="A30" s="104"/>
      <x:c r="B30" s="104"/>
      <x:c r="C30" s="106"/>
      <x:c r="D30" s="106"/>
      <x:c r="E30" s="106"/>
      <x:c r="F30" s="104"/>
      <x:c r="G30" s="106"/>
      <x:c r="H30" s="106"/>
      <x:c r="I30" s="106"/>
      <x:c r="J30" s="106"/>
      <x:c r="K30" s="104"/>
      <x:c r="L30" s="106"/>
      <x:c r="M30" s="106"/>
      <x:c r="N30" s="106"/>
      <x:c r="O30" s="106"/>
      <x:c r="P30" s="106"/>
      <x:c r="Q30" s="104"/>
      <x:c r="R30" s="106"/>
      <x:c r="S30" s="106"/>
      <x:c r="T30" s="106"/>
      <x:c r="U30" s="106"/>
      <x:c r="V30" s="106"/>
      <x:c r="W30" s="106"/>
      <x:c r="X30" s="106"/>
      <x:c r="Y30" s="106"/>
      <x:c r="Z30" s="106"/>
      <x:c r="AA30" s="106"/>
      <x:c r="AB30" s="106"/>
      <x:c r="AC30" s="106"/>
      <x:c r="AD30" s="106"/>
      <x:c r="AE30" s="104"/>
    </x:row>
    <x:row r="31">
      <x:c r="A31" s="104"/>
      <x:c r="B31" s="104"/>
      <x:c r="C31" s="106"/>
      <x:c r="D31" s="106"/>
      <x:c r="E31" s="106"/>
      <x:c r="F31" s="104"/>
      <x:c r="G31" s="106"/>
      <x:c r="H31" s="106"/>
      <x:c r="I31" s="106"/>
      <x:c r="J31" s="106"/>
      <x:c r="K31" s="104"/>
      <x:c r="L31" s="106"/>
      <x:c r="M31" s="106"/>
      <x:c r="N31" s="106"/>
      <x:c r="O31" s="106"/>
      <x:c r="P31" s="106"/>
      <x:c r="Q31" s="104"/>
      <x:c r="R31" s="106"/>
      <x:c r="S31" s="106"/>
      <x:c r="T31" s="106"/>
      <x:c r="U31" s="106"/>
      <x:c r="V31" s="106"/>
      <x:c r="W31" s="106"/>
      <x:c r="X31" s="106"/>
      <x:c r="Y31" s="106"/>
      <x:c r="Z31" s="106"/>
      <x:c r="AA31" s="106"/>
      <x:c r="AB31" s="106"/>
      <x:c r="AC31" s="106"/>
      <x:c r="AD31" s="106"/>
      <x:c r="AE31" s="104"/>
    </x:row>
    <x:row r="32">
      <x:c r="A32" s="104"/>
      <x:c r="B32" s="104"/>
      <x:c r="C32" s="106"/>
      <x:c r="D32" s="106"/>
      <x:c r="E32" s="106"/>
      <x:c r="F32" s="104"/>
      <x:c r="G32" s="106"/>
      <x:c r="H32" s="106"/>
      <x:c r="I32" s="106"/>
      <x:c r="J32" s="106"/>
      <x:c r="K32" s="104"/>
      <x:c r="L32" s="106"/>
      <x:c r="M32" s="106"/>
      <x:c r="N32" s="106"/>
      <x:c r="O32" s="106"/>
      <x:c r="P32" s="106"/>
      <x:c r="Q32" s="104"/>
      <x:c r="R32" s="106"/>
      <x:c r="S32" s="106"/>
      <x:c r="T32" s="106"/>
      <x:c r="U32" s="106"/>
      <x:c r="V32" s="106"/>
      <x:c r="W32" s="106"/>
      <x:c r="X32" s="106"/>
      <x:c r="Y32" s="106"/>
      <x:c r="Z32" s="106"/>
      <x:c r="AA32" s="106"/>
      <x:c r="AB32" s="106"/>
      <x:c r="AC32" s="106"/>
      <x:c r="AD32" s="106"/>
      <x:c r="AE32" s="104"/>
    </x:row>
    <x:row r="33">
      <x:c r="A33" s="104"/>
      <x:c r="B33" s="104"/>
      <x:c r="C33" s="106"/>
      <x:c r="D33" s="106"/>
      <x:c r="E33" s="106"/>
      <x:c r="F33" s="104"/>
      <x:c r="G33" s="106"/>
      <x:c r="H33" s="106"/>
      <x:c r="I33" s="106"/>
      <x:c r="J33" s="106"/>
      <x:c r="K33" s="104"/>
      <x:c r="L33" s="106"/>
      <x:c r="M33" s="106"/>
      <x:c r="N33" s="106"/>
      <x:c r="O33" s="106"/>
      <x:c r="P33" s="106"/>
      <x:c r="Q33" s="104"/>
      <x:c r="R33" s="106"/>
      <x:c r="S33" s="106"/>
      <x:c r="T33" s="106"/>
      <x:c r="U33" s="106"/>
      <x:c r="V33" s="106"/>
      <x:c r="W33" s="106"/>
      <x:c r="X33" s="106"/>
      <x:c r="Y33" s="106"/>
      <x:c r="Z33" s="106"/>
      <x:c r="AA33" s="106"/>
      <x:c r="AB33" s="106"/>
      <x:c r="AC33" s="106"/>
      <x:c r="AD33" s="106"/>
      <x:c r="AE33" s="104"/>
    </x:row>
    <x:row r="34">
      <x:c r="A34" s="104"/>
      <x:c r="B34" s="104"/>
      <x:c r="C34" s="106"/>
      <x:c r="D34" s="106"/>
      <x:c r="E34" s="106"/>
      <x:c r="F34" s="104"/>
      <x:c r="G34" s="106"/>
      <x:c r="H34" s="106"/>
      <x:c r="I34" s="106"/>
      <x:c r="J34" s="106"/>
      <x:c r="K34" s="104"/>
      <x:c r="L34" s="106"/>
      <x:c r="M34" s="106"/>
      <x:c r="N34" s="106"/>
      <x:c r="O34" s="106"/>
      <x:c r="P34" s="106"/>
      <x:c r="Q34" s="104"/>
      <x:c r="R34" s="106"/>
      <x:c r="S34" s="106"/>
      <x:c r="T34" s="106"/>
      <x:c r="U34" s="106"/>
      <x:c r="V34" s="106"/>
      <x:c r="W34" s="106"/>
      <x:c r="X34" s="106"/>
      <x:c r="Y34" s="106"/>
      <x:c r="Z34" s="106"/>
      <x:c r="AA34" s="106"/>
      <x:c r="AB34" s="106"/>
      <x:c r="AC34" s="106"/>
      <x:c r="AD34" s="106"/>
      <x:c r="AE34" s="104"/>
    </x:row>
    <x:row r="35">
      <x:c r="A35" s="104"/>
      <x:c r="B35" s="104"/>
      <x:c r="C35" s="106"/>
      <x:c r="D35" s="106"/>
      <x:c r="E35" s="106"/>
      <x:c r="F35" s="104"/>
      <x:c r="G35" s="106"/>
      <x:c r="H35" s="106"/>
      <x:c r="I35" s="106"/>
      <x:c r="J35" s="106"/>
      <x:c r="K35" s="104"/>
      <x:c r="L35" s="106"/>
      <x:c r="M35" s="106"/>
      <x:c r="N35" s="106"/>
      <x:c r="O35" s="106"/>
      <x:c r="P35" s="106"/>
      <x:c r="Q35" s="104"/>
      <x:c r="R35" s="106"/>
      <x:c r="S35" s="106"/>
      <x:c r="T35" s="106"/>
      <x:c r="U35" s="106"/>
      <x:c r="V35" s="106"/>
      <x:c r="W35" s="106"/>
      <x:c r="X35" s="106"/>
      <x:c r="Y35" s="106"/>
      <x:c r="Z35" s="106"/>
      <x:c r="AA35" s="106"/>
      <x:c r="AB35" s="106"/>
      <x:c r="AC35" s="106"/>
      <x:c r="AD35" s="106"/>
      <x:c r="AE35" s="104"/>
    </x:row>
    <x:row r="36">
      <x:c r="A36" s="104"/>
      <x:c r="B36" s="104"/>
      <x:c r="C36" s="106"/>
      <x:c r="D36" s="106"/>
      <x:c r="E36" s="106"/>
      <x:c r="F36" s="104"/>
      <x:c r="G36" s="106"/>
      <x:c r="H36" s="106"/>
      <x:c r="I36" s="106"/>
      <x:c r="J36" s="106"/>
      <x:c r="K36" s="104"/>
      <x:c r="L36" s="106"/>
      <x:c r="M36" s="106"/>
      <x:c r="N36" s="106"/>
      <x:c r="O36" s="106"/>
      <x:c r="P36" s="106"/>
      <x:c r="Q36" s="104"/>
      <x:c r="R36" s="106"/>
      <x:c r="S36" s="106"/>
      <x:c r="T36" s="106"/>
      <x:c r="U36" s="106"/>
      <x:c r="V36" s="106"/>
      <x:c r="W36" s="106"/>
      <x:c r="X36" s="106"/>
      <x:c r="Y36" s="106"/>
      <x:c r="Z36" s="106"/>
      <x:c r="AA36" s="106"/>
      <x:c r="AB36" s="106"/>
      <x:c r="AC36" s="106"/>
      <x:c r="AD36" s="106"/>
      <x:c r="AE36" s="104"/>
    </x:row>
    <x:row r="37">
      <x:c r="A37" s="104"/>
      <x:c r="B37" s="104"/>
      <x:c r="C37" s="106"/>
      <x:c r="D37" s="106"/>
      <x:c r="E37" s="106"/>
      <x:c r="F37" s="104"/>
      <x:c r="G37" s="106"/>
      <x:c r="H37" s="106"/>
      <x:c r="I37" s="106"/>
      <x:c r="J37" s="106"/>
      <x:c r="K37" s="104"/>
      <x:c r="L37" s="106"/>
      <x:c r="M37" s="106"/>
      <x:c r="N37" s="106"/>
      <x:c r="O37" s="106"/>
      <x:c r="P37" s="106"/>
      <x:c r="Q37" s="104"/>
      <x:c r="R37" s="106"/>
      <x:c r="S37" s="106"/>
      <x:c r="T37" s="106"/>
      <x:c r="U37" s="106"/>
      <x:c r="V37" s="106"/>
      <x:c r="W37" s="106"/>
      <x:c r="X37" s="106"/>
      <x:c r="Y37" s="106"/>
      <x:c r="Z37" s="106"/>
      <x:c r="AA37" s="106"/>
      <x:c r="AB37" s="106"/>
      <x:c r="AC37" s="106"/>
      <x:c r="AD37" s="106"/>
      <x:c r="AE37" s="104"/>
    </x:row>
    <x:row r="38">
      <x:c r="A38" s="104"/>
      <x:c r="B38" s="104"/>
      <x:c r="C38" s="106"/>
      <x:c r="D38" s="106"/>
      <x:c r="E38" s="106"/>
      <x:c r="F38" s="104"/>
      <x:c r="G38" s="106"/>
      <x:c r="H38" s="106"/>
      <x:c r="I38" s="106"/>
      <x:c r="J38" s="106"/>
      <x:c r="K38" s="104"/>
      <x:c r="L38" s="106"/>
      <x:c r="M38" s="106"/>
      <x:c r="N38" s="106"/>
      <x:c r="O38" s="106"/>
      <x:c r="P38" s="106"/>
      <x:c r="Q38" s="104"/>
      <x:c r="R38" s="106"/>
      <x:c r="S38" s="106"/>
      <x:c r="T38" s="106"/>
      <x:c r="U38" s="106"/>
      <x:c r="V38" s="106"/>
      <x:c r="W38" s="106"/>
      <x:c r="X38" s="106"/>
      <x:c r="Y38" s="106"/>
      <x:c r="Z38" s="106"/>
      <x:c r="AA38" s="106"/>
      <x:c r="AB38" s="106"/>
      <x:c r="AC38" s="106"/>
      <x:c r="AD38" s="106"/>
      <x:c r="AE38" s="104"/>
    </x:row>
    <x:row r="39">
      <x:c r="A39" s="104"/>
      <x:c r="B39" s="104"/>
      <x:c r="C39" s="106"/>
      <x:c r="D39" s="106"/>
      <x:c r="E39" s="106"/>
      <x:c r="F39" s="104"/>
      <x:c r="G39" s="106"/>
      <x:c r="H39" s="106"/>
      <x:c r="I39" s="106"/>
      <x:c r="J39" s="106"/>
      <x:c r="K39" s="104"/>
      <x:c r="L39" s="106"/>
      <x:c r="M39" s="106"/>
      <x:c r="N39" s="106"/>
      <x:c r="O39" s="106"/>
      <x:c r="P39" s="106"/>
      <x:c r="Q39" s="104"/>
      <x:c r="R39" s="106"/>
      <x:c r="S39" s="106"/>
      <x:c r="T39" s="106"/>
      <x:c r="U39" s="106"/>
      <x:c r="V39" s="106"/>
      <x:c r="W39" s="106"/>
      <x:c r="X39" s="106"/>
      <x:c r="Y39" s="106"/>
      <x:c r="Z39" s="106"/>
      <x:c r="AA39" s="106"/>
      <x:c r="AB39" s="106"/>
      <x:c r="AC39" s="106"/>
      <x:c r="AD39" s="106"/>
      <x:c r="AE39" s="104"/>
    </x:row>
    <x:row r="40">
      <x:c r="A40" s="104"/>
      <x:c r="B40" s="104"/>
      <x:c r="C40" s="106"/>
      <x:c r="D40" s="106"/>
      <x:c r="E40" s="106"/>
      <x:c r="F40" s="104"/>
      <x:c r="G40" s="106"/>
      <x:c r="H40" s="106"/>
      <x:c r="I40" s="106"/>
      <x:c r="J40" s="106"/>
      <x:c r="K40" s="104"/>
      <x:c r="L40" s="106"/>
      <x:c r="M40" s="106"/>
      <x:c r="N40" s="106"/>
      <x:c r="O40" s="106"/>
      <x:c r="P40" s="106"/>
      <x:c r="Q40" s="104"/>
      <x:c r="R40" s="106"/>
      <x:c r="S40" s="106"/>
      <x:c r="T40" s="106"/>
      <x:c r="U40" s="106"/>
      <x:c r="V40" s="106"/>
      <x:c r="W40" s="106"/>
      <x:c r="X40" s="106"/>
      <x:c r="Y40" s="106"/>
      <x:c r="Z40" s="106"/>
      <x:c r="AA40" s="106"/>
      <x:c r="AB40" s="106"/>
      <x:c r="AC40" s="106"/>
      <x:c r="AD40" s="106"/>
      <x:c r="AE40" s="104"/>
    </x:row>
    <x:row r="41">
      <x:c r="A41" s="104"/>
      <x:c r="B41" s="104"/>
      <x:c r="C41" s="106"/>
      <x:c r="D41" s="106"/>
      <x:c r="E41" s="106"/>
      <x:c r="F41" s="104"/>
      <x:c r="G41" s="106"/>
      <x:c r="H41" s="106"/>
      <x:c r="I41" s="106"/>
      <x:c r="J41" s="106"/>
      <x:c r="K41" s="104"/>
      <x:c r="L41" s="106"/>
      <x:c r="M41" s="106"/>
      <x:c r="N41" s="106"/>
      <x:c r="O41" s="106"/>
      <x:c r="P41" s="106"/>
      <x:c r="Q41" s="104"/>
      <x:c r="R41" s="106"/>
      <x:c r="S41" s="106"/>
      <x:c r="T41" s="106"/>
      <x:c r="U41" s="106"/>
      <x:c r="V41" s="106"/>
      <x:c r="W41" s="106"/>
      <x:c r="X41" s="106"/>
      <x:c r="Y41" s="106"/>
      <x:c r="Z41" s="106"/>
      <x:c r="AA41" s="106"/>
      <x:c r="AB41" s="106"/>
      <x:c r="AC41" s="106"/>
      <x:c r="AD41" s="106"/>
      <x:c r="AE41" s="104"/>
    </x:row>
    <x:row r="42">
      <x:c r="A42" s="104"/>
      <x:c r="B42" s="104"/>
      <x:c r="C42" s="106"/>
      <x:c r="D42" s="106"/>
      <x:c r="E42" s="106"/>
      <x:c r="F42" s="104"/>
      <x:c r="G42" s="106"/>
      <x:c r="H42" s="106"/>
      <x:c r="I42" s="106"/>
      <x:c r="J42" s="106"/>
      <x:c r="K42" s="104"/>
      <x:c r="L42" s="106"/>
      <x:c r="M42" s="106"/>
      <x:c r="N42" s="106"/>
      <x:c r="O42" s="106"/>
      <x:c r="P42" s="106"/>
      <x:c r="Q42" s="104"/>
      <x:c r="R42" s="106"/>
      <x:c r="S42" s="106"/>
      <x:c r="T42" s="106"/>
      <x:c r="U42" s="106"/>
      <x:c r="V42" s="106"/>
      <x:c r="W42" s="106"/>
      <x:c r="X42" s="106"/>
      <x:c r="Y42" s="106"/>
      <x:c r="Z42" s="106"/>
      <x:c r="AA42" s="106"/>
      <x:c r="AB42" s="106"/>
      <x:c r="AC42" s="106"/>
      <x:c r="AD42" s="106"/>
      <x:c r="AE42" s="104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  <x:c r="AA43" s="101"/>
      <x:c r="AB43" s="101"/>
      <x:c r="AC43" s="101"/>
      <x:c r="AD43" s="101"/>
      <x:c r="AE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  <x:c r="AA44" s="101"/>
      <x:c r="AB44" s="101"/>
      <x:c r="AC44" s="101"/>
      <x:c r="AD44" s="101"/>
      <x:c r="AE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  <x:c r="AA45" s="101"/>
      <x:c r="AB45" s="101"/>
      <x:c r="AC45" s="101"/>
      <x:c r="AD45" s="101"/>
      <x:c r="AE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  <x:c r="AA46" s="101"/>
      <x:c r="AB46" s="101"/>
      <x:c r="AC46" s="101"/>
      <x:c r="AD46" s="101"/>
      <x:c r="AE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  <x:c r="AA47" s="101"/>
      <x:c r="AB47" s="101"/>
      <x:c r="AC47" s="101"/>
      <x:c r="AD47" s="101"/>
      <x:c r="AE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  <x:c r="AA48" s="101"/>
      <x:c r="AB48" s="101"/>
      <x:c r="AC48" s="101"/>
      <x:c r="AD48" s="101"/>
      <x:c r="AE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  <x:c r="AA49" s="101"/>
      <x:c r="AB49" s="101"/>
      <x:c r="AC49" s="101"/>
      <x:c r="AD49" s="101"/>
      <x:c r="AE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  <x:c r="AA50" s="101"/>
      <x:c r="AB50" s="101"/>
      <x:c r="AC50" s="101"/>
      <x:c r="AD50" s="101"/>
      <x:c r="AE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  <x:c r="AA51" s="101"/>
      <x:c r="AB51" s="101"/>
      <x:c r="AC51" s="101"/>
      <x:c r="AD51" s="101"/>
      <x:c r="AE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  <x:c r="AA52" s="101"/>
      <x:c r="AB52" s="101"/>
      <x:c r="AC52" s="101"/>
      <x:c r="AD52" s="101"/>
      <x:c r="AE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  <x:c r="AA53" s="101"/>
      <x:c r="AB53" s="101"/>
      <x:c r="AC53" s="101"/>
      <x:c r="AD53" s="101"/>
      <x:c r="AE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  <x:c r="AA54" s="101"/>
      <x:c r="AB54" s="101"/>
      <x:c r="AC54" s="101"/>
      <x:c r="AD54" s="101"/>
      <x:c r="AE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  <x:c r="AA55" s="101"/>
      <x:c r="AB55" s="101"/>
      <x:c r="AC55" s="101"/>
      <x:c r="AD55" s="101"/>
      <x:c r="AE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  <x:c r="AA56" s="101"/>
      <x:c r="AB56" s="101"/>
      <x:c r="AC56" s="101"/>
      <x:c r="AD56" s="101"/>
      <x:c r="AE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  <x:c r="AA57" s="101"/>
      <x:c r="AB57" s="101"/>
      <x:c r="AC57" s="101"/>
      <x:c r="AD57" s="101"/>
      <x:c r="AE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  <x:c r="AA58" s="101"/>
      <x:c r="AB58" s="101"/>
      <x:c r="AC58" s="101"/>
      <x:c r="AD58" s="101"/>
      <x:c r="AE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  <x:c r="AA59" s="101"/>
      <x:c r="AB59" s="101"/>
      <x:c r="AC59" s="101"/>
      <x:c r="AD59" s="101"/>
      <x:c r="AE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  <x:c r="AA60" s="101"/>
      <x:c r="AB60" s="101"/>
      <x:c r="AC60" s="101"/>
      <x:c r="AD60" s="101"/>
      <x:c r="AE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  <x:c r="AA61" s="101"/>
      <x:c r="AB61" s="101"/>
      <x:c r="AC61" s="101"/>
      <x:c r="AD61" s="101"/>
      <x:c r="AE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  <x:c r="AA62" s="101"/>
      <x:c r="AB62" s="101"/>
      <x:c r="AC62" s="101"/>
      <x:c r="AD62" s="101"/>
      <x:c r="AE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  <x:c r="AA63" s="101"/>
      <x:c r="AB63" s="101"/>
      <x:c r="AC63" s="101"/>
      <x:c r="AD63" s="101"/>
      <x:c r="AE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  <x:c r="AA64" s="101"/>
      <x:c r="AB64" s="101"/>
      <x:c r="AC64" s="101"/>
      <x:c r="AD64" s="101"/>
      <x:c r="AE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  <x:c r="AA65" s="101"/>
      <x:c r="AB65" s="101"/>
      <x:c r="AC65" s="101"/>
      <x:c r="AD65" s="101"/>
      <x:c r="AE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  <x:c r="AA66" s="101"/>
      <x:c r="AB66" s="101"/>
      <x:c r="AC66" s="101"/>
      <x:c r="AD66" s="101"/>
      <x:c r="AE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  <x:c r="AA67" s="101"/>
      <x:c r="AB67" s="101"/>
      <x:c r="AC67" s="101"/>
      <x:c r="AD67" s="101"/>
      <x:c r="AE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  <x:c r="AA68" s="101"/>
      <x:c r="AB68" s="101"/>
      <x:c r="AC68" s="101"/>
      <x:c r="AD68" s="101"/>
      <x:c r="AE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  <x:c r="AA69" s="101"/>
      <x:c r="AB69" s="101"/>
      <x:c r="AC69" s="101"/>
      <x:c r="AD69" s="101"/>
      <x:c r="AE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  <x:c r="AA70" s="101"/>
      <x:c r="AB70" s="101"/>
      <x:c r="AC70" s="101"/>
      <x:c r="AD70" s="101"/>
      <x:c r="AE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  <x:c r="AA71" s="101"/>
      <x:c r="AB71" s="101"/>
      <x:c r="AC71" s="101"/>
      <x:c r="AD71" s="101"/>
      <x:c r="AE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  <x:c r="AA72" s="101"/>
      <x:c r="AB72" s="101"/>
      <x:c r="AC72" s="101"/>
      <x:c r="AD72" s="101"/>
      <x:c r="AE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  <x:c r="AA73" s="101"/>
      <x:c r="AB73" s="101"/>
      <x:c r="AC73" s="101"/>
      <x:c r="AD73" s="101"/>
      <x:c r="AE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  <x:c r="AA74" s="101"/>
      <x:c r="AB74" s="101"/>
      <x:c r="AC74" s="101"/>
      <x:c r="AD74" s="101"/>
      <x:c r="AE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  <x:c r="AA75" s="101"/>
      <x:c r="AB75" s="101"/>
      <x:c r="AC75" s="101"/>
      <x:c r="AD75" s="101"/>
      <x:c r="AE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  <x:c r="AA76" s="101"/>
      <x:c r="AB76" s="101"/>
      <x:c r="AC76" s="101"/>
      <x:c r="AD76" s="101"/>
      <x:c r="AE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  <x:c r="AA77" s="101"/>
      <x:c r="AB77" s="101"/>
      <x:c r="AC77" s="101"/>
      <x:c r="AD77" s="101"/>
      <x:c r="AE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  <x:c r="AA78" s="101"/>
      <x:c r="AB78" s="101"/>
      <x:c r="AC78" s="101"/>
      <x:c r="AD78" s="101"/>
      <x:c r="AE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  <x:c r="AA79" s="101"/>
      <x:c r="AB79" s="101"/>
      <x:c r="AC79" s="101"/>
      <x:c r="AD79" s="101"/>
      <x:c r="AE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  <x:c r="AA80" s="101"/>
      <x:c r="AB80" s="101"/>
      <x:c r="AC80" s="101"/>
      <x:c r="AD80" s="101"/>
      <x:c r="AE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  <x:c r="AA81" s="101"/>
      <x:c r="AB81" s="101"/>
      <x:c r="AC81" s="101"/>
      <x:c r="AD81" s="101"/>
      <x:c r="AE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  <x:c r="AA82" s="101"/>
      <x:c r="AB82" s="101"/>
      <x:c r="AC82" s="101"/>
      <x:c r="AD82" s="101"/>
      <x:c r="AE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  <x:c r="AA83" s="101"/>
      <x:c r="AB83" s="101"/>
      <x:c r="AC83" s="101"/>
      <x:c r="AD83" s="101"/>
      <x:c r="AE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  <x:c r="AA84" s="101"/>
      <x:c r="AB84" s="101"/>
      <x:c r="AC84" s="101"/>
      <x:c r="AD84" s="101"/>
      <x:c r="AE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  <x:c r="AA85" s="101"/>
      <x:c r="AB85" s="101"/>
      <x:c r="AC85" s="101"/>
      <x:c r="AD85" s="101"/>
      <x:c r="AE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  <x:c r="AA86" s="101"/>
      <x:c r="AB86" s="101"/>
      <x:c r="AC86" s="101"/>
      <x:c r="AD86" s="101"/>
      <x:c r="AE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  <x:c r="AA87" s="101"/>
      <x:c r="AB87" s="101"/>
      <x:c r="AC87" s="101"/>
      <x:c r="AD87" s="101"/>
      <x:c r="AE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  <x:c r="AA88" s="101"/>
      <x:c r="AB88" s="101"/>
      <x:c r="AC88" s="101"/>
      <x:c r="AD88" s="101"/>
      <x:c r="AE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  <x:c r="AA89" s="101"/>
      <x:c r="AB89" s="101"/>
      <x:c r="AC89" s="101"/>
      <x:c r="AD89" s="101"/>
      <x:c r="AE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  <x:c r="AA90" s="101"/>
      <x:c r="AB90" s="101"/>
      <x:c r="AC90" s="101"/>
      <x:c r="AD90" s="101"/>
      <x:c r="AE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  <x:c r="AA91" s="101"/>
      <x:c r="AB91" s="101"/>
      <x:c r="AC91" s="101"/>
      <x:c r="AD91" s="101"/>
      <x:c r="AE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  <x:c r="AA92" s="101"/>
      <x:c r="AB92" s="101"/>
      <x:c r="AC92" s="101"/>
      <x:c r="AD92" s="101"/>
      <x:c r="AE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  <x:c r="AA93" s="101"/>
      <x:c r="AB93" s="101"/>
      <x:c r="AC93" s="101"/>
      <x:c r="AD93" s="101"/>
      <x:c r="AE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  <x:c r="AA94" s="101"/>
      <x:c r="AB94" s="101"/>
      <x:c r="AC94" s="101"/>
      <x:c r="AD94" s="101"/>
      <x:c r="AE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  <x:c r="AA95" s="101"/>
      <x:c r="AB95" s="101"/>
      <x:c r="AC95" s="101"/>
      <x:c r="AD95" s="101"/>
      <x:c r="AE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  <x:c r="AA96" s="101"/>
      <x:c r="AB96" s="101"/>
      <x:c r="AC96" s="101"/>
      <x:c r="AD96" s="101"/>
      <x:c r="AE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  <x:c r="AA97" s="101"/>
      <x:c r="AB97" s="101"/>
      <x:c r="AC97" s="101"/>
      <x:c r="AD97" s="101"/>
      <x:c r="AE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  <x:c r="AA98" s="101"/>
      <x:c r="AB98" s="101"/>
      <x:c r="AC98" s="101"/>
      <x:c r="AD98" s="101"/>
      <x:c r="AE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  <x:c r="AA99" s="101"/>
      <x:c r="AB99" s="101"/>
      <x:c r="AC99" s="101"/>
      <x:c r="AD99" s="101"/>
      <x:c r="AE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  <x:c r="AA100" s="101"/>
      <x:c r="AB100" s="101"/>
      <x:c r="AC100" s="101"/>
      <x:c r="AD100" s="101"/>
      <x:c r="AE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  <x:c r="AA101" s="101"/>
      <x:c r="AB101" s="101"/>
      <x:c r="AC101" s="101"/>
      <x:c r="AD101" s="101"/>
      <x:c r="AE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  <x:c r="AA102" s="101"/>
      <x:c r="AB102" s="101"/>
      <x:c r="AC102" s="101"/>
      <x:c r="AD102" s="101"/>
      <x:c r="AE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  <x:c r="AA103" s="101"/>
      <x:c r="AB103" s="101"/>
      <x:c r="AC103" s="101"/>
      <x:c r="AD103" s="101"/>
      <x:c r="AE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  <x:c r="AA104" s="101"/>
      <x:c r="AB104" s="101"/>
      <x:c r="AC104" s="101"/>
      <x:c r="AD104" s="101"/>
      <x:c r="AE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  <x:c r="AA105" s="101"/>
      <x:c r="AB105" s="101"/>
      <x:c r="AC105" s="101"/>
      <x:c r="AD105" s="101"/>
      <x:c r="AE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  <x:c r="AA106" s="101"/>
      <x:c r="AB106" s="101"/>
      <x:c r="AC106" s="101"/>
      <x:c r="AD106" s="101"/>
      <x:c r="AE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  <x:c r="AA107" s="101"/>
      <x:c r="AB107" s="101"/>
      <x:c r="AC107" s="101"/>
      <x:c r="AD107" s="101"/>
      <x:c r="AE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  <x:c r="AA108" s="101"/>
      <x:c r="AB108" s="101"/>
      <x:c r="AC108" s="101"/>
      <x:c r="AD108" s="101"/>
      <x:c r="AE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  <x:c r="AA109" s="101"/>
      <x:c r="AB109" s="101"/>
      <x:c r="AC109" s="101"/>
      <x:c r="AD109" s="101"/>
      <x:c r="AE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  <x:c r="AA110" s="101"/>
      <x:c r="AB110" s="101"/>
      <x:c r="AC110" s="101"/>
      <x:c r="AD110" s="101"/>
      <x:c r="AE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  <x:c r="AA111" s="101"/>
      <x:c r="AB111" s="101"/>
      <x:c r="AC111" s="101"/>
      <x:c r="AD111" s="101"/>
      <x:c r="AE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  <x:c r="AA112" s="101"/>
      <x:c r="AB112" s="101"/>
      <x:c r="AC112" s="101"/>
      <x:c r="AD112" s="101"/>
      <x:c r="AE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  <x:c r="AA113" s="101"/>
      <x:c r="AB113" s="101"/>
      <x:c r="AC113" s="101"/>
      <x:c r="AD113" s="101"/>
      <x:c r="AE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  <x:c r="AA114" s="101"/>
      <x:c r="AB114" s="101"/>
      <x:c r="AC114" s="101"/>
      <x:c r="AD114" s="101"/>
      <x:c r="AE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  <x:c r="AA115" s="101"/>
      <x:c r="AB115" s="101"/>
      <x:c r="AC115" s="101"/>
      <x:c r="AD115" s="101"/>
      <x:c r="AE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  <x:c r="AA116" s="101"/>
      <x:c r="AB116" s="101"/>
      <x:c r="AC116" s="101"/>
      <x:c r="AD116" s="101"/>
      <x:c r="AE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  <x:c r="AA117" s="101"/>
      <x:c r="AB117" s="101"/>
      <x:c r="AC117" s="101"/>
      <x:c r="AD117" s="101"/>
      <x:c r="AE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  <x:c r="AA118" s="101"/>
      <x:c r="AB118" s="101"/>
      <x:c r="AC118" s="101"/>
      <x:c r="AD118" s="101"/>
      <x:c r="AE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  <x:c r="AA119" s="101"/>
      <x:c r="AB119" s="101"/>
      <x:c r="AC119" s="101"/>
      <x:c r="AD119" s="101"/>
      <x:c r="AE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  <x:c r="AA120" s="101"/>
      <x:c r="AB120" s="101"/>
      <x:c r="AC120" s="101"/>
      <x:c r="AD120" s="101"/>
      <x:c r="AE120" s="101"/>
    </x:row>
    <x:row r="121">
      <x:c r="A121" s="101"/>
      <x:c r="B121" s="101"/>
      <x:c r="C121" s="101"/>
      <x:c r="D121" s="101"/>
      <x:c r="E121" s="101"/>
      <x:c r="F121" s="101"/>
      <x:c r="G121" s="101"/>
      <x:c r="H121" s="101"/>
      <x:c r="I121" s="101"/>
      <x:c r="J121" s="101"/>
      <x:c r="K121" s="101"/>
      <x:c r="L121" s="101"/>
      <x:c r="M121" s="101"/>
      <x:c r="N121" s="101"/>
      <x:c r="O121" s="101"/>
      <x:c r="P121" s="101"/>
      <x:c r="Q121" s="101"/>
      <x:c r="R121" s="101"/>
      <x:c r="S121" s="101"/>
      <x:c r="T121" s="101"/>
      <x:c r="U121" s="101"/>
      <x:c r="V121" s="101"/>
      <x:c r="W121" s="101"/>
      <x:c r="X121" s="101"/>
      <x:c r="Y121" s="101"/>
      <x:c r="Z121" s="101"/>
      <x:c r="AA121" s="101"/>
      <x:c r="AB121" s="101"/>
      <x:c r="AC121" s="101"/>
      <x:c r="AD121" s="101"/>
      <x:c r="AE121" s="101"/>
    </x:row>
    <x:row r="122">
      <x:c r="A122" s="101"/>
      <x:c r="B122" s="101"/>
      <x:c r="C122" s="101"/>
      <x:c r="D122" s="101"/>
      <x:c r="E122" s="101"/>
      <x:c r="F122" s="101"/>
      <x:c r="G122" s="101"/>
      <x:c r="H122" s="101"/>
      <x:c r="I122" s="101"/>
      <x:c r="J122" s="101"/>
      <x:c r="K122" s="101"/>
      <x:c r="L122" s="101"/>
      <x:c r="M122" s="101"/>
      <x:c r="N122" s="101"/>
      <x:c r="O122" s="101"/>
      <x:c r="P122" s="101"/>
      <x:c r="Q122" s="101"/>
      <x:c r="R122" s="101"/>
      <x:c r="S122" s="101"/>
      <x:c r="T122" s="101"/>
      <x:c r="U122" s="101"/>
      <x:c r="V122" s="101"/>
      <x:c r="W122" s="101"/>
      <x:c r="X122" s="101"/>
      <x:c r="Y122" s="101"/>
      <x:c r="Z122" s="101"/>
      <x:c r="AA122" s="101"/>
      <x:c r="AB122" s="101"/>
      <x:c r="AC122" s="101"/>
      <x:c r="AD122" s="101"/>
      <x:c r="AE122" s="101"/>
    </x:row>
    <x:row r="123">
      <x:c r="A123" s="101"/>
      <x:c r="B123" s="101"/>
      <x:c r="C123" s="101"/>
      <x:c r="D123" s="101"/>
      <x:c r="E123" s="101"/>
      <x:c r="F123" s="101"/>
      <x:c r="G123" s="101"/>
      <x:c r="H123" s="101"/>
      <x:c r="I123" s="101"/>
      <x:c r="J123" s="101"/>
      <x:c r="K123" s="101"/>
      <x:c r="L123" s="101"/>
      <x:c r="M123" s="101"/>
      <x:c r="N123" s="101"/>
      <x:c r="O123" s="101"/>
      <x:c r="P123" s="101"/>
      <x:c r="Q123" s="101"/>
      <x:c r="R123" s="101"/>
      <x:c r="S123" s="101"/>
      <x:c r="T123" s="101"/>
      <x:c r="U123" s="101"/>
      <x:c r="V123" s="101"/>
      <x:c r="W123" s="101"/>
      <x:c r="X123" s="101"/>
      <x:c r="Y123" s="101"/>
      <x:c r="Z123" s="101"/>
      <x:c r="AA123" s="101"/>
      <x:c r="AB123" s="101"/>
      <x:c r="AC123" s="101"/>
      <x:c r="AD123" s="101"/>
      <x:c r="AE123" s="101"/>
    </x:row>
    <x:row r="124">
      <x:c r="A124" s="101"/>
      <x:c r="B124" s="101"/>
      <x:c r="C124" s="101"/>
      <x:c r="D124" s="101"/>
      <x:c r="E124" s="101"/>
      <x:c r="F124" s="101"/>
      <x:c r="G124" s="101"/>
      <x:c r="H124" s="101"/>
      <x:c r="I124" s="101"/>
      <x:c r="J124" s="101"/>
      <x:c r="K124" s="101"/>
      <x:c r="L124" s="101"/>
      <x:c r="M124" s="101"/>
      <x:c r="N124" s="101"/>
      <x:c r="O124" s="101"/>
      <x:c r="P124" s="101"/>
      <x:c r="Q124" s="101"/>
      <x:c r="R124" s="101"/>
      <x:c r="S124" s="101"/>
      <x:c r="T124" s="101"/>
      <x:c r="U124" s="101"/>
      <x:c r="V124" s="101"/>
      <x:c r="W124" s="101"/>
      <x:c r="X124" s="101"/>
      <x:c r="Y124" s="101"/>
      <x:c r="Z124" s="101"/>
      <x:c r="AA124" s="101"/>
      <x:c r="AB124" s="101"/>
      <x:c r="AC124" s="101"/>
      <x:c r="AD124" s="101"/>
      <x:c r="AE124" s="101"/>
    </x:row>
    <x:row r="125">
      <x:c r="A125" s="101"/>
      <x:c r="B125" s="101"/>
      <x:c r="C125" s="101"/>
      <x:c r="D125" s="101"/>
      <x:c r="E125" s="101"/>
      <x:c r="F125" s="101"/>
      <x:c r="G125" s="101"/>
      <x:c r="H125" s="101"/>
      <x:c r="I125" s="101"/>
      <x:c r="J125" s="101"/>
      <x:c r="K125" s="101"/>
      <x:c r="L125" s="101"/>
      <x:c r="M125" s="101"/>
      <x:c r="N125" s="101"/>
      <x:c r="O125" s="101"/>
      <x:c r="P125" s="101"/>
      <x:c r="Q125" s="101"/>
      <x:c r="R125" s="101"/>
      <x:c r="S125" s="101"/>
      <x:c r="T125" s="101"/>
      <x:c r="U125" s="101"/>
      <x:c r="V125" s="101"/>
      <x:c r="W125" s="101"/>
      <x:c r="X125" s="101"/>
      <x:c r="Y125" s="101"/>
      <x:c r="Z125" s="101"/>
      <x:c r="AA125" s="101"/>
      <x:c r="AB125" s="101"/>
      <x:c r="AC125" s="101"/>
      <x:c r="AD125" s="101"/>
      <x:c r="AE125" s="101"/>
    </x:row>
    <x:row r="126">
      <x:c r="A126" s="101"/>
      <x:c r="B126" s="101"/>
      <x:c r="C126" s="101"/>
      <x:c r="D126" s="101"/>
      <x:c r="E126" s="101"/>
      <x:c r="F126" s="101"/>
      <x:c r="G126" s="101"/>
      <x:c r="H126" s="101"/>
      <x:c r="I126" s="101"/>
      <x:c r="J126" s="101"/>
      <x:c r="K126" s="101"/>
      <x:c r="L126" s="101"/>
      <x:c r="M126" s="101"/>
      <x:c r="N126" s="101"/>
      <x:c r="O126" s="101"/>
      <x:c r="P126" s="101"/>
      <x:c r="Q126" s="101"/>
      <x:c r="R126" s="101"/>
      <x:c r="S126" s="101"/>
      <x:c r="T126" s="101"/>
      <x:c r="U126" s="101"/>
      <x:c r="V126" s="101"/>
      <x:c r="W126" s="101"/>
      <x:c r="X126" s="101"/>
      <x:c r="Y126" s="101"/>
      <x:c r="Z126" s="101"/>
      <x:c r="AA126" s="101"/>
      <x:c r="AB126" s="101"/>
      <x:c r="AC126" s="101"/>
      <x:c r="AD126" s="101"/>
      <x:c r="AE126" s="101"/>
    </x:row>
    <x:row r="127">
      <x:c r="A127" s="101"/>
      <x:c r="B127" s="101"/>
      <x:c r="C127" s="101"/>
      <x:c r="D127" s="101"/>
      <x:c r="E127" s="101"/>
      <x:c r="F127" s="101"/>
      <x:c r="G127" s="101"/>
      <x:c r="H127" s="101"/>
      <x:c r="I127" s="101"/>
      <x:c r="J127" s="101"/>
      <x:c r="K127" s="101"/>
      <x:c r="L127" s="101"/>
      <x:c r="M127" s="101"/>
      <x:c r="N127" s="101"/>
      <x:c r="O127" s="101"/>
      <x:c r="P127" s="101"/>
      <x:c r="Q127" s="101"/>
      <x:c r="R127" s="101"/>
      <x:c r="S127" s="101"/>
      <x:c r="T127" s="101"/>
      <x:c r="U127" s="101"/>
      <x:c r="V127" s="101"/>
      <x:c r="W127" s="101"/>
      <x:c r="X127" s="101"/>
      <x:c r="Y127" s="101"/>
      <x:c r="Z127" s="101"/>
      <x:c r="AA127" s="101"/>
      <x:c r="AB127" s="101"/>
      <x:c r="AC127" s="101"/>
      <x:c r="AD127" s="101"/>
      <x:c r="AE127" s="101"/>
    </x:row>
    <x:row r="128">
      <x:c r="A128" s="101"/>
      <x:c r="B128" s="101"/>
      <x:c r="C128" s="101"/>
      <x:c r="D128" s="101"/>
      <x:c r="E128" s="101"/>
      <x:c r="F128" s="101"/>
      <x:c r="G128" s="101"/>
      <x:c r="H128" s="101"/>
      <x:c r="I128" s="101"/>
      <x:c r="J128" s="101"/>
      <x:c r="K128" s="101"/>
      <x:c r="L128" s="101"/>
      <x:c r="M128" s="101"/>
      <x:c r="N128" s="101"/>
      <x:c r="O128" s="101"/>
      <x:c r="P128" s="101"/>
      <x:c r="Q128" s="101"/>
      <x:c r="R128" s="101"/>
      <x:c r="S128" s="101"/>
      <x:c r="T128" s="101"/>
      <x:c r="U128" s="101"/>
      <x:c r="V128" s="101"/>
      <x:c r="W128" s="101"/>
      <x:c r="X128" s="101"/>
      <x:c r="Y128" s="101"/>
      <x:c r="Z128" s="101"/>
      <x:c r="AA128" s="101"/>
      <x:c r="AB128" s="101"/>
      <x:c r="AC128" s="101"/>
      <x:c r="AD128" s="101"/>
      <x:c r="AE128" s="101"/>
    </x:row>
    <x:row r="129">
      <x:c r="A129" s="101"/>
      <x:c r="B129" s="101"/>
      <x:c r="C129" s="101"/>
      <x:c r="D129" s="101"/>
      <x:c r="E129" s="101"/>
      <x:c r="F129" s="101"/>
      <x:c r="G129" s="101"/>
      <x:c r="H129" s="101"/>
      <x:c r="I129" s="101"/>
      <x:c r="J129" s="101"/>
      <x:c r="K129" s="101"/>
      <x:c r="L129" s="101"/>
      <x:c r="M129" s="101"/>
      <x:c r="N129" s="101"/>
      <x:c r="O129" s="101"/>
      <x:c r="P129" s="101"/>
      <x:c r="Q129" s="101"/>
      <x:c r="R129" s="101"/>
      <x:c r="S129" s="101"/>
      <x:c r="T129" s="101"/>
      <x:c r="U129" s="101"/>
      <x:c r="V129" s="101"/>
      <x:c r="W129" s="101"/>
      <x:c r="X129" s="101"/>
      <x:c r="Y129" s="101"/>
      <x:c r="Z129" s="101"/>
      <x:c r="AA129" s="101"/>
      <x:c r="AB129" s="101"/>
      <x:c r="AC129" s="101"/>
      <x:c r="AD129" s="101"/>
      <x:c r="AE129" s="101"/>
    </x:row>
    <x:row r="130">
      <x:c r="A130" s="101"/>
      <x:c r="B130" s="101"/>
      <x:c r="C130" s="101"/>
      <x:c r="D130" s="101"/>
      <x:c r="E130" s="101"/>
      <x:c r="F130" s="101"/>
      <x:c r="G130" s="101"/>
      <x:c r="H130" s="101"/>
      <x:c r="I130" s="101"/>
      <x:c r="J130" s="101"/>
      <x:c r="K130" s="101"/>
      <x:c r="L130" s="101"/>
      <x:c r="M130" s="101"/>
      <x:c r="N130" s="101"/>
      <x:c r="O130" s="101"/>
      <x:c r="P130" s="101"/>
      <x:c r="Q130" s="101"/>
      <x:c r="R130" s="101"/>
      <x:c r="S130" s="101"/>
      <x:c r="T130" s="101"/>
      <x:c r="U130" s="101"/>
      <x:c r="V130" s="101"/>
      <x:c r="W130" s="101"/>
      <x:c r="X130" s="101"/>
      <x:c r="Y130" s="101"/>
      <x:c r="Z130" s="101"/>
      <x:c r="AA130" s="101"/>
      <x:c r="AB130" s="101"/>
      <x:c r="AC130" s="101"/>
      <x:c r="AD130" s="101"/>
      <x:c r="AE130" s="101"/>
    </x:row>
    <x:row r="131">
      <x:c r="A131" s="101"/>
      <x:c r="B131" s="101"/>
      <x:c r="C131" s="101"/>
      <x:c r="D131" s="101"/>
      <x:c r="E131" s="101"/>
      <x:c r="F131" s="101"/>
      <x:c r="G131" s="101"/>
      <x:c r="H131" s="101"/>
      <x:c r="I131" s="101"/>
      <x:c r="J131" s="101"/>
      <x:c r="K131" s="101"/>
      <x:c r="L131" s="101"/>
      <x:c r="M131" s="101"/>
      <x:c r="N131" s="101"/>
      <x:c r="O131" s="101"/>
      <x:c r="P131" s="101"/>
      <x:c r="Q131" s="101"/>
      <x:c r="R131" s="101"/>
      <x:c r="S131" s="101"/>
      <x:c r="T131" s="101"/>
      <x:c r="U131" s="101"/>
      <x:c r="V131" s="101"/>
      <x:c r="W131" s="101"/>
      <x:c r="X131" s="101"/>
      <x:c r="Y131" s="101"/>
      <x:c r="Z131" s="101"/>
      <x:c r="AA131" s="101"/>
      <x:c r="AB131" s="101"/>
      <x:c r="AC131" s="101"/>
      <x:c r="AD131" s="101"/>
      <x:c r="AE131" s="101"/>
    </x:row>
    <x:row r="132">
      <x:c r="A132" s="101"/>
      <x:c r="B132" s="101"/>
      <x:c r="C132" s="101"/>
      <x:c r="D132" s="101"/>
      <x:c r="E132" s="101"/>
      <x:c r="F132" s="101"/>
      <x:c r="G132" s="101"/>
      <x:c r="H132" s="101"/>
      <x:c r="I132" s="101"/>
      <x:c r="J132" s="101"/>
      <x:c r="K132" s="101"/>
      <x:c r="L132" s="101"/>
      <x:c r="M132" s="101"/>
      <x:c r="N132" s="101"/>
      <x:c r="O132" s="101"/>
      <x:c r="P132" s="101"/>
      <x:c r="Q132" s="101"/>
      <x:c r="R132" s="101"/>
      <x:c r="S132" s="101"/>
      <x:c r="T132" s="101"/>
      <x:c r="U132" s="101"/>
      <x:c r="V132" s="101"/>
      <x:c r="W132" s="101"/>
      <x:c r="X132" s="101"/>
      <x:c r="Y132" s="101"/>
      <x:c r="Z132" s="101"/>
      <x:c r="AA132" s="101"/>
      <x:c r="AB132" s="101"/>
      <x:c r="AC132" s="101"/>
      <x:c r="AD132" s="101"/>
      <x:c r="AE132" s="101"/>
    </x:row>
    <x:row r="133">
      <x:c r="A133" s="101"/>
      <x:c r="B133" s="101"/>
      <x:c r="C133" s="101"/>
      <x:c r="D133" s="101"/>
      <x:c r="E133" s="101"/>
      <x:c r="F133" s="101"/>
      <x:c r="G133" s="101"/>
      <x:c r="H133" s="101"/>
      <x:c r="I133" s="101"/>
      <x:c r="J133" s="101"/>
      <x:c r="K133" s="101"/>
      <x:c r="L133" s="101"/>
      <x:c r="M133" s="101"/>
      <x:c r="N133" s="101"/>
      <x:c r="O133" s="101"/>
      <x:c r="P133" s="101"/>
      <x:c r="Q133" s="101"/>
      <x:c r="R133" s="101"/>
      <x:c r="S133" s="101"/>
      <x:c r="T133" s="101"/>
      <x:c r="U133" s="101"/>
      <x:c r="V133" s="101"/>
      <x:c r="W133" s="101"/>
      <x:c r="X133" s="101"/>
      <x:c r="Y133" s="101"/>
      <x:c r="Z133" s="101"/>
      <x:c r="AA133" s="101"/>
      <x:c r="AB133" s="101"/>
      <x:c r="AC133" s="101"/>
      <x:c r="AD133" s="101"/>
      <x:c r="AE133" s="101"/>
    </x:row>
    <x:row r="134">
      <x:c r="A134" s="101"/>
      <x:c r="B134" s="101"/>
      <x:c r="C134" s="101"/>
      <x:c r="D134" s="101"/>
      <x:c r="E134" s="101"/>
      <x:c r="F134" s="101"/>
      <x:c r="G134" s="101"/>
      <x:c r="H134" s="101"/>
      <x:c r="I134" s="101"/>
      <x:c r="J134" s="101"/>
      <x:c r="K134" s="101"/>
      <x:c r="L134" s="101"/>
      <x:c r="M134" s="101"/>
      <x:c r="N134" s="101"/>
      <x:c r="O134" s="101"/>
      <x:c r="P134" s="101"/>
      <x:c r="Q134" s="101"/>
      <x:c r="R134" s="101"/>
      <x:c r="S134" s="101"/>
      <x:c r="T134" s="101"/>
      <x:c r="U134" s="101"/>
      <x:c r="V134" s="101"/>
      <x:c r="W134" s="101"/>
      <x:c r="X134" s="101"/>
      <x:c r="Y134" s="101"/>
      <x:c r="Z134" s="101"/>
      <x:c r="AA134" s="101"/>
      <x:c r="AB134" s="101"/>
      <x:c r="AC134" s="101"/>
      <x:c r="AD134" s="101"/>
      <x:c r="AE134" s="101"/>
    </x:row>
    <x:row r="135">
      <x:c r="A135" s="101"/>
      <x:c r="B135" s="101"/>
      <x:c r="C135" s="101"/>
      <x:c r="D135" s="101"/>
      <x:c r="E135" s="101"/>
      <x:c r="F135" s="101"/>
      <x:c r="G135" s="101"/>
      <x:c r="H135" s="101"/>
      <x:c r="I135" s="101"/>
      <x:c r="J135" s="101"/>
      <x:c r="K135" s="101"/>
      <x:c r="L135" s="101"/>
      <x:c r="M135" s="101"/>
      <x:c r="N135" s="101"/>
      <x:c r="O135" s="101"/>
      <x:c r="P135" s="101"/>
      <x:c r="Q135" s="101"/>
      <x:c r="R135" s="101"/>
      <x:c r="S135" s="101"/>
      <x:c r="T135" s="101"/>
      <x:c r="U135" s="101"/>
      <x:c r="V135" s="101"/>
      <x:c r="W135" s="101"/>
      <x:c r="X135" s="101"/>
      <x:c r="Y135" s="101"/>
      <x:c r="Z135" s="101"/>
      <x:c r="AA135" s="101"/>
      <x:c r="AB135" s="101"/>
      <x:c r="AC135" s="101"/>
      <x:c r="AD135" s="101"/>
      <x:c r="AE135" s="101"/>
    </x:row>
    <x:row r="136">
      <x:c r="A136" s="101"/>
      <x:c r="B136" s="101"/>
      <x:c r="C136" s="101"/>
      <x:c r="D136" s="101"/>
      <x:c r="E136" s="101"/>
      <x:c r="F136" s="101"/>
      <x:c r="G136" s="101"/>
      <x:c r="H136" s="101"/>
      <x:c r="I136" s="101"/>
      <x:c r="J136" s="101"/>
      <x:c r="K136" s="101"/>
      <x:c r="L136" s="101"/>
      <x:c r="M136" s="101"/>
      <x:c r="N136" s="101"/>
      <x:c r="O136" s="101"/>
      <x:c r="P136" s="101"/>
      <x:c r="Q136" s="101"/>
      <x:c r="R136" s="101"/>
      <x:c r="S136" s="101"/>
      <x:c r="T136" s="101"/>
      <x:c r="U136" s="101"/>
      <x:c r="V136" s="101"/>
      <x:c r="W136" s="101"/>
      <x:c r="X136" s="101"/>
      <x:c r="Y136" s="101"/>
      <x:c r="Z136" s="101"/>
      <x:c r="AA136" s="101"/>
      <x:c r="AB136" s="101"/>
      <x:c r="AC136" s="101"/>
      <x:c r="AD136" s="101"/>
      <x:c r="AE136" s="101"/>
    </x:row>
    <x:row r="137">
      <x:c r="A137" s="101"/>
      <x:c r="B137" s="101"/>
      <x:c r="C137" s="101"/>
      <x:c r="D137" s="101"/>
      <x:c r="E137" s="101"/>
      <x:c r="F137" s="101"/>
      <x:c r="G137" s="101"/>
      <x:c r="H137" s="101"/>
      <x:c r="I137" s="101"/>
      <x:c r="J137" s="101"/>
      <x:c r="K137" s="101"/>
      <x:c r="L137" s="101"/>
      <x:c r="M137" s="101"/>
      <x:c r="N137" s="101"/>
      <x:c r="O137" s="101"/>
      <x:c r="P137" s="101"/>
      <x:c r="Q137" s="101"/>
      <x:c r="R137" s="101"/>
      <x:c r="S137" s="101"/>
      <x:c r="T137" s="101"/>
      <x:c r="U137" s="101"/>
      <x:c r="V137" s="101"/>
      <x:c r="W137" s="101"/>
      <x:c r="X137" s="101"/>
      <x:c r="Y137" s="101"/>
      <x:c r="Z137" s="101"/>
      <x:c r="AA137" s="101"/>
      <x:c r="AB137" s="101"/>
      <x:c r="AC137" s="101"/>
      <x:c r="AD137" s="101"/>
      <x:c r="AE137" s="101"/>
    </x:row>
    <x:row r="138">
      <x:c r="A138" s="101"/>
      <x:c r="B138" s="101"/>
      <x:c r="C138" s="101"/>
      <x:c r="D138" s="101"/>
      <x:c r="E138" s="101"/>
      <x:c r="F138" s="101"/>
      <x:c r="G138" s="101"/>
      <x:c r="H138" s="101"/>
      <x:c r="I138" s="101"/>
      <x:c r="J138" s="101"/>
      <x:c r="K138" s="101"/>
      <x:c r="L138" s="101"/>
      <x:c r="M138" s="101"/>
      <x:c r="N138" s="101"/>
      <x:c r="O138" s="101"/>
      <x:c r="P138" s="101"/>
      <x:c r="Q138" s="101"/>
      <x:c r="R138" s="101"/>
      <x:c r="S138" s="101"/>
      <x:c r="T138" s="101"/>
      <x:c r="U138" s="101"/>
      <x:c r="V138" s="101"/>
      <x:c r="W138" s="101"/>
      <x:c r="X138" s="101"/>
      <x:c r="Y138" s="101"/>
      <x:c r="Z138" s="101"/>
      <x:c r="AA138" s="101"/>
      <x:c r="AB138" s="101"/>
      <x:c r="AC138" s="101"/>
      <x:c r="AD138" s="101"/>
      <x:c r="AE138" s="101"/>
    </x:row>
    <x:row r="139">
      <x:c r="A139" s="101"/>
      <x:c r="B139" s="101"/>
      <x:c r="C139" s="101"/>
      <x:c r="D139" s="101"/>
      <x:c r="E139" s="101"/>
      <x:c r="F139" s="101"/>
      <x:c r="G139" s="101"/>
      <x:c r="H139" s="101"/>
      <x:c r="I139" s="101"/>
      <x:c r="J139" s="101"/>
      <x:c r="K139" s="101"/>
      <x:c r="L139" s="101"/>
      <x:c r="M139" s="101"/>
      <x:c r="N139" s="101"/>
      <x:c r="O139" s="101"/>
      <x:c r="P139" s="101"/>
      <x:c r="Q139" s="101"/>
      <x:c r="R139" s="101"/>
      <x:c r="S139" s="101"/>
      <x:c r="T139" s="101"/>
      <x:c r="U139" s="101"/>
      <x:c r="V139" s="101"/>
      <x:c r="W139" s="101"/>
      <x:c r="X139" s="101"/>
      <x:c r="Y139" s="101"/>
      <x:c r="Z139" s="101"/>
      <x:c r="AA139" s="101"/>
      <x:c r="AB139" s="101"/>
      <x:c r="AC139" s="101"/>
      <x:c r="AD139" s="101"/>
      <x:c r="AE139" s="101"/>
    </x:row>
    <x:row r="140">
      <x:c r="A140" s="101"/>
      <x:c r="B140" s="101"/>
      <x:c r="C140" s="101"/>
      <x:c r="D140" s="101"/>
      <x:c r="E140" s="101"/>
      <x:c r="F140" s="101"/>
      <x:c r="G140" s="101"/>
      <x:c r="H140" s="101"/>
      <x:c r="I140" s="101"/>
      <x:c r="J140" s="101"/>
      <x:c r="K140" s="101"/>
      <x:c r="L140" s="101"/>
      <x:c r="M140" s="101"/>
      <x:c r="N140" s="101"/>
      <x:c r="O140" s="101"/>
      <x:c r="P140" s="101"/>
      <x:c r="Q140" s="101"/>
      <x:c r="R140" s="101"/>
      <x:c r="S140" s="101"/>
      <x:c r="T140" s="101"/>
      <x:c r="U140" s="101"/>
      <x:c r="V140" s="101"/>
      <x:c r="W140" s="101"/>
      <x:c r="X140" s="101"/>
      <x:c r="Y140" s="101"/>
      <x:c r="Z140" s="101"/>
      <x:c r="AA140" s="101"/>
      <x:c r="AB140" s="101"/>
      <x:c r="AC140" s="101"/>
      <x:c r="AD140" s="101"/>
      <x:c r="AE140" s="101"/>
    </x:row>
    <x:row r="141">
      <x:c r="A141" s="101"/>
      <x:c r="B141" s="101"/>
      <x:c r="C141" s="101"/>
      <x:c r="D141" s="101"/>
      <x:c r="E141" s="101"/>
      <x:c r="F141" s="101"/>
      <x:c r="G141" s="101"/>
      <x:c r="H141" s="101"/>
      <x:c r="I141" s="101"/>
      <x:c r="J141" s="101"/>
      <x:c r="K141" s="101"/>
      <x:c r="L141" s="101"/>
      <x:c r="M141" s="101"/>
      <x:c r="N141" s="101"/>
      <x:c r="O141" s="101"/>
      <x:c r="P141" s="101"/>
      <x:c r="Q141" s="101"/>
      <x:c r="R141" s="101"/>
      <x:c r="S141" s="101"/>
      <x:c r="T141" s="101"/>
      <x:c r="U141" s="101"/>
      <x:c r="V141" s="101"/>
      <x:c r="W141" s="101"/>
      <x:c r="X141" s="101"/>
      <x:c r="Y141" s="101"/>
      <x:c r="Z141" s="101"/>
      <x:c r="AA141" s="101"/>
      <x:c r="AB141" s="101"/>
      <x:c r="AC141" s="101"/>
      <x:c r="AD141" s="101"/>
      <x:c r="AE141" s="101"/>
    </x:row>
    <x:row r="142">
      <x:c r="A142" s="101"/>
      <x:c r="B142" s="101"/>
      <x:c r="C142" s="101"/>
      <x:c r="D142" s="101"/>
      <x:c r="E142" s="101"/>
      <x:c r="F142" s="101"/>
      <x:c r="G142" s="101"/>
      <x:c r="H142" s="101"/>
      <x:c r="I142" s="101"/>
      <x:c r="J142" s="101"/>
      <x:c r="K142" s="101"/>
      <x:c r="L142" s="101"/>
      <x:c r="M142" s="101"/>
      <x:c r="N142" s="101"/>
      <x:c r="O142" s="101"/>
      <x:c r="P142" s="101"/>
      <x:c r="Q142" s="101"/>
      <x:c r="R142" s="101"/>
      <x:c r="S142" s="101"/>
      <x:c r="T142" s="101"/>
      <x:c r="U142" s="101"/>
      <x:c r="V142" s="101"/>
      <x:c r="W142" s="101"/>
      <x:c r="X142" s="101"/>
      <x:c r="Y142" s="101"/>
      <x:c r="Z142" s="101"/>
      <x:c r="AA142" s="101"/>
      <x:c r="AB142" s="101"/>
      <x:c r="AC142" s="101"/>
      <x:c r="AD142" s="101"/>
      <x:c r="AE142" s="101"/>
    </x:row>
    <x:row r="143">
      <x:c r="A143" s="101"/>
      <x:c r="B143" s="101"/>
      <x:c r="C143" s="101"/>
      <x:c r="D143" s="101"/>
      <x:c r="E143" s="101"/>
      <x:c r="F143" s="101"/>
      <x:c r="G143" s="101"/>
      <x:c r="H143" s="101"/>
      <x:c r="I143" s="101"/>
      <x:c r="J143" s="101"/>
      <x:c r="K143" s="101"/>
      <x:c r="L143" s="101"/>
      <x:c r="M143" s="101"/>
      <x:c r="N143" s="101"/>
      <x:c r="O143" s="101"/>
      <x:c r="P143" s="101"/>
      <x:c r="Q143" s="101"/>
      <x:c r="R143" s="101"/>
      <x:c r="S143" s="101"/>
      <x:c r="T143" s="101"/>
      <x:c r="U143" s="101"/>
      <x:c r="V143" s="101"/>
      <x:c r="W143" s="101"/>
      <x:c r="X143" s="101"/>
      <x:c r="Y143" s="101"/>
      <x:c r="Z143" s="101"/>
      <x:c r="AA143" s="101"/>
      <x:c r="AB143" s="101"/>
      <x:c r="AC143" s="101"/>
      <x:c r="AD143" s="101"/>
      <x:c r="AE143" s="101"/>
    </x:row>
    <x:row r="144">
      <x:c r="A144" s="101"/>
      <x:c r="B144" s="101"/>
      <x:c r="C144" s="101"/>
      <x:c r="D144" s="101"/>
      <x:c r="E144" s="101"/>
      <x:c r="F144" s="101"/>
      <x:c r="G144" s="101"/>
      <x:c r="H144" s="101"/>
      <x:c r="I144" s="101"/>
      <x:c r="J144" s="101"/>
      <x:c r="K144" s="101"/>
      <x:c r="L144" s="101"/>
      <x:c r="M144" s="101"/>
      <x:c r="N144" s="101"/>
      <x:c r="O144" s="101"/>
      <x:c r="P144" s="101"/>
      <x:c r="Q144" s="101"/>
      <x:c r="R144" s="101"/>
      <x:c r="S144" s="101"/>
      <x:c r="T144" s="101"/>
      <x:c r="U144" s="101"/>
      <x:c r="V144" s="101"/>
      <x:c r="W144" s="101"/>
      <x:c r="X144" s="101"/>
      <x:c r="Y144" s="101"/>
      <x:c r="Z144" s="101"/>
      <x:c r="AA144" s="101"/>
      <x:c r="AB144" s="101"/>
      <x:c r="AC144" s="101"/>
      <x:c r="AD144" s="101"/>
      <x:c r="AE144" s="101"/>
    </x:row>
    <x:row r="145">
      <x:c r="A145" s="101"/>
      <x:c r="B145" s="101"/>
      <x:c r="C145" s="101"/>
      <x:c r="D145" s="101"/>
      <x:c r="E145" s="101"/>
      <x:c r="F145" s="101"/>
      <x:c r="G145" s="101"/>
      <x:c r="H145" s="101"/>
      <x:c r="I145" s="101"/>
      <x:c r="J145" s="101"/>
      <x:c r="K145" s="101"/>
      <x:c r="L145" s="101"/>
      <x:c r="M145" s="101"/>
      <x:c r="N145" s="101"/>
      <x:c r="O145" s="101"/>
      <x:c r="P145" s="101"/>
      <x:c r="Q145" s="101"/>
      <x:c r="R145" s="101"/>
      <x:c r="S145" s="101"/>
      <x:c r="T145" s="101"/>
      <x:c r="U145" s="101"/>
      <x:c r="V145" s="101"/>
      <x:c r="W145" s="101"/>
      <x:c r="X145" s="101"/>
      <x:c r="Y145" s="101"/>
      <x:c r="Z145" s="101"/>
      <x:c r="AA145" s="101"/>
      <x:c r="AB145" s="101"/>
      <x:c r="AC145" s="101"/>
      <x:c r="AD145" s="101"/>
      <x:c r="AE145" s="101"/>
    </x:row>
    <x:row r="146">
      <x:c r="A146" s="101"/>
      <x:c r="B146" s="101"/>
      <x:c r="C146" s="101"/>
      <x:c r="D146" s="101"/>
      <x:c r="E146" s="101"/>
      <x:c r="F146" s="101"/>
      <x:c r="G146" s="101"/>
      <x:c r="H146" s="101"/>
      <x:c r="I146" s="101"/>
      <x:c r="J146" s="101"/>
      <x:c r="K146" s="101"/>
      <x:c r="L146" s="101"/>
      <x:c r="M146" s="101"/>
      <x:c r="N146" s="101"/>
      <x:c r="O146" s="101"/>
      <x:c r="P146" s="101"/>
      <x:c r="Q146" s="101"/>
      <x:c r="R146" s="101"/>
      <x:c r="S146" s="101"/>
      <x:c r="T146" s="101"/>
      <x:c r="U146" s="101"/>
      <x:c r="V146" s="101"/>
      <x:c r="W146" s="101"/>
      <x:c r="X146" s="101"/>
      <x:c r="Y146" s="101"/>
      <x:c r="Z146" s="101"/>
      <x:c r="AA146" s="101"/>
      <x:c r="AB146" s="101"/>
      <x:c r="AC146" s="101"/>
      <x:c r="AD146" s="101"/>
      <x:c r="AE146" s="101"/>
    </x:row>
    <x:row r="147">
      <x:c r="A147" s="101"/>
      <x:c r="B147" s="101"/>
      <x:c r="C147" s="101"/>
      <x:c r="D147" s="101"/>
      <x:c r="E147" s="101"/>
      <x:c r="F147" s="101"/>
      <x:c r="G147" s="101"/>
      <x:c r="H147" s="101"/>
      <x:c r="I147" s="101"/>
      <x:c r="J147" s="101"/>
      <x:c r="K147" s="101"/>
      <x:c r="L147" s="101"/>
      <x:c r="M147" s="101"/>
      <x:c r="N147" s="101"/>
      <x:c r="O147" s="101"/>
      <x:c r="P147" s="101"/>
      <x:c r="Q147" s="101"/>
      <x:c r="R147" s="101"/>
      <x:c r="S147" s="101"/>
      <x:c r="T147" s="101"/>
      <x:c r="U147" s="101"/>
      <x:c r="V147" s="101"/>
      <x:c r="W147" s="101"/>
      <x:c r="X147" s="101"/>
      <x:c r="Y147" s="101"/>
      <x:c r="Z147" s="101"/>
      <x:c r="AA147" s="101"/>
      <x:c r="AB147" s="101"/>
      <x:c r="AC147" s="101"/>
      <x:c r="AD147" s="101"/>
      <x:c r="AE147" s="101"/>
    </x:row>
    <x:row r="148">
      <x:c r="A148" s="101"/>
      <x:c r="B148" s="101"/>
      <x:c r="C148" s="101"/>
      <x:c r="D148" s="101"/>
      <x:c r="E148" s="101"/>
      <x:c r="F148" s="101"/>
      <x:c r="G148" s="101"/>
      <x:c r="H148" s="101"/>
      <x:c r="I148" s="101"/>
      <x:c r="J148" s="101"/>
      <x:c r="K148" s="101"/>
      <x:c r="L148" s="101"/>
      <x:c r="M148" s="101"/>
      <x:c r="N148" s="101"/>
      <x:c r="O148" s="101"/>
      <x:c r="P148" s="101"/>
      <x:c r="Q148" s="101"/>
      <x:c r="R148" s="101"/>
      <x:c r="S148" s="101"/>
      <x:c r="T148" s="101"/>
      <x:c r="U148" s="101"/>
      <x:c r="V148" s="101"/>
      <x:c r="W148" s="101"/>
      <x:c r="X148" s="101"/>
      <x:c r="Y148" s="101"/>
      <x:c r="Z148" s="101"/>
      <x:c r="AA148" s="101"/>
      <x:c r="AB148" s="101"/>
      <x:c r="AC148" s="101"/>
      <x:c r="AD148" s="101"/>
      <x:c r="AE148" s="101"/>
    </x:row>
    <x:row r="149">
      <x:c r="A149" s="101"/>
      <x:c r="B149" s="101"/>
      <x:c r="C149" s="101"/>
      <x:c r="D149" s="101"/>
      <x:c r="E149" s="101"/>
      <x:c r="F149" s="101"/>
      <x:c r="G149" s="101"/>
      <x:c r="H149" s="101"/>
      <x:c r="I149" s="101"/>
      <x:c r="J149" s="101"/>
      <x:c r="K149" s="101"/>
      <x:c r="L149" s="101"/>
      <x:c r="M149" s="101"/>
      <x:c r="N149" s="101"/>
      <x:c r="O149" s="101"/>
      <x:c r="P149" s="101"/>
      <x:c r="Q149" s="101"/>
      <x:c r="R149" s="101"/>
      <x:c r="S149" s="101"/>
      <x:c r="T149" s="101"/>
      <x:c r="U149" s="101"/>
      <x:c r="V149" s="101"/>
      <x:c r="W149" s="101"/>
      <x:c r="X149" s="101"/>
      <x:c r="Y149" s="101"/>
      <x:c r="Z149" s="101"/>
      <x:c r="AA149" s="101"/>
      <x:c r="AB149" s="101"/>
      <x:c r="AC149" s="101"/>
      <x:c r="AD149" s="101"/>
      <x:c r="AE149" s="101"/>
    </x:row>
    <x:row r="150">
      <x:c r="A150" s="101"/>
      <x:c r="B150" s="101"/>
      <x:c r="C150" s="101"/>
      <x:c r="D150" s="101"/>
      <x:c r="E150" s="101"/>
      <x:c r="F150" s="101"/>
      <x:c r="G150" s="101"/>
      <x:c r="H150" s="101"/>
      <x:c r="I150" s="101"/>
      <x:c r="J150" s="101"/>
      <x:c r="K150" s="101"/>
      <x:c r="L150" s="101"/>
      <x:c r="M150" s="101"/>
      <x:c r="N150" s="101"/>
      <x:c r="O150" s="101"/>
      <x:c r="P150" s="101"/>
      <x:c r="Q150" s="101"/>
      <x:c r="R150" s="101"/>
      <x:c r="S150" s="101"/>
      <x:c r="T150" s="101"/>
      <x:c r="U150" s="101"/>
      <x:c r="V150" s="101"/>
      <x:c r="W150" s="101"/>
      <x:c r="X150" s="101"/>
      <x:c r="Y150" s="101"/>
      <x:c r="Z150" s="101"/>
      <x:c r="AA150" s="101"/>
      <x:c r="AB150" s="101"/>
      <x:c r="AC150" s="101"/>
      <x:c r="AD150" s="101"/>
      <x:c r="AE150" s="101"/>
    </x:row>
    <x:row r="151">
      <x:c r="A151" s="101"/>
      <x:c r="B151" s="101"/>
      <x:c r="C151" s="101"/>
      <x:c r="D151" s="101"/>
      <x:c r="E151" s="101"/>
      <x:c r="F151" s="101"/>
      <x:c r="G151" s="101"/>
      <x:c r="H151" s="101"/>
      <x:c r="I151" s="101"/>
      <x:c r="J151" s="101"/>
      <x:c r="K151" s="101"/>
      <x:c r="L151" s="101"/>
      <x:c r="M151" s="101"/>
      <x:c r="N151" s="101"/>
      <x:c r="O151" s="101"/>
      <x:c r="P151" s="101"/>
      <x:c r="Q151" s="101"/>
      <x:c r="R151" s="101"/>
      <x:c r="S151" s="101"/>
      <x:c r="T151" s="101"/>
      <x:c r="U151" s="101"/>
      <x:c r="V151" s="101"/>
      <x:c r="W151" s="101"/>
      <x:c r="X151" s="101"/>
      <x:c r="Y151" s="101"/>
      <x:c r="Z151" s="101"/>
      <x:c r="AA151" s="101"/>
      <x:c r="AB151" s="101"/>
      <x:c r="AC151" s="101"/>
      <x:c r="AD151" s="101"/>
      <x:c r="AE151" s="101"/>
    </x:row>
    <x:row r="152">
      <x:c r="A152" s="101"/>
      <x:c r="B152" s="101"/>
      <x:c r="C152" s="101"/>
      <x:c r="D152" s="101"/>
      <x:c r="E152" s="101"/>
      <x:c r="F152" s="101"/>
      <x:c r="G152" s="101"/>
      <x:c r="H152" s="101"/>
      <x:c r="I152" s="101"/>
      <x:c r="J152" s="101"/>
      <x:c r="K152" s="101"/>
      <x:c r="L152" s="101"/>
      <x:c r="M152" s="101"/>
      <x:c r="N152" s="101"/>
      <x:c r="O152" s="101"/>
      <x:c r="P152" s="101"/>
      <x:c r="Q152" s="101"/>
      <x:c r="R152" s="101"/>
      <x:c r="S152" s="101"/>
      <x:c r="T152" s="101"/>
      <x:c r="U152" s="101"/>
      <x:c r="V152" s="101"/>
      <x:c r="W152" s="101"/>
      <x:c r="X152" s="101"/>
      <x:c r="Y152" s="101"/>
      <x:c r="Z152" s="101"/>
      <x:c r="AA152" s="101"/>
      <x:c r="AB152" s="101"/>
      <x:c r="AC152" s="101"/>
      <x:c r="AD152" s="101"/>
      <x:c r="AE152" s="101"/>
    </x:row>
    <x:row r="153">
      <x:c r="A153" s="101"/>
      <x:c r="B153" s="101"/>
      <x:c r="C153" s="101"/>
      <x:c r="D153" s="101"/>
      <x:c r="E153" s="101"/>
      <x:c r="F153" s="101"/>
      <x:c r="G153" s="101"/>
      <x:c r="H153" s="101"/>
      <x:c r="I153" s="101"/>
      <x:c r="J153" s="101"/>
      <x:c r="K153" s="101"/>
      <x:c r="L153" s="101"/>
      <x:c r="M153" s="101"/>
      <x:c r="N153" s="101"/>
      <x:c r="O153" s="101"/>
      <x:c r="P153" s="101"/>
      <x:c r="Q153" s="101"/>
      <x:c r="R153" s="101"/>
      <x:c r="S153" s="101"/>
      <x:c r="T153" s="101"/>
      <x:c r="U153" s="101"/>
      <x:c r="V153" s="101"/>
      <x:c r="W153" s="101"/>
      <x:c r="X153" s="101"/>
      <x:c r="Y153" s="101"/>
      <x:c r="Z153" s="101"/>
      <x:c r="AA153" s="101"/>
      <x:c r="AB153" s="101"/>
      <x:c r="AC153" s="101"/>
      <x:c r="AD153" s="101"/>
      <x:c r="AE153" s="101"/>
    </x:row>
    <x:row r="154">
      <x:c r="A154" s="101"/>
      <x:c r="B154" s="101"/>
      <x:c r="C154" s="101"/>
      <x:c r="D154" s="101"/>
      <x:c r="E154" s="101"/>
      <x:c r="F154" s="101"/>
      <x:c r="G154" s="101"/>
      <x:c r="H154" s="101"/>
      <x:c r="I154" s="101"/>
      <x:c r="J154" s="101"/>
      <x:c r="K154" s="101"/>
      <x:c r="L154" s="101"/>
      <x:c r="M154" s="101"/>
      <x:c r="N154" s="101"/>
      <x:c r="O154" s="101"/>
      <x:c r="P154" s="101"/>
      <x:c r="Q154" s="101"/>
      <x:c r="R154" s="101"/>
      <x:c r="S154" s="101"/>
      <x:c r="T154" s="101"/>
      <x:c r="U154" s="101"/>
      <x:c r="V154" s="101"/>
      <x:c r="W154" s="101"/>
      <x:c r="X154" s="101"/>
      <x:c r="Y154" s="101"/>
      <x:c r="Z154" s="101"/>
      <x:c r="AA154" s="101"/>
      <x:c r="AB154" s="101"/>
      <x:c r="AC154" s="101"/>
      <x:c r="AD154" s="101"/>
      <x:c r="AE154" s="101"/>
    </x:row>
    <x:row r="155">
      <x:c r="A155" s="101"/>
      <x:c r="B155" s="101"/>
      <x:c r="C155" s="101"/>
      <x:c r="D155" s="101"/>
      <x:c r="E155" s="101"/>
      <x:c r="F155" s="101"/>
      <x:c r="G155" s="101"/>
      <x:c r="H155" s="101"/>
      <x:c r="I155" s="101"/>
      <x:c r="J155" s="101"/>
      <x:c r="K155" s="101"/>
      <x:c r="L155" s="101"/>
      <x:c r="M155" s="101"/>
      <x:c r="N155" s="101"/>
      <x:c r="O155" s="101"/>
      <x:c r="P155" s="101"/>
      <x:c r="Q155" s="101"/>
      <x:c r="R155" s="101"/>
      <x:c r="S155" s="101"/>
      <x:c r="T155" s="101"/>
      <x:c r="U155" s="101"/>
      <x:c r="V155" s="101"/>
      <x:c r="W155" s="101"/>
      <x:c r="X155" s="101"/>
      <x:c r="Y155" s="101"/>
      <x:c r="Z155" s="101"/>
      <x:c r="AA155" s="101"/>
      <x:c r="AB155" s="101"/>
      <x:c r="AC155" s="101"/>
      <x:c r="AD155" s="101"/>
      <x:c r="AE155" s="101"/>
    </x:row>
    <x:row r="156">
      <x:c r="A156" s="101"/>
      <x:c r="B156" s="101"/>
      <x:c r="C156" s="101"/>
      <x:c r="D156" s="101"/>
      <x:c r="E156" s="101"/>
      <x:c r="F156" s="101"/>
      <x:c r="G156" s="101"/>
      <x:c r="H156" s="101"/>
      <x:c r="I156" s="101"/>
      <x:c r="J156" s="101"/>
      <x:c r="K156" s="101"/>
      <x:c r="L156" s="101"/>
      <x:c r="M156" s="101"/>
      <x:c r="N156" s="101"/>
      <x:c r="O156" s="101"/>
      <x:c r="P156" s="101"/>
      <x:c r="Q156" s="101"/>
      <x:c r="R156" s="101"/>
      <x:c r="S156" s="101"/>
      <x:c r="T156" s="101"/>
      <x:c r="U156" s="101"/>
      <x:c r="V156" s="101"/>
      <x:c r="W156" s="101"/>
      <x:c r="X156" s="101"/>
      <x:c r="Y156" s="101"/>
      <x:c r="Z156" s="101"/>
      <x:c r="AA156" s="101"/>
      <x:c r="AB156" s="101"/>
      <x:c r="AC156" s="101"/>
      <x:c r="AD156" s="101"/>
      <x:c r="AE156" s="101"/>
    </x:row>
    <x:row r="157">
      <x:c r="A157" s="101"/>
      <x:c r="B157" s="101"/>
      <x:c r="C157" s="101"/>
      <x:c r="D157" s="101"/>
      <x:c r="E157" s="101"/>
      <x:c r="F157" s="101"/>
      <x:c r="G157" s="101"/>
      <x:c r="H157" s="101"/>
      <x:c r="I157" s="101"/>
      <x:c r="J157" s="101"/>
      <x:c r="K157" s="101"/>
      <x:c r="L157" s="101"/>
      <x:c r="M157" s="101"/>
      <x:c r="N157" s="101"/>
      <x:c r="O157" s="101"/>
      <x:c r="P157" s="101"/>
      <x:c r="Q157" s="101"/>
      <x:c r="R157" s="101"/>
      <x:c r="S157" s="101"/>
      <x:c r="T157" s="101"/>
      <x:c r="U157" s="101"/>
      <x:c r="V157" s="101"/>
      <x:c r="W157" s="101"/>
      <x:c r="X157" s="101"/>
      <x:c r="Y157" s="101"/>
      <x:c r="Z157" s="101"/>
      <x:c r="AA157" s="101"/>
      <x:c r="AB157" s="101"/>
      <x:c r="AC157" s="101"/>
      <x:c r="AD157" s="101"/>
      <x:c r="AE157" s="101"/>
    </x:row>
    <x:row r="158">
      <x:c r="A158" s="101"/>
      <x:c r="B158" s="101"/>
      <x:c r="C158" s="101"/>
      <x:c r="D158" s="101"/>
      <x:c r="E158" s="101"/>
      <x:c r="F158" s="101"/>
      <x:c r="G158" s="101"/>
      <x:c r="H158" s="101"/>
      <x:c r="I158" s="101"/>
      <x:c r="J158" s="101"/>
      <x:c r="K158" s="101"/>
      <x:c r="L158" s="101"/>
      <x:c r="M158" s="101"/>
      <x:c r="N158" s="101"/>
      <x:c r="O158" s="101"/>
      <x:c r="P158" s="101"/>
      <x:c r="Q158" s="101"/>
      <x:c r="R158" s="101"/>
      <x:c r="S158" s="101"/>
      <x:c r="T158" s="101"/>
      <x:c r="U158" s="101"/>
      <x:c r="V158" s="101"/>
      <x:c r="W158" s="101"/>
      <x:c r="X158" s="101"/>
      <x:c r="Y158" s="101"/>
      <x:c r="Z158" s="101"/>
      <x:c r="AA158" s="101"/>
      <x:c r="AB158" s="101"/>
      <x:c r="AC158" s="101"/>
      <x:c r="AD158" s="101"/>
      <x:c r="AE158" s="101"/>
    </x:row>
    <x:row r="159">
      <x:c r="A159" s="101"/>
      <x:c r="B159" s="101"/>
      <x:c r="C159" s="101"/>
      <x:c r="D159" s="101"/>
      <x:c r="E159" s="101"/>
      <x:c r="F159" s="101"/>
      <x:c r="G159" s="101"/>
      <x:c r="H159" s="101"/>
      <x:c r="I159" s="101"/>
      <x:c r="J159" s="101"/>
      <x:c r="K159" s="101"/>
      <x:c r="L159" s="101"/>
      <x:c r="M159" s="101"/>
      <x:c r="N159" s="101"/>
      <x:c r="O159" s="101"/>
      <x:c r="P159" s="101"/>
      <x:c r="Q159" s="101"/>
      <x:c r="R159" s="101"/>
      <x:c r="S159" s="101"/>
      <x:c r="T159" s="101"/>
      <x:c r="U159" s="101"/>
      <x:c r="V159" s="101"/>
      <x:c r="W159" s="101"/>
      <x:c r="X159" s="101"/>
      <x:c r="Y159" s="101"/>
      <x:c r="Z159" s="101"/>
      <x:c r="AA159" s="101"/>
      <x:c r="AB159" s="101"/>
      <x:c r="AC159" s="101"/>
      <x:c r="AD159" s="101"/>
      <x:c r="AE159" s="101"/>
    </x:row>
    <x:row r="160">
      <x:c r="A160" s="101"/>
      <x:c r="B160" s="101"/>
      <x:c r="C160" s="101"/>
      <x:c r="D160" s="101"/>
      <x:c r="E160" s="101"/>
      <x:c r="F160" s="101"/>
      <x:c r="G160" s="101"/>
      <x:c r="H160" s="101"/>
      <x:c r="I160" s="101"/>
      <x:c r="J160" s="101"/>
      <x:c r="K160" s="101"/>
      <x:c r="L160" s="101"/>
      <x:c r="M160" s="101"/>
      <x:c r="N160" s="101"/>
      <x:c r="O160" s="101"/>
      <x:c r="P160" s="101"/>
      <x:c r="Q160" s="101"/>
      <x:c r="R160" s="101"/>
      <x:c r="S160" s="101"/>
      <x:c r="T160" s="101"/>
      <x:c r="U160" s="101"/>
      <x:c r="V160" s="101"/>
      <x:c r="W160" s="101"/>
      <x:c r="X160" s="101"/>
      <x:c r="Y160" s="101"/>
      <x:c r="Z160" s="101"/>
      <x:c r="AA160" s="101"/>
      <x:c r="AB160" s="101"/>
      <x:c r="AC160" s="101"/>
      <x:c r="AD160" s="101"/>
      <x:c r="AE160" s="101"/>
    </x:row>
    <x:row r="161">
      <x:c r="A161" s="101"/>
      <x:c r="B161" s="101"/>
      <x:c r="C161" s="101"/>
      <x:c r="D161" s="101"/>
      <x:c r="E161" s="101"/>
      <x:c r="F161" s="101"/>
      <x:c r="G161" s="101"/>
      <x:c r="H161" s="101"/>
      <x:c r="I161" s="101"/>
      <x:c r="J161" s="101"/>
      <x:c r="K161" s="101"/>
      <x:c r="L161" s="101"/>
      <x:c r="M161" s="101"/>
      <x:c r="N161" s="101"/>
      <x:c r="O161" s="101"/>
      <x:c r="P161" s="101"/>
      <x:c r="Q161" s="101"/>
      <x:c r="R161" s="101"/>
      <x:c r="S161" s="101"/>
      <x:c r="T161" s="101"/>
      <x:c r="U161" s="101"/>
      <x:c r="V161" s="101"/>
      <x:c r="W161" s="101"/>
      <x:c r="X161" s="101"/>
      <x:c r="Y161" s="101"/>
      <x:c r="Z161" s="101"/>
      <x:c r="AA161" s="101"/>
      <x:c r="AB161" s="101"/>
      <x:c r="AC161" s="101"/>
      <x:c r="AD161" s="101"/>
      <x:c r="AE161" s="101"/>
    </x:row>
    <x:row r="162">
      <x:c r="A162" s="101"/>
      <x:c r="B162" s="101"/>
      <x:c r="C162" s="101"/>
      <x:c r="D162" s="101"/>
      <x:c r="E162" s="101"/>
      <x:c r="F162" s="101"/>
      <x:c r="G162" s="101"/>
      <x:c r="H162" s="101"/>
      <x:c r="I162" s="101"/>
      <x:c r="J162" s="101"/>
      <x:c r="K162" s="101"/>
      <x:c r="L162" s="101"/>
      <x:c r="M162" s="101"/>
      <x:c r="N162" s="101"/>
      <x:c r="O162" s="101"/>
      <x:c r="P162" s="101"/>
      <x:c r="Q162" s="101"/>
      <x:c r="R162" s="101"/>
      <x:c r="S162" s="101"/>
      <x:c r="T162" s="101"/>
      <x:c r="U162" s="101"/>
      <x:c r="V162" s="101"/>
      <x:c r="W162" s="101"/>
      <x:c r="X162" s="101"/>
      <x:c r="Y162" s="101"/>
      <x:c r="Z162" s="101"/>
      <x:c r="AA162" s="101"/>
      <x:c r="AB162" s="101"/>
      <x:c r="AC162" s="101"/>
      <x:c r="AD162" s="101"/>
      <x:c r="AE162" s="101"/>
    </x:row>
    <x:row r="163">
      <x:c r="A163" s="101"/>
      <x:c r="B163" s="101"/>
      <x:c r="C163" s="101"/>
      <x:c r="D163" s="101"/>
      <x:c r="E163" s="101"/>
      <x:c r="F163" s="101"/>
      <x:c r="G163" s="101"/>
      <x:c r="H163" s="101"/>
      <x:c r="I163" s="101"/>
      <x:c r="J163" s="101"/>
      <x:c r="K163" s="101"/>
      <x:c r="L163" s="101"/>
      <x:c r="M163" s="101"/>
      <x:c r="N163" s="101"/>
      <x:c r="O163" s="101"/>
      <x:c r="P163" s="101"/>
      <x:c r="Q163" s="101"/>
      <x:c r="R163" s="101"/>
      <x:c r="S163" s="101"/>
      <x:c r="T163" s="101"/>
      <x:c r="U163" s="101"/>
      <x:c r="V163" s="101"/>
      <x:c r="W163" s="101"/>
      <x:c r="X163" s="101"/>
      <x:c r="Y163" s="101"/>
      <x:c r="Z163" s="101"/>
      <x:c r="AA163" s="101"/>
      <x:c r="AB163" s="101"/>
      <x:c r="AC163" s="101"/>
      <x:c r="AD163" s="101"/>
      <x:c r="AE163" s="101"/>
    </x:row>
    <x:row r="164">
      <x:c r="A164" s="101"/>
      <x:c r="B164" s="101"/>
      <x:c r="C164" s="101"/>
      <x:c r="D164" s="101"/>
      <x:c r="E164" s="101"/>
      <x:c r="F164" s="101"/>
      <x:c r="G164" s="101"/>
      <x:c r="H164" s="101"/>
      <x:c r="I164" s="101"/>
      <x:c r="J164" s="101"/>
      <x:c r="K164" s="101"/>
      <x:c r="L164" s="101"/>
      <x:c r="M164" s="101"/>
      <x:c r="N164" s="101"/>
      <x:c r="O164" s="101"/>
      <x:c r="P164" s="101"/>
      <x:c r="Q164" s="101"/>
      <x:c r="R164" s="101"/>
      <x:c r="S164" s="101"/>
      <x:c r="T164" s="101"/>
      <x:c r="U164" s="101"/>
      <x:c r="V164" s="101"/>
      <x:c r="W164" s="101"/>
      <x:c r="X164" s="101"/>
      <x:c r="Y164" s="101"/>
      <x:c r="Z164" s="101"/>
      <x:c r="AA164" s="101"/>
      <x:c r="AB164" s="101"/>
      <x:c r="AC164" s="101"/>
      <x:c r="AD164" s="101"/>
      <x:c r="AE164" s="101"/>
    </x:row>
    <x:row r="165">
      <x:c r="A165" s="101"/>
      <x:c r="B165" s="101"/>
      <x:c r="C165" s="101"/>
      <x:c r="D165" s="101"/>
      <x:c r="E165" s="101"/>
      <x:c r="F165" s="101"/>
      <x:c r="G165" s="101"/>
      <x:c r="H165" s="101"/>
      <x:c r="I165" s="101"/>
      <x:c r="J165" s="101"/>
      <x:c r="K165" s="101"/>
      <x:c r="L165" s="101"/>
      <x:c r="M165" s="101"/>
      <x:c r="N165" s="101"/>
      <x:c r="O165" s="101"/>
      <x:c r="P165" s="101"/>
      <x:c r="Q165" s="101"/>
      <x:c r="R165" s="101"/>
      <x:c r="S165" s="101"/>
      <x:c r="T165" s="101"/>
      <x:c r="U165" s="101"/>
      <x:c r="V165" s="101"/>
      <x:c r="W165" s="101"/>
      <x:c r="X165" s="101"/>
      <x:c r="Y165" s="101"/>
      <x:c r="Z165" s="101"/>
      <x:c r="AA165" s="101"/>
      <x:c r="AB165" s="101"/>
      <x:c r="AC165" s="101"/>
      <x:c r="AD165" s="101"/>
      <x:c r="AE165" s="101"/>
    </x:row>
    <x:row r="166">
      <x:c r="A166" s="101"/>
      <x:c r="B166" s="101"/>
      <x:c r="C166" s="101"/>
      <x:c r="D166" s="101"/>
      <x:c r="E166" s="101"/>
      <x:c r="F166" s="101"/>
      <x:c r="G166" s="101"/>
      <x:c r="H166" s="101"/>
      <x:c r="I166" s="101"/>
      <x:c r="J166" s="101"/>
      <x:c r="K166" s="101"/>
      <x:c r="L166" s="101"/>
      <x:c r="M166" s="101"/>
      <x:c r="N166" s="101"/>
      <x:c r="O166" s="101"/>
      <x:c r="P166" s="101"/>
      <x:c r="Q166" s="101"/>
      <x:c r="R166" s="101"/>
      <x:c r="S166" s="101"/>
      <x:c r="T166" s="101"/>
      <x:c r="U166" s="101"/>
      <x:c r="V166" s="101"/>
      <x:c r="W166" s="101"/>
      <x:c r="X166" s="101"/>
      <x:c r="Y166" s="101"/>
      <x:c r="Z166" s="101"/>
      <x:c r="AA166" s="101"/>
      <x:c r="AB166" s="101"/>
      <x:c r="AC166" s="101"/>
      <x:c r="AD166" s="101"/>
      <x:c r="AE166" s="101"/>
    </x:row>
    <x:row r="167">
      <x:c r="A167" s="101"/>
      <x:c r="B167" s="101"/>
      <x:c r="C167" s="101"/>
      <x:c r="D167" s="101"/>
      <x:c r="E167" s="101"/>
      <x:c r="F167" s="101"/>
      <x:c r="G167" s="101"/>
      <x:c r="H167" s="101"/>
      <x:c r="I167" s="101"/>
      <x:c r="J167" s="101"/>
      <x:c r="K167" s="101"/>
      <x:c r="L167" s="101"/>
      <x:c r="M167" s="101"/>
      <x:c r="N167" s="101"/>
      <x:c r="O167" s="101"/>
      <x:c r="P167" s="101"/>
      <x:c r="Q167" s="101"/>
      <x:c r="R167" s="101"/>
      <x:c r="S167" s="101"/>
      <x:c r="T167" s="101"/>
      <x:c r="U167" s="101"/>
      <x:c r="V167" s="101"/>
      <x:c r="W167" s="101"/>
      <x:c r="X167" s="101"/>
      <x:c r="Y167" s="101"/>
      <x:c r="Z167" s="101"/>
      <x:c r="AA167" s="101"/>
      <x:c r="AB167" s="101"/>
      <x:c r="AC167" s="101"/>
      <x:c r="AD167" s="101"/>
      <x:c r="AE167" s="101"/>
    </x:row>
    <x:row r="168">
      <x:c r="A168" s="101"/>
      <x:c r="B168" s="101"/>
      <x:c r="C168" s="101"/>
      <x:c r="D168" s="101"/>
      <x:c r="E168" s="101"/>
      <x:c r="F168" s="101"/>
      <x:c r="G168" s="101"/>
      <x:c r="H168" s="101"/>
      <x:c r="I168" s="101"/>
      <x:c r="J168" s="101"/>
      <x:c r="K168" s="101"/>
      <x:c r="L168" s="101"/>
      <x:c r="M168" s="101"/>
      <x:c r="N168" s="101"/>
      <x:c r="O168" s="101"/>
      <x:c r="P168" s="101"/>
      <x:c r="Q168" s="101"/>
      <x:c r="R168" s="101"/>
      <x:c r="S168" s="101"/>
      <x:c r="T168" s="101"/>
      <x:c r="U168" s="101"/>
      <x:c r="V168" s="101"/>
      <x:c r="W168" s="101"/>
      <x:c r="X168" s="101"/>
      <x:c r="Y168" s="101"/>
      <x:c r="Z168" s="101"/>
      <x:c r="AA168" s="101"/>
      <x:c r="AB168" s="101"/>
      <x:c r="AC168" s="101"/>
      <x:c r="AD168" s="101"/>
      <x:c r="AE168" s="101"/>
    </x:row>
    <x:row r="169">
      <x:c r="A169" s="101"/>
      <x:c r="B169" s="101"/>
      <x:c r="C169" s="101"/>
      <x:c r="D169" s="101"/>
      <x:c r="E169" s="101"/>
      <x:c r="F169" s="101"/>
      <x:c r="G169" s="101"/>
      <x:c r="H169" s="101"/>
      <x:c r="I169" s="101"/>
      <x:c r="J169" s="101"/>
      <x:c r="K169" s="101"/>
      <x:c r="L169" s="101"/>
      <x:c r="M169" s="101"/>
      <x:c r="N169" s="101"/>
      <x:c r="O169" s="101"/>
      <x:c r="P169" s="101"/>
      <x:c r="Q169" s="101"/>
      <x:c r="R169" s="101"/>
      <x:c r="S169" s="101"/>
      <x:c r="T169" s="101"/>
      <x:c r="U169" s="101"/>
      <x:c r="V169" s="101"/>
      <x:c r="W169" s="101"/>
      <x:c r="X169" s="101"/>
      <x:c r="Y169" s="101"/>
      <x:c r="Z169" s="101"/>
      <x:c r="AA169" s="101"/>
      <x:c r="AB169" s="101"/>
      <x:c r="AC169" s="101"/>
      <x:c r="AD169" s="101"/>
      <x:c r="AE169" s="101"/>
    </x:row>
    <x:row r="170">
      <x:c r="A170" s="101"/>
      <x:c r="B170" s="101"/>
      <x:c r="C170" s="101"/>
      <x:c r="D170" s="101"/>
      <x:c r="E170" s="101"/>
      <x:c r="F170" s="101"/>
      <x:c r="G170" s="101"/>
      <x:c r="H170" s="101"/>
      <x:c r="I170" s="101"/>
      <x:c r="J170" s="101"/>
      <x:c r="K170" s="101"/>
      <x:c r="L170" s="101"/>
      <x:c r="M170" s="101"/>
      <x:c r="N170" s="101"/>
      <x:c r="O170" s="101"/>
      <x:c r="P170" s="101"/>
      <x:c r="Q170" s="101"/>
      <x:c r="R170" s="101"/>
      <x:c r="S170" s="101"/>
      <x:c r="T170" s="101"/>
      <x:c r="U170" s="101"/>
      <x:c r="V170" s="101"/>
      <x:c r="W170" s="101"/>
      <x:c r="X170" s="101"/>
      <x:c r="Y170" s="101"/>
      <x:c r="Z170" s="101"/>
      <x:c r="AA170" s="101"/>
      <x:c r="AB170" s="101"/>
      <x:c r="AC170" s="101"/>
      <x:c r="AD170" s="101"/>
      <x:c r="AE170" s="101"/>
    </x:row>
    <x:row r="171">
      <x:c r="A171" s="101"/>
      <x:c r="B171" s="101"/>
      <x:c r="C171" s="101"/>
      <x:c r="D171" s="101"/>
      <x:c r="E171" s="101"/>
      <x:c r="F171" s="101"/>
      <x:c r="G171" s="101"/>
      <x:c r="H171" s="101"/>
      <x:c r="I171" s="101"/>
      <x:c r="J171" s="101"/>
      <x:c r="K171" s="101"/>
      <x:c r="L171" s="101"/>
      <x:c r="M171" s="101"/>
      <x:c r="N171" s="101"/>
      <x:c r="O171" s="101"/>
      <x:c r="P171" s="101"/>
      <x:c r="Q171" s="101"/>
      <x:c r="R171" s="101"/>
      <x:c r="S171" s="101"/>
      <x:c r="T171" s="101"/>
      <x:c r="U171" s="101"/>
      <x:c r="V171" s="101"/>
      <x:c r="W171" s="101"/>
      <x:c r="X171" s="101"/>
      <x:c r="Y171" s="101"/>
      <x:c r="Z171" s="101"/>
      <x:c r="AA171" s="101"/>
      <x:c r="AB171" s="101"/>
      <x:c r="AC171" s="101"/>
      <x:c r="AD171" s="101"/>
      <x:c r="AE171" s="101"/>
    </x:row>
    <x:row r="172">
      <x:c r="A172" s="101"/>
      <x:c r="B172" s="101"/>
      <x:c r="C172" s="101"/>
      <x:c r="D172" s="101"/>
      <x:c r="E172" s="101"/>
      <x:c r="F172" s="101"/>
      <x:c r="G172" s="101"/>
      <x:c r="H172" s="101"/>
      <x:c r="I172" s="101"/>
      <x:c r="J172" s="101"/>
      <x:c r="K172" s="101"/>
      <x:c r="L172" s="101"/>
      <x:c r="M172" s="101"/>
      <x:c r="N172" s="101"/>
      <x:c r="O172" s="101"/>
      <x:c r="P172" s="101"/>
      <x:c r="Q172" s="101"/>
      <x:c r="R172" s="101"/>
      <x:c r="S172" s="101"/>
      <x:c r="T172" s="101"/>
      <x:c r="U172" s="101"/>
      <x:c r="V172" s="101"/>
      <x:c r="W172" s="101"/>
      <x:c r="X172" s="101"/>
      <x:c r="Y172" s="101"/>
      <x:c r="Z172" s="101"/>
      <x:c r="AA172" s="101"/>
      <x:c r="AB172" s="101"/>
      <x:c r="AC172" s="101"/>
      <x:c r="AD172" s="101"/>
      <x:c r="AE172" s="101"/>
    </x:row>
    <x:row r="173">
      <x:c r="A173" s="101"/>
      <x:c r="B173" s="101"/>
      <x:c r="C173" s="101"/>
      <x:c r="D173" s="101"/>
      <x:c r="E173" s="101"/>
      <x:c r="F173" s="101"/>
      <x:c r="G173" s="101"/>
      <x:c r="H173" s="101"/>
      <x:c r="I173" s="101"/>
      <x:c r="J173" s="101"/>
      <x:c r="K173" s="101"/>
      <x:c r="L173" s="101"/>
      <x:c r="M173" s="101"/>
      <x:c r="N173" s="101"/>
      <x:c r="O173" s="101"/>
      <x:c r="P173" s="101"/>
      <x:c r="Q173" s="101"/>
      <x:c r="R173" s="101"/>
      <x:c r="S173" s="101"/>
      <x:c r="T173" s="101"/>
      <x:c r="U173" s="101"/>
      <x:c r="V173" s="101"/>
      <x:c r="W173" s="101"/>
      <x:c r="X173" s="101"/>
      <x:c r="Y173" s="101"/>
      <x:c r="Z173" s="101"/>
      <x:c r="AA173" s="101"/>
      <x:c r="AB173" s="101"/>
      <x:c r="AC173" s="101"/>
      <x:c r="AD173" s="101"/>
      <x:c r="AE173" s="101"/>
    </x:row>
    <x:row r="174">
      <x:c r="A174" s="101"/>
      <x:c r="B174" s="101"/>
      <x:c r="C174" s="101"/>
      <x:c r="D174" s="101"/>
      <x:c r="E174" s="101"/>
      <x:c r="F174" s="101"/>
      <x:c r="G174" s="101"/>
      <x:c r="H174" s="101"/>
      <x:c r="I174" s="101"/>
      <x:c r="J174" s="101"/>
      <x:c r="K174" s="101"/>
      <x:c r="L174" s="101"/>
      <x:c r="M174" s="101"/>
      <x:c r="N174" s="101"/>
      <x:c r="O174" s="101"/>
      <x:c r="P174" s="101"/>
      <x:c r="Q174" s="101"/>
      <x:c r="R174" s="101"/>
      <x:c r="S174" s="101"/>
      <x:c r="T174" s="101"/>
      <x:c r="U174" s="101"/>
      <x:c r="V174" s="101"/>
      <x:c r="W174" s="101"/>
      <x:c r="X174" s="101"/>
      <x:c r="Y174" s="101"/>
      <x:c r="Z174" s="101"/>
      <x:c r="AA174" s="101"/>
      <x:c r="AB174" s="101"/>
      <x:c r="AC174" s="101"/>
      <x:c r="AD174" s="101"/>
      <x:c r="AE174" s="101"/>
    </x:row>
    <x:row r="175">
      <x:c r="A175" s="101"/>
      <x:c r="B175" s="101"/>
      <x:c r="C175" s="101"/>
      <x:c r="D175" s="101"/>
      <x:c r="E175" s="101"/>
      <x:c r="F175" s="101"/>
      <x:c r="G175" s="101"/>
      <x:c r="H175" s="101"/>
      <x:c r="I175" s="101"/>
      <x:c r="J175" s="101"/>
      <x:c r="K175" s="101"/>
      <x:c r="L175" s="101"/>
      <x:c r="M175" s="101"/>
      <x:c r="N175" s="101"/>
      <x:c r="O175" s="101"/>
      <x:c r="P175" s="101"/>
      <x:c r="Q175" s="101"/>
      <x:c r="R175" s="101"/>
      <x:c r="S175" s="101"/>
      <x:c r="T175" s="101"/>
      <x:c r="U175" s="101"/>
      <x:c r="V175" s="101"/>
      <x:c r="W175" s="101"/>
      <x:c r="X175" s="101"/>
      <x:c r="Y175" s="101"/>
      <x:c r="Z175" s="101"/>
      <x:c r="AA175" s="101"/>
      <x:c r="AB175" s="101"/>
      <x:c r="AC175" s="101"/>
      <x:c r="AD175" s="101"/>
      <x:c r="AE175" s="101"/>
    </x:row>
    <x:row r="176">
      <x:c r="A176" s="101"/>
      <x:c r="B176" s="101"/>
      <x:c r="C176" s="101"/>
      <x:c r="D176" s="101"/>
      <x:c r="E176" s="101"/>
      <x:c r="F176" s="101"/>
      <x:c r="G176" s="101"/>
      <x:c r="H176" s="101"/>
      <x:c r="I176" s="101"/>
      <x:c r="J176" s="101"/>
      <x:c r="K176" s="101"/>
      <x:c r="L176" s="101"/>
      <x:c r="M176" s="101"/>
      <x:c r="N176" s="101"/>
      <x:c r="O176" s="101"/>
      <x:c r="P176" s="101"/>
      <x:c r="Q176" s="101"/>
      <x:c r="R176" s="101"/>
      <x:c r="S176" s="101"/>
      <x:c r="T176" s="101"/>
      <x:c r="U176" s="101"/>
      <x:c r="V176" s="101"/>
      <x:c r="W176" s="101"/>
      <x:c r="X176" s="101"/>
      <x:c r="Y176" s="101"/>
      <x:c r="Z176" s="101"/>
      <x:c r="AA176" s="101"/>
      <x:c r="AB176" s="101"/>
      <x:c r="AC176" s="101"/>
      <x:c r="AD176" s="101"/>
      <x:c r="AE176" s="101"/>
    </x:row>
    <x:row r="177">
      <x:c r="A177" s="101"/>
      <x:c r="B177" s="101"/>
      <x:c r="C177" s="101"/>
      <x:c r="D177" s="101"/>
      <x:c r="E177" s="101"/>
      <x:c r="F177" s="101"/>
      <x:c r="G177" s="101"/>
      <x:c r="H177" s="101"/>
      <x:c r="I177" s="101"/>
      <x:c r="J177" s="101"/>
      <x:c r="K177" s="101"/>
      <x:c r="L177" s="101"/>
      <x:c r="M177" s="101"/>
      <x:c r="N177" s="101"/>
      <x:c r="O177" s="101"/>
      <x:c r="P177" s="101"/>
      <x:c r="Q177" s="101"/>
      <x:c r="R177" s="101"/>
      <x:c r="S177" s="101"/>
      <x:c r="T177" s="101"/>
      <x:c r="U177" s="101"/>
      <x:c r="V177" s="101"/>
      <x:c r="W177" s="101"/>
      <x:c r="X177" s="101"/>
      <x:c r="Y177" s="101"/>
      <x:c r="Z177" s="101"/>
      <x:c r="AA177" s="101"/>
      <x:c r="AB177" s="101"/>
      <x:c r="AC177" s="101"/>
      <x:c r="AD177" s="101"/>
      <x:c r="AE177" s="101"/>
    </x:row>
    <x:row r="178">
      <x:c r="A178" s="101"/>
      <x:c r="B178" s="101"/>
      <x:c r="C178" s="101"/>
      <x:c r="D178" s="101"/>
      <x:c r="E178" s="101"/>
      <x:c r="F178" s="101"/>
      <x:c r="G178" s="101"/>
      <x:c r="H178" s="101"/>
      <x:c r="I178" s="101"/>
      <x:c r="J178" s="101"/>
      <x:c r="K178" s="101"/>
      <x:c r="L178" s="101"/>
      <x:c r="M178" s="101"/>
      <x:c r="N178" s="101"/>
      <x:c r="O178" s="101"/>
      <x:c r="P178" s="101"/>
      <x:c r="Q178" s="101"/>
      <x:c r="R178" s="101"/>
      <x:c r="S178" s="101"/>
      <x:c r="T178" s="101"/>
      <x:c r="U178" s="101"/>
      <x:c r="V178" s="101"/>
      <x:c r="W178" s="101"/>
      <x:c r="X178" s="101"/>
      <x:c r="Y178" s="101"/>
      <x:c r="Z178" s="101"/>
      <x:c r="AA178" s="101"/>
      <x:c r="AB178" s="101"/>
      <x:c r="AC178" s="101"/>
      <x:c r="AD178" s="101"/>
      <x:c r="AE178" s="101"/>
    </x:row>
    <x:row r="179">
      <x:c r="A179" s="101"/>
      <x:c r="B179" s="101"/>
      <x:c r="C179" s="101"/>
      <x:c r="D179" s="101"/>
      <x:c r="E179" s="101"/>
      <x:c r="F179" s="101"/>
      <x:c r="G179" s="101"/>
      <x:c r="H179" s="101"/>
      <x:c r="I179" s="101"/>
      <x:c r="J179" s="101"/>
      <x:c r="K179" s="101"/>
      <x:c r="L179" s="101"/>
      <x:c r="M179" s="101"/>
      <x:c r="N179" s="101"/>
      <x:c r="O179" s="101"/>
      <x:c r="P179" s="101"/>
      <x:c r="Q179" s="101"/>
      <x:c r="R179" s="101"/>
      <x:c r="S179" s="101"/>
      <x:c r="T179" s="101"/>
      <x:c r="U179" s="101"/>
      <x:c r="V179" s="101"/>
      <x:c r="W179" s="101"/>
      <x:c r="X179" s="101"/>
      <x:c r="Y179" s="101"/>
      <x:c r="Z179" s="101"/>
      <x:c r="AA179" s="101"/>
      <x:c r="AB179" s="101"/>
      <x:c r="AC179" s="101"/>
      <x:c r="AD179" s="101"/>
      <x:c r="AE179" s="101"/>
    </x:row>
    <x:row r="180">
      <x:c r="A180" s="101"/>
      <x:c r="B180" s="101"/>
      <x:c r="C180" s="101"/>
      <x:c r="D180" s="101"/>
      <x:c r="E180" s="101"/>
      <x:c r="F180" s="101"/>
      <x:c r="G180" s="101"/>
      <x:c r="H180" s="101"/>
      <x:c r="I180" s="101"/>
      <x:c r="J180" s="101"/>
      <x:c r="K180" s="101"/>
      <x:c r="L180" s="101"/>
      <x:c r="M180" s="101"/>
      <x:c r="N180" s="101"/>
      <x:c r="O180" s="101"/>
      <x:c r="P180" s="101"/>
      <x:c r="Q180" s="101"/>
      <x:c r="R180" s="101"/>
      <x:c r="S180" s="101"/>
      <x:c r="T180" s="101"/>
      <x:c r="U180" s="101"/>
      <x:c r="V180" s="101"/>
      <x:c r="W180" s="101"/>
      <x:c r="X180" s="101"/>
      <x:c r="Y180" s="101"/>
      <x:c r="Z180" s="101"/>
      <x:c r="AA180" s="101"/>
      <x:c r="AB180" s="101"/>
      <x:c r="AC180" s="101"/>
      <x:c r="AD180" s="101"/>
      <x:c r="AE180" s="101"/>
    </x:row>
    <x:row r="181">
      <x:c r="A181" s="101"/>
      <x:c r="B181" s="101"/>
      <x:c r="C181" s="101"/>
      <x:c r="D181" s="101"/>
      <x:c r="E181" s="101"/>
      <x:c r="F181" s="101"/>
      <x:c r="G181" s="101"/>
      <x:c r="H181" s="101"/>
      <x:c r="I181" s="101"/>
      <x:c r="J181" s="101"/>
      <x:c r="K181" s="101"/>
      <x:c r="L181" s="101"/>
      <x:c r="M181" s="101"/>
      <x:c r="N181" s="101"/>
      <x:c r="O181" s="101"/>
      <x:c r="P181" s="101"/>
      <x:c r="Q181" s="101"/>
      <x:c r="R181" s="101"/>
      <x:c r="S181" s="101"/>
      <x:c r="T181" s="101"/>
      <x:c r="U181" s="101"/>
      <x:c r="V181" s="101"/>
      <x:c r="W181" s="101"/>
      <x:c r="X181" s="101"/>
      <x:c r="Y181" s="101"/>
      <x:c r="Z181" s="101"/>
      <x:c r="AA181" s="101"/>
      <x:c r="AB181" s="101"/>
      <x:c r="AC181" s="101"/>
      <x:c r="AD181" s="101"/>
      <x:c r="AE181" s="101"/>
    </x:row>
    <x:row r="182">
      <x:c r="A182" s="101"/>
      <x:c r="B182" s="101"/>
      <x:c r="C182" s="101"/>
      <x:c r="D182" s="101"/>
      <x:c r="E182" s="101"/>
      <x:c r="F182" s="101"/>
      <x:c r="G182" s="101"/>
      <x:c r="H182" s="101"/>
      <x:c r="I182" s="101"/>
      <x:c r="J182" s="101"/>
      <x:c r="K182" s="101"/>
      <x:c r="L182" s="101"/>
      <x:c r="M182" s="101"/>
      <x:c r="N182" s="101"/>
      <x:c r="O182" s="101"/>
      <x:c r="P182" s="101"/>
      <x:c r="Q182" s="101"/>
      <x:c r="R182" s="101"/>
      <x:c r="S182" s="101"/>
      <x:c r="T182" s="101"/>
      <x:c r="U182" s="101"/>
      <x:c r="V182" s="101"/>
      <x:c r="W182" s="101"/>
      <x:c r="X182" s="101"/>
      <x:c r="Y182" s="101"/>
      <x:c r="Z182" s="101"/>
      <x:c r="AA182" s="101"/>
      <x:c r="AB182" s="101"/>
      <x:c r="AC182" s="101"/>
      <x:c r="AD182" s="101"/>
      <x:c r="AE182" s="101"/>
    </x:row>
    <x:row r="183">
      <x:c r="A183" s="101"/>
      <x:c r="B183" s="101"/>
      <x:c r="C183" s="101"/>
      <x:c r="D183" s="101"/>
      <x:c r="E183" s="101"/>
      <x:c r="F183" s="101"/>
      <x:c r="G183" s="101"/>
      <x:c r="H183" s="101"/>
      <x:c r="I183" s="101"/>
      <x:c r="J183" s="101"/>
      <x:c r="K183" s="101"/>
      <x:c r="L183" s="101"/>
      <x:c r="M183" s="101"/>
      <x:c r="N183" s="101"/>
      <x:c r="O183" s="101"/>
      <x:c r="P183" s="101"/>
      <x:c r="Q183" s="101"/>
      <x:c r="R183" s="101"/>
      <x:c r="S183" s="101"/>
      <x:c r="T183" s="101"/>
      <x:c r="U183" s="101"/>
      <x:c r="V183" s="101"/>
      <x:c r="W183" s="101"/>
      <x:c r="X183" s="101"/>
      <x:c r="Y183" s="101"/>
      <x:c r="Z183" s="101"/>
      <x:c r="AA183" s="101"/>
      <x:c r="AB183" s="101"/>
      <x:c r="AC183" s="101"/>
      <x:c r="AD183" s="101"/>
      <x:c r="AE183" s="101"/>
    </x:row>
    <x:row r="184">
      <x:c r="A184" s="101"/>
      <x:c r="B184" s="101"/>
      <x:c r="C184" s="101"/>
      <x:c r="D184" s="101"/>
      <x:c r="E184" s="101"/>
      <x:c r="F184" s="101"/>
      <x:c r="G184" s="101"/>
      <x:c r="H184" s="101"/>
      <x:c r="I184" s="101"/>
      <x:c r="J184" s="101"/>
      <x:c r="K184" s="101"/>
      <x:c r="L184" s="101"/>
      <x:c r="M184" s="101"/>
      <x:c r="N184" s="101"/>
      <x:c r="O184" s="101"/>
      <x:c r="P184" s="101"/>
      <x:c r="Q184" s="101"/>
      <x:c r="R184" s="101"/>
      <x:c r="S184" s="101"/>
      <x:c r="T184" s="101"/>
      <x:c r="U184" s="101"/>
      <x:c r="V184" s="101"/>
      <x:c r="W184" s="101"/>
      <x:c r="X184" s="101"/>
      <x:c r="Y184" s="101"/>
      <x:c r="Z184" s="101"/>
      <x:c r="AA184" s="101"/>
      <x:c r="AB184" s="101"/>
      <x:c r="AC184" s="101"/>
      <x:c r="AD184" s="101"/>
      <x:c r="AE184" s="101"/>
    </x:row>
    <x:row r="185">
      <x:c r="A185" s="101"/>
      <x:c r="B185" s="101"/>
      <x:c r="C185" s="101"/>
      <x:c r="D185" s="101"/>
      <x:c r="E185" s="101"/>
      <x:c r="F185" s="101"/>
      <x:c r="G185" s="101"/>
      <x:c r="H185" s="101"/>
      <x:c r="I185" s="101"/>
      <x:c r="J185" s="101"/>
      <x:c r="K185" s="101"/>
      <x:c r="L185" s="101"/>
      <x:c r="M185" s="101"/>
      <x:c r="N185" s="101"/>
      <x:c r="O185" s="101"/>
      <x:c r="P185" s="101"/>
      <x:c r="Q185" s="101"/>
      <x:c r="R185" s="101"/>
      <x:c r="S185" s="101"/>
      <x:c r="T185" s="101"/>
      <x:c r="U185" s="101"/>
      <x:c r="V185" s="101"/>
      <x:c r="W185" s="101"/>
      <x:c r="X185" s="101"/>
      <x:c r="Y185" s="101"/>
      <x:c r="Z185" s="101"/>
      <x:c r="AA185" s="101"/>
      <x:c r="AB185" s="101"/>
      <x:c r="AC185" s="101"/>
      <x:c r="AD185" s="101"/>
      <x:c r="AE185" s="101"/>
    </x:row>
    <x:row r="186">
      <x:c r="A186" s="101"/>
      <x:c r="B186" s="101"/>
      <x:c r="C186" s="101"/>
      <x:c r="D186" s="101"/>
      <x:c r="E186" s="101"/>
      <x:c r="F186" s="101"/>
      <x:c r="G186" s="101"/>
      <x:c r="H186" s="101"/>
      <x:c r="I186" s="101"/>
      <x:c r="J186" s="101"/>
      <x:c r="K186" s="101"/>
      <x:c r="L186" s="101"/>
      <x:c r="M186" s="101"/>
      <x:c r="N186" s="101"/>
      <x:c r="O186" s="101"/>
      <x:c r="P186" s="101"/>
      <x:c r="Q186" s="101"/>
      <x:c r="R186" s="101"/>
      <x:c r="S186" s="101"/>
      <x:c r="T186" s="101"/>
      <x:c r="U186" s="101"/>
      <x:c r="V186" s="101"/>
      <x:c r="W186" s="101"/>
      <x:c r="X186" s="101"/>
      <x:c r="Y186" s="101"/>
      <x:c r="Z186" s="101"/>
      <x:c r="AA186" s="101"/>
      <x:c r="AB186" s="101"/>
      <x:c r="AC186" s="101"/>
      <x:c r="AD186" s="101"/>
      <x:c r="AE186" s="101"/>
    </x:row>
    <x:row r="187">
      <x:c r="A187" s="101"/>
      <x:c r="B187" s="101"/>
      <x:c r="C187" s="101"/>
      <x:c r="D187" s="101"/>
      <x:c r="E187" s="101"/>
      <x:c r="F187" s="101"/>
      <x:c r="G187" s="101"/>
      <x:c r="H187" s="101"/>
      <x:c r="I187" s="101"/>
      <x:c r="J187" s="101"/>
      <x:c r="K187" s="101"/>
      <x:c r="L187" s="101"/>
      <x:c r="M187" s="101"/>
      <x:c r="N187" s="101"/>
      <x:c r="O187" s="101"/>
      <x:c r="P187" s="101"/>
      <x:c r="Q187" s="101"/>
      <x:c r="R187" s="101"/>
      <x:c r="S187" s="101"/>
      <x:c r="T187" s="101"/>
      <x:c r="U187" s="101"/>
      <x:c r="V187" s="101"/>
      <x:c r="W187" s="101"/>
      <x:c r="X187" s="101"/>
      <x:c r="Y187" s="101"/>
      <x:c r="Z187" s="101"/>
      <x:c r="AA187" s="101"/>
      <x:c r="AB187" s="101"/>
      <x:c r="AC187" s="101"/>
      <x:c r="AD187" s="101"/>
      <x:c r="AE187" s="101"/>
    </x:row>
    <x:row r="188">
      <x:c r="A188" s="101"/>
      <x:c r="B188" s="101"/>
      <x:c r="C188" s="101"/>
      <x:c r="D188" s="101"/>
      <x:c r="E188" s="101"/>
      <x:c r="F188" s="101"/>
      <x:c r="G188" s="101"/>
      <x:c r="H188" s="101"/>
      <x:c r="I188" s="101"/>
      <x:c r="J188" s="101"/>
      <x:c r="K188" s="101"/>
      <x:c r="L188" s="101"/>
      <x:c r="M188" s="101"/>
      <x:c r="N188" s="101"/>
      <x:c r="O188" s="101"/>
      <x:c r="P188" s="101"/>
      <x:c r="Q188" s="101"/>
      <x:c r="R188" s="101"/>
      <x:c r="S188" s="101"/>
      <x:c r="T188" s="101"/>
      <x:c r="U188" s="101"/>
      <x:c r="V188" s="101"/>
      <x:c r="W188" s="101"/>
      <x:c r="X188" s="101"/>
      <x:c r="Y188" s="101"/>
      <x:c r="Z188" s="101"/>
      <x:c r="AA188" s="101"/>
      <x:c r="AB188" s="101"/>
      <x:c r="AC188" s="101"/>
      <x:c r="AD188" s="101"/>
      <x:c r="AE188" s="101"/>
    </x:row>
    <x:row r="189">
      <x:c r="A189" s="101"/>
      <x:c r="B189" s="101"/>
      <x:c r="C189" s="101"/>
      <x:c r="D189" s="101"/>
      <x:c r="E189" s="101"/>
      <x:c r="F189" s="101"/>
      <x:c r="G189" s="101"/>
      <x:c r="H189" s="101"/>
      <x:c r="I189" s="101"/>
      <x:c r="J189" s="101"/>
      <x:c r="K189" s="101"/>
      <x:c r="L189" s="101"/>
      <x:c r="M189" s="101"/>
      <x:c r="N189" s="101"/>
      <x:c r="O189" s="101"/>
      <x:c r="P189" s="101"/>
      <x:c r="Q189" s="101"/>
      <x:c r="R189" s="101"/>
      <x:c r="S189" s="101"/>
      <x:c r="T189" s="101"/>
      <x:c r="U189" s="101"/>
      <x:c r="V189" s="101"/>
      <x:c r="W189" s="101"/>
      <x:c r="X189" s="101"/>
      <x:c r="Y189" s="101"/>
      <x:c r="Z189" s="101"/>
      <x:c r="AA189" s="101"/>
      <x:c r="AB189" s="101"/>
      <x:c r="AC189" s="101"/>
      <x:c r="AD189" s="101"/>
      <x:c r="AE189" s="101"/>
    </x:row>
    <x:row r="190">
      <x:c r="A190" s="101"/>
      <x:c r="B190" s="101"/>
      <x:c r="C190" s="101"/>
      <x:c r="D190" s="101"/>
      <x:c r="E190" s="101"/>
      <x:c r="F190" s="101"/>
      <x:c r="G190" s="101"/>
      <x:c r="H190" s="101"/>
      <x:c r="I190" s="101"/>
      <x:c r="J190" s="101"/>
      <x:c r="K190" s="101"/>
      <x:c r="L190" s="101"/>
      <x:c r="M190" s="101"/>
      <x:c r="N190" s="101"/>
      <x:c r="O190" s="101"/>
      <x:c r="P190" s="101"/>
      <x:c r="Q190" s="101"/>
      <x:c r="R190" s="101"/>
      <x:c r="S190" s="101"/>
      <x:c r="T190" s="101"/>
      <x:c r="U190" s="101"/>
      <x:c r="V190" s="101"/>
      <x:c r="W190" s="101"/>
      <x:c r="X190" s="101"/>
      <x:c r="Y190" s="101"/>
      <x:c r="Z190" s="101"/>
      <x:c r="AA190" s="101"/>
      <x:c r="AB190" s="101"/>
      <x:c r="AC190" s="101"/>
      <x:c r="AD190" s="101"/>
      <x:c r="AE190" s="101"/>
    </x:row>
    <x:row r="191">
      <x:c r="A191" s="101"/>
      <x:c r="B191" s="101"/>
      <x:c r="C191" s="101"/>
      <x:c r="D191" s="101"/>
      <x:c r="E191" s="101"/>
      <x:c r="F191" s="101"/>
      <x:c r="G191" s="101"/>
      <x:c r="H191" s="101"/>
      <x:c r="I191" s="101"/>
      <x:c r="J191" s="101"/>
      <x:c r="K191" s="101"/>
      <x:c r="L191" s="101"/>
      <x:c r="M191" s="101"/>
      <x:c r="N191" s="101"/>
      <x:c r="O191" s="101"/>
      <x:c r="P191" s="101"/>
      <x:c r="Q191" s="101"/>
      <x:c r="R191" s="101"/>
      <x:c r="S191" s="101"/>
      <x:c r="T191" s="101"/>
      <x:c r="U191" s="101"/>
      <x:c r="V191" s="101"/>
      <x:c r="W191" s="101"/>
      <x:c r="X191" s="101"/>
      <x:c r="Y191" s="101"/>
      <x:c r="Z191" s="101"/>
      <x:c r="AA191" s="101"/>
      <x:c r="AB191" s="101"/>
      <x:c r="AC191" s="101"/>
      <x:c r="AD191" s="101"/>
      <x:c r="AE191" s="101"/>
    </x:row>
    <x:row r="192">
      <x:c r="A192" s="101"/>
      <x:c r="B192" s="101"/>
      <x:c r="C192" s="101"/>
      <x:c r="D192" s="101"/>
      <x:c r="E192" s="101"/>
      <x:c r="F192" s="101"/>
      <x:c r="G192" s="101"/>
      <x:c r="H192" s="101"/>
      <x:c r="I192" s="101"/>
      <x:c r="J192" s="101"/>
      <x:c r="K192" s="101"/>
      <x:c r="L192" s="101"/>
      <x:c r="M192" s="101"/>
      <x:c r="N192" s="101"/>
      <x:c r="O192" s="101"/>
      <x:c r="P192" s="101"/>
      <x:c r="Q192" s="101"/>
      <x:c r="R192" s="101"/>
      <x:c r="S192" s="101"/>
      <x:c r="T192" s="101"/>
      <x:c r="U192" s="101"/>
      <x:c r="V192" s="101"/>
      <x:c r="W192" s="101"/>
      <x:c r="X192" s="101"/>
      <x:c r="Y192" s="101"/>
      <x:c r="Z192" s="101"/>
      <x:c r="AA192" s="101"/>
      <x:c r="AB192" s="101"/>
      <x:c r="AC192" s="101"/>
      <x:c r="AD192" s="101"/>
      <x:c r="AE192" s="101"/>
    </x:row>
    <x:row r="193">
      <x:c r="A193" s="101"/>
      <x:c r="B193" s="101"/>
      <x:c r="C193" s="101"/>
      <x:c r="D193" s="101"/>
      <x:c r="E193" s="101"/>
      <x:c r="F193" s="101"/>
      <x:c r="G193" s="101"/>
      <x:c r="H193" s="101"/>
      <x:c r="I193" s="101"/>
      <x:c r="J193" s="101"/>
      <x:c r="K193" s="101"/>
      <x:c r="L193" s="101"/>
      <x:c r="M193" s="101"/>
      <x:c r="N193" s="101"/>
      <x:c r="O193" s="101"/>
      <x:c r="P193" s="101"/>
      <x:c r="Q193" s="101"/>
      <x:c r="R193" s="101"/>
      <x:c r="S193" s="101"/>
      <x:c r="T193" s="101"/>
      <x:c r="U193" s="101"/>
      <x:c r="V193" s="101"/>
      <x:c r="W193" s="101"/>
      <x:c r="X193" s="101"/>
      <x:c r="Y193" s="101"/>
      <x:c r="Z193" s="101"/>
      <x:c r="AA193" s="101"/>
      <x:c r="AB193" s="101"/>
      <x:c r="AC193" s="101"/>
      <x:c r="AD193" s="101"/>
      <x:c r="AE193" s="101"/>
    </x:row>
    <x:row r="194">
      <x:c r="A194" s="101"/>
      <x:c r="B194" s="101"/>
      <x:c r="C194" s="101"/>
      <x:c r="D194" s="101"/>
      <x:c r="E194" s="101"/>
      <x:c r="F194" s="101"/>
      <x:c r="G194" s="101"/>
      <x:c r="H194" s="101"/>
      <x:c r="I194" s="101"/>
      <x:c r="J194" s="101"/>
      <x:c r="K194" s="101"/>
      <x:c r="L194" s="101"/>
      <x:c r="M194" s="101"/>
      <x:c r="N194" s="101"/>
      <x:c r="O194" s="101"/>
      <x:c r="P194" s="101"/>
      <x:c r="Q194" s="101"/>
      <x:c r="R194" s="101"/>
      <x:c r="S194" s="101"/>
      <x:c r="T194" s="101"/>
      <x:c r="U194" s="101"/>
      <x:c r="V194" s="101"/>
      <x:c r="W194" s="101"/>
      <x:c r="X194" s="101"/>
      <x:c r="Y194" s="101"/>
      <x:c r="Z194" s="101"/>
      <x:c r="AA194" s="101"/>
      <x:c r="AB194" s="101"/>
      <x:c r="AC194" s="101"/>
      <x:c r="AD194" s="101"/>
      <x:c r="AE194" s="101"/>
    </x:row>
    <x:row r="195">
      <x:c r="A195" s="101"/>
      <x:c r="B195" s="101"/>
      <x:c r="C195" s="101"/>
      <x:c r="D195" s="101"/>
      <x:c r="E195" s="101"/>
      <x:c r="F195" s="101"/>
      <x:c r="G195" s="101"/>
      <x:c r="H195" s="101"/>
      <x:c r="I195" s="101"/>
      <x:c r="J195" s="101"/>
      <x:c r="K195" s="101"/>
      <x:c r="L195" s="101"/>
      <x:c r="M195" s="101"/>
      <x:c r="N195" s="101"/>
      <x:c r="O195" s="101"/>
      <x:c r="P195" s="101"/>
      <x:c r="Q195" s="101"/>
      <x:c r="R195" s="101"/>
      <x:c r="S195" s="101"/>
      <x:c r="T195" s="101"/>
      <x:c r="U195" s="101"/>
      <x:c r="V195" s="101"/>
      <x:c r="W195" s="101"/>
      <x:c r="X195" s="101"/>
      <x:c r="Y195" s="101"/>
      <x:c r="Z195" s="101"/>
      <x:c r="AA195" s="101"/>
      <x:c r="AB195" s="101"/>
      <x:c r="AC195" s="101"/>
      <x:c r="AD195" s="101"/>
      <x:c r="AE195" s="101"/>
    </x:row>
    <x:row r="196">
      <x:c r="A196" s="101"/>
      <x:c r="B196" s="101"/>
      <x:c r="C196" s="101"/>
      <x:c r="D196" s="101"/>
      <x:c r="E196" s="101"/>
      <x:c r="F196" s="101"/>
      <x:c r="G196" s="101"/>
      <x:c r="H196" s="101"/>
      <x:c r="I196" s="101"/>
      <x:c r="J196" s="101"/>
      <x:c r="K196" s="101"/>
      <x:c r="L196" s="101"/>
      <x:c r="M196" s="101"/>
      <x:c r="N196" s="101"/>
      <x:c r="O196" s="101"/>
      <x:c r="P196" s="101"/>
      <x:c r="Q196" s="101"/>
      <x:c r="R196" s="101"/>
      <x:c r="S196" s="101"/>
      <x:c r="T196" s="101"/>
      <x:c r="U196" s="101"/>
      <x:c r="V196" s="101"/>
      <x:c r="W196" s="101"/>
      <x:c r="X196" s="101"/>
      <x:c r="Y196" s="101"/>
      <x:c r="Z196" s="101"/>
      <x:c r="AA196" s="101"/>
      <x:c r="AB196" s="101"/>
      <x:c r="AC196" s="101"/>
      <x:c r="AD196" s="101"/>
      <x:c r="AE196" s="101"/>
    </x:row>
    <x:row r="197">
      <x:c r="A197" s="101"/>
      <x:c r="B197" s="101"/>
      <x:c r="C197" s="101"/>
      <x:c r="D197" s="101"/>
      <x:c r="E197" s="101"/>
      <x:c r="F197" s="101"/>
      <x:c r="G197" s="101"/>
      <x:c r="H197" s="101"/>
      <x:c r="I197" s="101"/>
      <x:c r="J197" s="101"/>
      <x:c r="K197" s="101"/>
      <x:c r="L197" s="101"/>
      <x:c r="M197" s="101"/>
      <x:c r="N197" s="101"/>
      <x:c r="O197" s="101"/>
      <x:c r="P197" s="101"/>
      <x:c r="Q197" s="101"/>
      <x:c r="R197" s="101"/>
      <x:c r="S197" s="101"/>
      <x:c r="T197" s="101"/>
      <x:c r="U197" s="101"/>
      <x:c r="V197" s="101"/>
      <x:c r="W197" s="101"/>
      <x:c r="X197" s="101"/>
      <x:c r="Y197" s="101"/>
      <x:c r="Z197" s="101"/>
      <x:c r="AA197" s="101"/>
      <x:c r="AB197" s="101"/>
      <x:c r="AC197" s="101"/>
      <x:c r="AD197" s="101"/>
      <x:c r="AE197" s="101"/>
    </x:row>
    <x:row r="198">
      <x:c r="A198" s="101"/>
      <x:c r="B198" s="101"/>
      <x:c r="C198" s="101"/>
      <x:c r="D198" s="101"/>
      <x:c r="E198" s="101"/>
      <x:c r="F198" s="101"/>
      <x:c r="G198" s="101"/>
      <x:c r="H198" s="101"/>
      <x:c r="I198" s="101"/>
      <x:c r="J198" s="101"/>
      <x:c r="K198" s="101"/>
      <x:c r="L198" s="101"/>
      <x:c r="M198" s="101"/>
      <x:c r="N198" s="101"/>
      <x:c r="O198" s="101"/>
      <x:c r="P198" s="101"/>
      <x:c r="Q198" s="101"/>
      <x:c r="R198" s="101"/>
      <x:c r="S198" s="101"/>
      <x:c r="T198" s="101"/>
      <x:c r="U198" s="101"/>
      <x:c r="V198" s="101"/>
      <x:c r="W198" s="101"/>
      <x:c r="X198" s="101"/>
      <x:c r="Y198" s="101"/>
      <x:c r="Z198" s="101"/>
      <x:c r="AA198" s="101"/>
      <x:c r="AB198" s="101"/>
      <x:c r="AC198" s="101"/>
      <x:c r="AD198" s="101"/>
      <x:c r="AE198" s="101"/>
    </x:row>
    <x:row r="199">
      <x:c r="A199" s="101"/>
      <x:c r="B199" s="101"/>
      <x:c r="C199" s="101"/>
      <x:c r="D199" s="101"/>
      <x:c r="E199" s="101"/>
      <x:c r="F199" s="101"/>
      <x:c r="G199" s="101"/>
      <x:c r="H199" s="101"/>
      <x:c r="I199" s="101"/>
      <x:c r="J199" s="101"/>
      <x:c r="K199" s="101"/>
      <x:c r="L199" s="101"/>
      <x:c r="M199" s="101"/>
      <x:c r="N199" s="101"/>
      <x:c r="O199" s="101"/>
      <x:c r="P199" s="101"/>
      <x:c r="Q199" s="101"/>
      <x:c r="R199" s="101"/>
      <x:c r="S199" s="101"/>
      <x:c r="T199" s="101"/>
      <x:c r="U199" s="101"/>
      <x:c r="V199" s="101"/>
      <x:c r="W199" s="101"/>
      <x:c r="X199" s="101"/>
      <x:c r="Y199" s="101"/>
      <x:c r="Z199" s="101"/>
      <x:c r="AA199" s="101"/>
      <x:c r="AB199" s="101"/>
      <x:c r="AC199" s="101"/>
      <x:c r="AD199" s="101"/>
      <x:c r="AE199" s="101"/>
    </x:row>
    <x:row r="200">
      <x:c r="A200" s="101"/>
      <x:c r="B200" s="101"/>
      <x:c r="C200" s="101"/>
      <x:c r="D200" s="101"/>
      <x:c r="E200" s="101"/>
      <x:c r="F200" s="101"/>
      <x:c r="G200" s="101"/>
      <x:c r="H200" s="101"/>
      <x:c r="I200" s="101"/>
      <x:c r="J200" s="101"/>
      <x:c r="K200" s="101"/>
      <x:c r="L200" s="101"/>
      <x:c r="M200" s="101"/>
      <x:c r="N200" s="101"/>
      <x:c r="O200" s="101"/>
      <x:c r="P200" s="101"/>
      <x:c r="Q200" s="101"/>
      <x:c r="R200" s="101"/>
      <x:c r="S200" s="101"/>
      <x:c r="T200" s="101"/>
      <x:c r="U200" s="101"/>
      <x:c r="V200" s="101"/>
      <x:c r="W200" s="101"/>
      <x:c r="X200" s="101"/>
      <x:c r="Y200" s="101"/>
      <x:c r="Z200" s="101"/>
      <x:c r="AA200" s="101"/>
      <x:c r="AB200" s="101"/>
      <x:c r="AC200" s="101"/>
      <x:c r="AD200" s="101"/>
      <x:c r="AE200" s="101"/>
    </x:row>
  </x:sheetData>
  <x:mergeCells>
    <x:mergeCell ref="A1:AE1"/>
  </x:mergeCells>
  <x:dataValidations count="8">
    <x:dataValidation type="list" sqref="B3:B42">
      <x:formula1>"THS 120 / 7660 / FC120,FS120,FS240,FS Plus / 9660BI9"</x:formula1>
    </x:dataValidation>
    <x:dataValidation type="list" sqref="F3:F42">
      <x:formula1>"Headbox 180 x 180,Headbox 200 x 200,Headbox 200 x 400,Headbox 210 x 210,Headbox 210 x 240"</x:formula1>
    </x:dataValidation>
    <x:dataValidation type="list" sqref="H3:H42">
      <x:formula1>"Side guides 100mm pair,Side guides 70mm pair"</x:formula1>
    </x:dataValidation>
    <x:dataValidation type="list" sqref="K3:K42">
      <x:formula1>"Barrel Ø89,Barrel Ø100"</x:formula1>
    </x:dataValidation>
    <x:dataValidation type="list" sqref="Q3:Q42">
      <x:formula1>"Bottom rail,Square bottom bar"</x:formula1>
    </x:dataValidation>
    <x:dataValidation type="list" sqref="S3:S42">
      <x:formula1>"CSV small motor,CSV large motor,CSV XL motor,Dunker (L),DC80-10"</x:formula1>
    </x:dataValidation>
    <x:dataValidation type="list" sqref="AC3:AC42">
      <x:formula1>"Single endplate pair,Multi endplate pair"</x:formula1>
    </x:dataValidation>
    <x:dataValidation type="list" sqref="AD3:AD42">
      <x:formula1>"P1,P2,P3,P4,P5,P6,P7,P8,P9,P10,P11,P12"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3db7e3034f46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118" t="str">
        <x:v>PACKING CALCULATIONS - do not edit, linked from Curtain Input and Weight Rules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</x:row>
    <x:row r="2">
      <x:c r="A2" s="96" t="str">
        <x:v>Curtain Ref</x:v>
      </x:c>
      <x:c r="B2" s="96" t="str">
        <x:v>Qty</x:v>
      </x:c>
      <x:c r="C2" s="96" t="str">
        <x:v>Headbox kg</x:v>
      </x:c>
      <x:c r="D2" s="96" t="str">
        <x:v>Guides kg</x:v>
      </x:c>
      <x:c r="E2" s="96" t="str">
        <x:v>Barrel kg</x:v>
      </x:c>
      <x:c r="F2" s="96" t="str">
        <x:v>Fabric kg</x:v>
      </x:c>
      <x:c r="G2" s="96" t="str">
        <x:v>Bottom Rail kg</x:v>
      </x:c>
      <x:c r="H2" s="96" t="str">
        <x:v>Motor kg</x:v>
      </x:c>
      <x:c r="I2" s="96" t="str">
        <x:v>Controls kg</x:v>
      </x:c>
      <x:c r="J2" s="96" t="str">
        <x:v>Endplates kg</x:v>
      </x:c>
      <x:c r="K2" s="96" t="str">
        <x:v>Net kg per kit</x:v>
      </x:c>
      <x:c r="L2" s="96" t="str">
        <x:v>Packing allowance kg</x:v>
      </x:c>
      <x:c r="M2" s="96" t="str">
        <x:v>Gross kg per kit</x:v>
      </x:c>
      <x:c r="N2" s="96" t="str">
        <x:v>Total net kg</x:v>
      </x:c>
      <x:c r="O2" s="96" t="str">
        <x:v>Total gross kg</x:v>
      </x:c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  <x:c r="AE2" s="101"/>
    </x:row>
    <x:row r="3">
      <x:c r="A3" s="100" t="str">
        <x:f>IF('Curtain Input'!A3="","",'Curtain Input'!A3)</x:f>
      </x:c>
      <x:c r="B3" s="100" t="str">
        <x:f>IF('Curtain Input'!A3="","",'Curtain Input'!C3)</x:f>
      </x:c>
      <x:c r="C3" s="124" t="str">
        <x:f>IF($A3="","",IFERROR('Curtain Input'!G3/1000*VLOOKUP('Curtain Input'!F3,'Weight Rules'!$B:$C,2,FALSE),0))</x:f>
      </x:c>
      <x:c r="D3" s="124" t="str">
        <x:f>IF($A3="","",IFERROR('Curtain Input'!I3/1000*VLOOKUP('Curtain Input'!H3,'Weight Rules'!$B:$C,2,FALSE),0))</x:f>
      </x:c>
      <x:c r="E3" s="124" t="str">
        <x:f>IF($A3="","",IFERROR('Curtain Input'!M3/1000*'Curtain Input'!L3*VLOOKUP('Curtain Input'!K3,'Weight Rules'!$B:$C,2,FALSE),0))</x:f>
      </x:c>
      <x:c r="F3" s="124" t="str">
        <x:f>IF($A3="","",IFERROR(('Curtain Input'!O3/1000)*('Curtain Input'!P3/1000)*'Curtain Input'!N3*VLOOKUP('Curtain Input'!B3,'Weight Rules'!$B:$C,2,FALSE),0))</x:f>
      </x:c>
      <x:c r="G3" s="124" t="str">
        <x:f>IF($A3="","",IFERROR('Curtain Input'!R3/1000*VLOOKUP('Curtain Input'!Q3,'Weight Rules'!$B:$C,2,FALSE),0))</x:f>
      </x:c>
      <x:c r="H3" s="124" t="str">
        <x:f>IF($A3="","",IFERROR('Curtain Input'!T3*VLOOKUP('Curtain Input'!S3,'Weight Rules'!$B:$C,2,FALSE),0))</x:f>
      </x:c>
      <x:c r="I3" s="124" t="str">
        <x:f>IF($A3="","",IFERROR('Curtain Input'!U3*VLOOKUP("Control panel",'Weight Rules'!$B:$C,2,FALSE),0)+IFERROR('Curtain Input'!V3*VLOOKUP("Key switch",'Weight Rules'!$B:$C,2,FALSE),0)+IFERROR('Curtain Input'!W3*VLOOKUP("Emergency retract button / ERB",'Weight Rules'!$B:$C,2,FALSE),0)+IFERROR('Curtain Input'!X3*VLOOKUP("Battery &amp; mains monitor",'Weight Rules'!$B:$C,2,FALSE),0)+IFERROR('Curtain Input'!Y3*VLOOKUP("Beam sensor kit",'Weight Rules'!$B:$C,2,FALSE),0)+IFERROR('Curtain Input'!Z3*VLOOKUP("Audio visual",'Weight Rules'!$B:$C,2,FALSE),0)+IFERROR('Curtain Input'!AA3*VLOOKUP("Timer relay kit",'Weight Rules'!$B:$C,2,FALSE),0)+IFERROR('Curtain Input'!AB3*VLOOKUP("Delay / split drop",'Weight Rules'!$B:$C,2,FALSE),0))</x:f>
      </x:c>
      <x:c r="J3" s="124" t="str">
        <x:f>IF($A3="","",IFERROR(VLOOKUP('Curtain Input'!AC3,'Weight Rules'!$B:$C,2,FALSE),0))</x:f>
      </x:c>
      <x:c r="K3" s="124" t="str">
        <x:f>IF($A3="","",SUM(C3:J3))</x:f>
      </x:c>
      <x:c r="L3" s="124" t="str">
        <x:f>IF($A3="","",K3*'START HERE'!$B$16)</x:f>
      </x:c>
      <x:c r="M3" s="124" t="str">
        <x:f>IF($A3="","",K3+L3)</x:f>
      </x:c>
      <x:c r="N3" s="124" t="str">
        <x:f>IF($A3="","",K3*B3)</x:f>
      </x:c>
      <x:c r="O3" s="124" t="str">
        <x:f>IF($A3="","",M3*B3)</x:f>
      </x:c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  <x:c r="AA3" s="101"/>
      <x:c r="AB3" s="101"/>
      <x:c r="AC3" s="101"/>
      <x:c r="AD3" s="101"/>
      <x:c r="AE3" s="101"/>
    </x:row>
    <x:row r="4">
      <x:c r="A4" s="100" t="str">
        <x:f>IF('Curtain Input'!A4="","",'Curtain Input'!A4)</x:f>
      </x:c>
      <x:c r="B4" s="100" t="str">
        <x:f>IF('Curtain Input'!A4="","",'Curtain Input'!C4)</x:f>
      </x:c>
      <x:c r="C4" s="124" t="str">
        <x:f>IF($A4="","",IFERROR('Curtain Input'!G4/1000*VLOOKUP('Curtain Input'!F4,'Weight Rules'!$B:$C,2,FALSE),0))</x:f>
      </x:c>
      <x:c r="D4" s="124" t="str">
        <x:f>IF($A4="","",IFERROR('Curtain Input'!I4/1000*VLOOKUP('Curtain Input'!H4,'Weight Rules'!$B:$C,2,FALSE),0))</x:f>
      </x:c>
      <x:c r="E4" s="124" t="str">
        <x:f>IF($A4="","",IFERROR('Curtain Input'!M4/1000*'Curtain Input'!L4*VLOOKUP('Curtain Input'!K4,'Weight Rules'!$B:$C,2,FALSE),0))</x:f>
      </x:c>
      <x:c r="F4" s="124" t="str">
        <x:f>IF($A4="","",IFERROR(('Curtain Input'!O4/1000)*('Curtain Input'!P4/1000)*'Curtain Input'!N4*VLOOKUP('Curtain Input'!B4,'Weight Rules'!$B:$C,2,FALSE),0))</x:f>
      </x:c>
      <x:c r="G4" s="124" t="str">
        <x:f>IF($A4="","",IFERROR('Curtain Input'!R4/1000*VLOOKUP('Curtain Input'!Q4,'Weight Rules'!$B:$C,2,FALSE),0))</x:f>
      </x:c>
      <x:c r="H4" s="124" t="str">
        <x:f>IF($A4="","",IFERROR('Curtain Input'!T4*VLOOKUP('Curtain Input'!S4,'Weight Rules'!$B:$C,2,FALSE),0))</x:f>
      </x:c>
      <x:c r="I4" s="124" t="str">
        <x:f>IF($A4="","",IFERROR('Curtain Input'!U4*VLOOKUP("Control panel",'Weight Rules'!$B:$C,2,FALSE),0)+IFERROR('Curtain Input'!V4*VLOOKUP("Key switch",'Weight Rules'!$B:$C,2,FALSE),0)+IFERROR('Curtain Input'!W4*VLOOKUP("Emergency retract button / ERB",'Weight Rules'!$B:$C,2,FALSE),0)+IFERROR('Curtain Input'!X4*VLOOKUP("Battery &amp; mains monitor",'Weight Rules'!$B:$C,2,FALSE),0)+IFERROR('Curtain Input'!Y4*VLOOKUP("Beam sensor kit",'Weight Rules'!$B:$C,2,FALSE),0)+IFERROR('Curtain Input'!Z4*VLOOKUP("Audio visual",'Weight Rules'!$B:$C,2,FALSE),0)+IFERROR('Curtain Input'!AA4*VLOOKUP("Timer relay kit",'Weight Rules'!$B:$C,2,FALSE),0)+IFERROR('Curtain Input'!AB4*VLOOKUP("Delay / split drop",'Weight Rules'!$B:$C,2,FALSE),0))</x:f>
      </x:c>
      <x:c r="J4" s="124" t="str">
        <x:f>IF($A4="","",IFERROR(VLOOKUP('Curtain Input'!AC4,'Weight Rules'!$B:$C,2,FALSE),0))</x:f>
      </x:c>
      <x:c r="K4" s="124" t="str">
        <x:f>IF($A4="","",SUM(C4:J4))</x:f>
      </x:c>
      <x:c r="L4" s="124" t="str">
        <x:f>IF($A4="","",K4*'START HERE'!$B$16)</x:f>
      </x:c>
      <x:c r="M4" s="124" t="str">
        <x:f>IF($A4="","",K4+L4)</x:f>
      </x:c>
      <x:c r="N4" s="124" t="str">
        <x:f>IF($A4="","",K4*B4)</x:f>
      </x:c>
      <x:c r="O4" s="124" t="str">
        <x:f>IF($A4="","",M4*B4)</x:f>
      </x:c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  <x:c r="AA4" s="101"/>
      <x:c r="AB4" s="101"/>
      <x:c r="AC4" s="101"/>
      <x:c r="AD4" s="101"/>
      <x:c r="AE4" s="101"/>
    </x:row>
    <x:row r="5">
      <x:c r="A5" s="100" t="str">
        <x:f>IF('Curtain Input'!A5="","",'Curtain Input'!A5)</x:f>
      </x:c>
      <x:c r="B5" s="100" t="str">
        <x:f>IF('Curtain Input'!A5="","",'Curtain Input'!C5)</x:f>
      </x:c>
      <x:c r="C5" s="124" t="str">
        <x:f>IF($A5="","",IFERROR('Curtain Input'!G5/1000*VLOOKUP('Curtain Input'!F5,'Weight Rules'!$B:$C,2,FALSE),0))</x:f>
      </x:c>
      <x:c r="D5" s="124" t="str">
        <x:f>IF($A5="","",IFERROR('Curtain Input'!I5/1000*VLOOKUP('Curtain Input'!H5,'Weight Rules'!$B:$C,2,FALSE),0))</x:f>
      </x:c>
      <x:c r="E5" s="124" t="str">
        <x:f>IF($A5="","",IFERROR('Curtain Input'!M5/1000*'Curtain Input'!L5*VLOOKUP('Curtain Input'!K5,'Weight Rules'!$B:$C,2,FALSE),0))</x:f>
      </x:c>
      <x:c r="F5" s="124" t="str">
        <x:f>IF($A5="","",IFERROR(('Curtain Input'!O5/1000)*('Curtain Input'!P5/1000)*'Curtain Input'!N5*VLOOKUP('Curtain Input'!B5,'Weight Rules'!$B:$C,2,FALSE),0))</x:f>
      </x:c>
      <x:c r="G5" s="124" t="str">
        <x:f>IF($A5="","",IFERROR('Curtain Input'!R5/1000*VLOOKUP('Curtain Input'!Q5,'Weight Rules'!$B:$C,2,FALSE),0))</x:f>
      </x:c>
      <x:c r="H5" s="124" t="str">
        <x:f>IF($A5="","",IFERROR('Curtain Input'!T5*VLOOKUP('Curtain Input'!S5,'Weight Rules'!$B:$C,2,FALSE),0))</x:f>
      </x:c>
      <x:c r="I5" s="124" t="str">
        <x:f>IF($A5="","",IFERROR('Curtain Input'!U5*VLOOKUP("Control panel",'Weight Rules'!$B:$C,2,FALSE),0)+IFERROR('Curtain Input'!V5*VLOOKUP("Key switch",'Weight Rules'!$B:$C,2,FALSE),0)+IFERROR('Curtain Input'!W5*VLOOKUP("Emergency retract button / ERB",'Weight Rules'!$B:$C,2,FALSE),0)+IFERROR('Curtain Input'!X5*VLOOKUP("Battery &amp; mains monitor",'Weight Rules'!$B:$C,2,FALSE),0)+IFERROR('Curtain Input'!Y5*VLOOKUP("Beam sensor kit",'Weight Rules'!$B:$C,2,FALSE),0)+IFERROR('Curtain Input'!Z5*VLOOKUP("Audio visual",'Weight Rules'!$B:$C,2,FALSE),0)+IFERROR('Curtain Input'!AA5*VLOOKUP("Timer relay kit",'Weight Rules'!$B:$C,2,FALSE),0)+IFERROR('Curtain Input'!AB5*VLOOKUP("Delay / split drop",'Weight Rules'!$B:$C,2,FALSE),0))</x:f>
      </x:c>
      <x:c r="J5" s="124" t="str">
        <x:f>IF($A5="","",IFERROR(VLOOKUP('Curtain Input'!AC5,'Weight Rules'!$B:$C,2,FALSE),0))</x:f>
      </x:c>
      <x:c r="K5" s="124" t="str">
        <x:f>IF($A5="","",SUM(C5:J5))</x:f>
      </x:c>
      <x:c r="L5" s="124" t="str">
        <x:f>IF($A5="","",K5*'START HERE'!$B$16)</x:f>
      </x:c>
      <x:c r="M5" s="124" t="str">
        <x:f>IF($A5="","",K5+L5)</x:f>
      </x:c>
      <x:c r="N5" s="124" t="str">
        <x:f>IF($A5="","",K5*B5)</x:f>
      </x:c>
      <x:c r="O5" s="124" t="str">
        <x:f>IF($A5="","",M5*B5)</x:f>
      </x:c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  <x:c r="AA5" s="101"/>
      <x:c r="AB5" s="101"/>
      <x:c r="AC5" s="101"/>
      <x:c r="AD5" s="101"/>
      <x:c r="AE5" s="101"/>
    </x:row>
    <x:row r="6">
      <x:c r="A6" s="100" t="str">
        <x:f>IF('Curtain Input'!A6="","",'Curtain Input'!A6)</x:f>
      </x:c>
      <x:c r="B6" s="100" t="str">
        <x:f>IF('Curtain Input'!A6="","",'Curtain Input'!C6)</x:f>
      </x:c>
      <x:c r="C6" s="124" t="str">
        <x:f>IF($A6="","",IFERROR('Curtain Input'!G6/1000*VLOOKUP('Curtain Input'!F6,'Weight Rules'!$B:$C,2,FALSE),0))</x:f>
      </x:c>
      <x:c r="D6" s="124" t="str">
        <x:f>IF($A6="","",IFERROR('Curtain Input'!I6/1000*VLOOKUP('Curtain Input'!H6,'Weight Rules'!$B:$C,2,FALSE),0))</x:f>
      </x:c>
      <x:c r="E6" s="124" t="str">
        <x:f>IF($A6="","",IFERROR('Curtain Input'!M6/1000*'Curtain Input'!L6*VLOOKUP('Curtain Input'!K6,'Weight Rules'!$B:$C,2,FALSE),0))</x:f>
      </x:c>
      <x:c r="F6" s="124" t="str">
        <x:f>IF($A6="","",IFERROR(('Curtain Input'!O6/1000)*('Curtain Input'!P6/1000)*'Curtain Input'!N6*VLOOKUP('Curtain Input'!B6,'Weight Rules'!$B:$C,2,FALSE),0))</x:f>
      </x:c>
      <x:c r="G6" s="124" t="str">
        <x:f>IF($A6="","",IFERROR('Curtain Input'!R6/1000*VLOOKUP('Curtain Input'!Q6,'Weight Rules'!$B:$C,2,FALSE),0))</x:f>
      </x:c>
      <x:c r="H6" s="124" t="str">
        <x:f>IF($A6="","",IFERROR('Curtain Input'!T6*VLOOKUP('Curtain Input'!S6,'Weight Rules'!$B:$C,2,FALSE),0))</x:f>
      </x:c>
      <x:c r="I6" s="124" t="str">
        <x:f>IF($A6="","",IFERROR('Curtain Input'!U6*VLOOKUP("Control panel",'Weight Rules'!$B:$C,2,FALSE),0)+IFERROR('Curtain Input'!V6*VLOOKUP("Key switch",'Weight Rules'!$B:$C,2,FALSE),0)+IFERROR('Curtain Input'!W6*VLOOKUP("Emergency retract button / ERB",'Weight Rules'!$B:$C,2,FALSE),0)+IFERROR('Curtain Input'!X6*VLOOKUP("Battery &amp; mains monitor",'Weight Rules'!$B:$C,2,FALSE),0)+IFERROR('Curtain Input'!Y6*VLOOKUP("Beam sensor kit",'Weight Rules'!$B:$C,2,FALSE),0)+IFERROR('Curtain Input'!Z6*VLOOKUP("Audio visual",'Weight Rules'!$B:$C,2,FALSE),0)+IFERROR('Curtain Input'!AA6*VLOOKUP("Timer relay kit",'Weight Rules'!$B:$C,2,FALSE),0)+IFERROR('Curtain Input'!AB6*VLOOKUP("Delay / split drop",'Weight Rules'!$B:$C,2,FALSE),0))</x:f>
      </x:c>
      <x:c r="J6" s="124" t="str">
        <x:f>IF($A6="","",IFERROR(VLOOKUP('Curtain Input'!AC6,'Weight Rules'!$B:$C,2,FALSE),0))</x:f>
      </x:c>
      <x:c r="K6" s="124" t="str">
        <x:f>IF($A6="","",SUM(C6:J6))</x:f>
      </x:c>
      <x:c r="L6" s="124" t="str">
        <x:f>IF($A6="","",K6*'START HERE'!$B$16)</x:f>
      </x:c>
      <x:c r="M6" s="124" t="str">
        <x:f>IF($A6="","",K6+L6)</x:f>
      </x:c>
      <x:c r="N6" s="124" t="str">
        <x:f>IF($A6="","",K6*B6)</x:f>
      </x:c>
      <x:c r="O6" s="124" t="str">
        <x:f>IF($A6="","",M6*B6)</x:f>
      </x:c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  <x:c r="AA6" s="101"/>
      <x:c r="AB6" s="101"/>
      <x:c r="AC6" s="101"/>
      <x:c r="AD6" s="101"/>
      <x:c r="AE6" s="101"/>
    </x:row>
    <x:row r="7">
      <x:c r="A7" s="100" t="str">
        <x:f>IF('Curtain Input'!A7="","",'Curtain Input'!A7)</x:f>
      </x:c>
      <x:c r="B7" s="100" t="str">
        <x:f>IF('Curtain Input'!A7="","",'Curtain Input'!C7)</x:f>
      </x:c>
      <x:c r="C7" s="124" t="str">
        <x:f>IF($A7="","",IFERROR('Curtain Input'!G7/1000*VLOOKUP('Curtain Input'!F7,'Weight Rules'!$B:$C,2,FALSE),0))</x:f>
      </x:c>
      <x:c r="D7" s="124" t="str">
        <x:f>IF($A7="","",IFERROR('Curtain Input'!I7/1000*VLOOKUP('Curtain Input'!H7,'Weight Rules'!$B:$C,2,FALSE),0))</x:f>
      </x:c>
      <x:c r="E7" s="124" t="str">
        <x:f>IF($A7="","",IFERROR('Curtain Input'!M7/1000*'Curtain Input'!L7*VLOOKUP('Curtain Input'!K7,'Weight Rules'!$B:$C,2,FALSE),0))</x:f>
      </x:c>
      <x:c r="F7" s="124" t="str">
        <x:f>IF($A7="","",IFERROR(('Curtain Input'!O7/1000)*('Curtain Input'!P7/1000)*'Curtain Input'!N7*VLOOKUP('Curtain Input'!B7,'Weight Rules'!$B:$C,2,FALSE),0))</x:f>
      </x:c>
      <x:c r="G7" s="124" t="str">
        <x:f>IF($A7="","",IFERROR('Curtain Input'!R7/1000*VLOOKUP('Curtain Input'!Q7,'Weight Rules'!$B:$C,2,FALSE),0))</x:f>
      </x:c>
      <x:c r="H7" s="124" t="str">
        <x:f>IF($A7="","",IFERROR('Curtain Input'!T7*VLOOKUP('Curtain Input'!S7,'Weight Rules'!$B:$C,2,FALSE),0))</x:f>
      </x:c>
      <x:c r="I7" s="124" t="str">
        <x:f>IF($A7="","",IFERROR('Curtain Input'!U7*VLOOKUP("Control panel",'Weight Rules'!$B:$C,2,FALSE),0)+IFERROR('Curtain Input'!V7*VLOOKUP("Key switch",'Weight Rules'!$B:$C,2,FALSE),0)+IFERROR('Curtain Input'!W7*VLOOKUP("Emergency retract button / ERB",'Weight Rules'!$B:$C,2,FALSE),0)+IFERROR('Curtain Input'!X7*VLOOKUP("Battery &amp; mains monitor",'Weight Rules'!$B:$C,2,FALSE),0)+IFERROR('Curtain Input'!Y7*VLOOKUP("Beam sensor kit",'Weight Rules'!$B:$C,2,FALSE),0)+IFERROR('Curtain Input'!Z7*VLOOKUP("Audio visual",'Weight Rules'!$B:$C,2,FALSE),0)+IFERROR('Curtain Input'!AA7*VLOOKUP("Timer relay kit",'Weight Rules'!$B:$C,2,FALSE),0)+IFERROR('Curtain Input'!AB7*VLOOKUP("Delay / split drop",'Weight Rules'!$B:$C,2,FALSE),0))</x:f>
      </x:c>
      <x:c r="J7" s="124" t="str">
        <x:f>IF($A7="","",IFERROR(VLOOKUP('Curtain Input'!AC7,'Weight Rules'!$B:$C,2,FALSE),0))</x:f>
      </x:c>
      <x:c r="K7" s="124" t="str">
        <x:f>IF($A7="","",SUM(C7:J7))</x:f>
      </x:c>
      <x:c r="L7" s="124" t="str">
        <x:f>IF($A7="","",K7*'START HERE'!$B$16)</x:f>
      </x:c>
      <x:c r="M7" s="124" t="str">
        <x:f>IF($A7="","",K7+L7)</x:f>
      </x:c>
      <x:c r="N7" s="124" t="str">
        <x:f>IF($A7="","",K7*B7)</x:f>
      </x:c>
      <x:c r="O7" s="124" t="str">
        <x:f>IF($A7="","",M7*B7)</x:f>
      </x:c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  <x:c r="AA7" s="101"/>
      <x:c r="AB7" s="101"/>
      <x:c r="AC7" s="101"/>
      <x:c r="AD7" s="101"/>
      <x:c r="AE7" s="101"/>
    </x:row>
    <x:row r="8">
      <x:c r="A8" s="100" t="str">
        <x:f>IF('Curtain Input'!A8="","",'Curtain Input'!A8)</x:f>
      </x:c>
      <x:c r="B8" s="100" t="str">
        <x:f>IF('Curtain Input'!A8="","",'Curtain Input'!C8)</x:f>
      </x:c>
      <x:c r="C8" s="124" t="str">
        <x:f>IF($A8="","",IFERROR('Curtain Input'!G8/1000*VLOOKUP('Curtain Input'!F8,'Weight Rules'!$B:$C,2,FALSE),0))</x:f>
      </x:c>
      <x:c r="D8" s="124" t="str">
        <x:f>IF($A8="","",IFERROR('Curtain Input'!I8/1000*VLOOKUP('Curtain Input'!H8,'Weight Rules'!$B:$C,2,FALSE),0))</x:f>
      </x:c>
      <x:c r="E8" s="124" t="str">
        <x:f>IF($A8="","",IFERROR('Curtain Input'!M8/1000*'Curtain Input'!L8*VLOOKUP('Curtain Input'!K8,'Weight Rules'!$B:$C,2,FALSE),0))</x:f>
      </x:c>
      <x:c r="F8" s="124" t="str">
        <x:f>IF($A8="","",IFERROR(('Curtain Input'!O8/1000)*('Curtain Input'!P8/1000)*'Curtain Input'!N8*VLOOKUP('Curtain Input'!B8,'Weight Rules'!$B:$C,2,FALSE),0))</x:f>
      </x:c>
      <x:c r="G8" s="124" t="str">
        <x:f>IF($A8="","",IFERROR('Curtain Input'!R8/1000*VLOOKUP('Curtain Input'!Q8,'Weight Rules'!$B:$C,2,FALSE),0))</x:f>
      </x:c>
      <x:c r="H8" s="124" t="str">
        <x:f>IF($A8="","",IFERROR('Curtain Input'!T8*VLOOKUP('Curtain Input'!S8,'Weight Rules'!$B:$C,2,FALSE),0))</x:f>
      </x:c>
      <x:c r="I8" s="124" t="str">
        <x:f>IF($A8="","",IFERROR('Curtain Input'!U8*VLOOKUP("Control panel",'Weight Rules'!$B:$C,2,FALSE),0)+IFERROR('Curtain Input'!V8*VLOOKUP("Key switch",'Weight Rules'!$B:$C,2,FALSE),0)+IFERROR('Curtain Input'!W8*VLOOKUP("Emergency retract button / ERB",'Weight Rules'!$B:$C,2,FALSE),0)+IFERROR('Curtain Input'!X8*VLOOKUP("Battery &amp; mains monitor",'Weight Rules'!$B:$C,2,FALSE),0)+IFERROR('Curtain Input'!Y8*VLOOKUP("Beam sensor kit",'Weight Rules'!$B:$C,2,FALSE),0)+IFERROR('Curtain Input'!Z8*VLOOKUP("Audio visual",'Weight Rules'!$B:$C,2,FALSE),0)+IFERROR('Curtain Input'!AA8*VLOOKUP("Timer relay kit",'Weight Rules'!$B:$C,2,FALSE),0)+IFERROR('Curtain Input'!AB8*VLOOKUP("Delay / split drop",'Weight Rules'!$B:$C,2,FALSE),0))</x:f>
      </x:c>
      <x:c r="J8" s="124" t="str">
        <x:f>IF($A8="","",IFERROR(VLOOKUP('Curtain Input'!AC8,'Weight Rules'!$B:$C,2,FALSE),0))</x:f>
      </x:c>
      <x:c r="K8" s="124" t="str">
        <x:f>IF($A8="","",SUM(C8:J8))</x:f>
      </x:c>
      <x:c r="L8" s="124" t="str">
        <x:f>IF($A8="","",K8*'START HERE'!$B$16)</x:f>
      </x:c>
      <x:c r="M8" s="124" t="str">
        <x:f>IF($A8="","",K8+L8)</x:f>
      </x:c>
      <x:c r="N8" s="124" t="str">
        <x:f>IF($A8="","",K8*B8)</x:f>
      </x:c>
      <x:c r="O8" s="124" t="str">
        <x:f>IF($A8="","",M8*B8)</x:f>
      </x:c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  <x:c r="AA8" s="101"/>
      <x:c r="AB8" s="101"/>
      <x:c r="AC8" s="101"/>
      <x:c r="AD8" s="101"/>
      <x:c r="AE8" s="101"/>
    </x:row>
    <x:row r="9">
      <x:c r="A9" s="100" t="str">
        <x:f>IF('Curtain Input'!A9="","",'Curtain Input'!A9)</x:f>
      </x:c>
      <x:c r="B9" s="100" t="str">
        <x:f>IF('Curtain Input'!A9="","",'Curtain Input'!C9)</x:f>
      </x:c>
      <x:c r="C9" s="124" t="str">
        <x:f>IF($A9="","",IFERROR('Curtain Input'!G9/1000*VLOOKUP('Curtain Input'!F9,'Weight Rules'!$B:$C,2,FALSE),0))</x:f>
      </x:c>
      <x:c r="D9" s="124" t="str">
        <x:f>IF($A9="","",IFERROR('Curtain Input'!I9/1000*VLOOKUP('Curtain Input'!H9,'Weight Rules'!$B:$C,2,FALSE),0))</x:f>
      </x:c>
      <x:c r="E9" s="124" t="str">
        <x:f>IF($A9="","",IFERROR('Curtain Input'!M9/1000*'Curtain Input'!L9*VLOOKUP('Curtain Input'!K9,'Weight Rules'!$B:$C,2,FALSE),0))</x:f>
      </x:c>
      <x:c r="F9" s="124" t="str">
        <x:f>IF($A9="","",IFERROR(('Curtain Input'!O9/1000)*('Curtain Input'!P9/1000)*'Curtain Input'!N9*VLOOKUP('Curtain Input'!B9,'Weight Rules'!$B:$C,2,FALSE),0))</x:f>
      </x:c>
      <x:c r="G9" s="124" t="str">
        <x:f>IF($A9="","",IFERROR('Curtain Input'!R9/1000*VLOOKUP('Curtain Input'!Q9,'Weight Rules'!$B:$C,2,FALSE),0))</x:f>
      </x:c>
      <x:c r="H9" s="124" t="str">
        <x:f>IF($A9="","",IFERROR('Curtain Input'!T9*VLOOKUP('Curtain Input'!S9,'Weight Rules'!$B:$C,2,FALSE),0))</x:f>
      </x:c>
      <x:c r="I9" s="124" t="str">
        <x:f>IF($A9="","",IFERROR('Curtain Input'!U9*VLOOKUP("Control panel",'Weight Rules'!$B:$C,2,FALSE),0)+IFERROR('Curtain Input'!V9*VLOOKUP("Key switch",'Weight Rules'!$B:$C,2,FALSE),0)+IFERROR('Curtain Input'!W9*VLOOKUP("Emergency retract button / ERB",'Weight Rules'!$B:$C,2,FALSE),0)+IFERROR('Curtain Input'!X9*VLOOKUP("Battery &amp; mains monitor",'Weight Rules'!$B:$C,2,FALSE),0)+IFERROR('Curtain Input'!Y9*VLOOKUP("Beam sensor kit",'Weight Rules'!$B:$C,2,FALSE),0)+IFERROR('Curtain Input'!Z9*VLOOKUP("Audio visual",'Weight Rules'!$B:$C,2,FALSE),0)+IFERROR('Curtain Input'!AA9*VLOOKUP("Timer relay kit",'Weight Rules'!$B:$C,2,FALSE),0)+IFERROR('Curtain Input'!AB9*VLOOKUP("Delay / split drop",'Weight Rules'!$B:$C,2,FALSE),0))</x:f>
      </x:c>
      <x:c r="J9" s="124" t="str">
        <x:f>IF($A9="","",IFERROR(VLOOKUP('Curtain Input'!AC9,'Weight Rules'!$B:$C,2,FALSE),0))</x:f>
      </x:c>
      <x:c r="K9" s="124" t="str">
        <x:f>IF($A9="","",SUM(C9:J9))</x:f>
      </x:c>
      <x:c r="L9" s="124" t="str">
        <x:f>IF($A9="","",K9*'START HERE'!$B$16)</x:f>
      </x:c>
      <x:c r="M9" s="124" t="str">
        <x:f>IF($A9="","",K9+L9)</x:f>
      </x:c>
      <x:c r="N9" s="124" t="str">
        <x:f>IF($A9="","",K9*B9)</x:f>
      </x:c>
      <x:c r="O9" s="124" t="str">
        <x:f>IF($A9="","",M9*B9)</x:f>
      </x:c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  <x:c r="AA9" s="101"/>
      <x:c r="AB9" s="101"/>
      <x:c r="AC9" s="101"/>
      <x:c r="AD9" s="101"/>
      <x:c r="AE9" s="101"/>
    </x:row>
    <x:row r="10">
      <x:c r="A10" s="100" t="str">
        <x:f>IF('Curtain Input'!A10="","",'Curtain Input'!A10)</x:f>
      </x:c>
      <x:c r="B10" s="100" t="str">
        <x:f>IF('Curtain Input'!A10="","",'Curtain Input'!C10)</x:f>
      </x:c>
      <x:c r="C10" s="124" t="str">
        <x:f>IF($A10="","",IFERROR('Curtain Input'!G10/1000*VLOOKUP('Curtain Input'!F10,'Weight Rules'!$B:$C,2,FALSE),0))</x:f>
      </x:c>
      <x:c r="D10" s="124" t="str">
        <x:f>IF($A10="","",IFERROR('Curtain Input'!I10/1000*VLOOKUP('Curtain Input'!H10,'Weight Rules'!$B:$C,2,FALSE),0))</x:f>
      </x:c>
      <x:c r="E10" s="124" t="str">
        <x:f>IF($A10="","",IFERROR('Curtain Input'!M10/1000*'Curtain Input'!L10*VLOOKUP('Curtain Input'!K10,'Weight Rules'!$B:$C,2,FALSE),0))</x:f>
      </x:c>
      <x:c r="F10" s="124" t="str">
        <x:f>IF($A10="","",IFERROR(('Curtain Input'!O10/1000)*('Curtain Input'!P10/1000)*'Curtain Input'!N10*VLOOKUP('Curtain Input'!B10,'Weight Rules'!$B:$C,2,FALSE),0))</x:f>
      </x:c>
      <x:c r="G10" s="124" t="str">
        <x:f>IF($A10="","",IFERROR('Curtain Input'!R10/1000*VLOOKUP('Curtain Input'!Q10,'Weight Rules'!$B:$C,2,FALSE),0))</x:f>
      </x:c>
      <x:c r="H10" s="124" t="str">
        <x:f>IF($A10="","",IFERROR('Curtain Input'!T10*VLOOKUP('Curtain Input'!S10,'Weight Rules'!$B:$C,2,FALSE),0))</x:f>
      </x:c>
      <x:c r="I10" s="124" t="str">
        <x:f>IF($A10="","",IFERROR('Curtain Input'!U10*VLOOKUP("Control panel",'Weight Rules'!$B:$C,2,FALSE),0)+IFERROR('Curtain Input'!V10*VLOOKUP("Key switch",'Weight Rules'!$B:$C,2,FALSE),0)+IFERROR('Curtain Input'!W10*VLOOKUP("Emergency retract button / ERB",'Weight Rules'!$B:$C,2,FALSE),0)+IFERROR('Curtain Input'!X10*VLOOKUP("Battery &amp; mains monitor",'Weight Rules'!$B:$C,2,FALSE),0)+IFERROR('Curtain Input'!Y10*VLOOKUP("Beam sensor kit",'Weight Rules'!$B:$C,2,FALSE),0)+IFERROR('Curtain Input'!Z10*VLOOKUP("Audio visual",'Weight Rules'!$B:$C,2,FALSE),0)+IFERROR('Curtain Input'!AA10*VLOOKUP("Timer relay kit",'Weight Rules'!$B:$C,2,FALSE),0)+IFERROR('Curtain Input'!AB10*VLOOKUP("Delay / split drop",'Weight Rules'!$B:$C,2,FALSE),0))</x:f>
      </x:c>
      <x:c r="J10" s="124" t="str">
        <x:f>IF($A10="","",IFERROR(VLOOKUP('Curtain Input'!AC10,'Weight Rules'!$B:$C,2,FALSE),0))</x:f>
      </x:c>
      <x:c r="K10" s="124" t="str">
        <x:f>IF($A10="","",SUM(C10:J10))</x:f>
      </x:c>
      <x:c r="L10" s="124" t="str">
        <x:f>IF($A10="","",K10*'START HERE'!$B$16)</x:f>
      </x:c>
      <x:c r="M10" s="124" t="str">
        <x:f>IF($A10="","",K10+L10)</x:f>
      </x:c>
      <x:c r="N10" s="124" t="str">
        <x:f>IF($A10="","",K10*B10)</x:f>
      </x:c>
      <x:c r="O10" s="124" t="str">
        <x:f>IF($A10="","",M10*B10)</x:f>
      </x:c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  <x:c r="AA10" s="101"/>
      <x:c r="AB10" s="101"/>
      <x:c r="AC10" s="101"/>
      <x:c r="AD10" s="101"/>
      <x:c r="AE10" s="101"/>
    </x:row>
    <x:row r="11">
      <x:c r="A11" s="100" t="str">
        <x:f>IF('Curtain Input'!A11="","",'Curtain Input'!A11)</x:f>
      </x:c>
      <x:c r="B11" s="100" t="str">
        <x:f>IF('Curtain Input'!A11="","",'Curtain Input'!C11)</x:f>
      </x:c>
      <x:c r="C11" s="124" t="str">
        <x:f>IF($A11="","",IFERROR('Curtain Input'!G11/1000*VLOOKUP('Curtain Input'!F11,'Weight Rules'!$B:$C,2,FALSE),0))</x:f>
      </x:c>
      <x:c r="D11" s="124" t="str">
        <x:f>IF($A11="","",IFERROR('Curtain Input'!I11/1000*VLOOKUP('Curtain Input'!H11,'Weight Rules'!$B:$C,2,FALSE),0))</x:f>
      </x:c>
      <x:c r="E11" s="124" t="str">
        <x:f>IF($A11="","",IFERROR('Curtain Input'!M11/1000*'Curtain Input'!L11*VLOOKUP('Curtain Input'!K11,'Weight Rules'!$B:$C,2,FALSE),0))</x:f>
      </x:c>
      <x:c r="F11" s="124" t="str">
        <x:f>IF($A11="","",IFERROR(('Curtain Input'!O11/1000)*('Curtain Input'!P11/1000)*'Curtain Input'!N11*VLOOKUP('Curtain Input'!B11,'Weight Rules'!$B:$C,2,FALSE),0))</x:f>
      </x:c>
      <x:c r="G11" s="124" t="str">
        <x:f>IF($A11="","",IFERROR('Curtain Input'!R11/1000*VLOOKUP('Curtain Input'!Q11,'Weight Rules'!$B:$C,2,FALSE),0))</x:f>
      </x:c>
      <x:c r="H11" s="124" t="str">
        <x:f>IF($A11="","",IFERROR('Curtain Input'!T11*VLOOKUP('Curtain Input'!S11,'Weight Rules'!$B:$C,2,FALSE),0))</x:f>
      </x:c>
      <x:c r="I11" s="124" t="str">
        <x:f>IF($A11="","",IFERROR('Curtain Input'!U11*VLOOKUP("Control panel",'Weight Rules'!$B:$C,2,FALSE),0)+IFERROR('Curtain Input'!V11*VLOOKUP("Key switch",'Weight Rules'!$B:$C,2,FALSE),0)+IFERROR('Curtain Input'!W11*VLOOKUP("Emergency retract button / ERB",'Weight Rules'!$B:$C,2,FALSE),0)+IFERROR('Curtain Input'!X11*VLOOKUP("Battery &amp; mains monitor",'Weight Rules'!$B:$C,2,FALSE),0)+IFERROR('Curtain Input'!Y11*VLOOKUP("Beam sensor kit",'Weight Rules'!$B:$C,2,FALSE),0)+IFERROR('Curtain Input'!Z11*VLOOKUP("Audio visual",'Weight Rules'!$B:$C,2,FALSE),0)+IFERROR('Curtain Input'!AA11*VLOOKUP("Timer relay kit",'Weight Rules'!$B:$C,2,FALSE),0)+IFERROR('Curtain Input'!AB11*VLOOKUP("Delay / split drop",'Weight Rules'!$B:$C,2,FALSE),0))</x:f>
      </x:c>
      <x:c r="J11" s="124" t="str">
        <x:f>IF($A11="","",IFERROR(VLOOKUP('Curtain Input'!AC11,'Weight Rules'!$B:$C,2,FALSE),0))</x:f>
      </x:c>
      <x:c r="K11" s="124" t="str">
        <x:f>IF($A11="","",SUM(C11:J11))</x:f>
      </x:c>
      <x:c r="L11" s="124" t="str">
        <x:f>IF($A11="","",K11*'START HERE'!$B$16)</x:f>
      </x:c>
      <x:c r="M11" s="124" t="str">
        <x:f>IF($A11="","",K11+L11)</x:f>
      </x:c>
      <x:c r="N11" s="124" t="str">
        <x:f>IF($A11="","",K11*B11)</x:f>
      </x:c>
      <x:c r="O11" s="124" t="str">
        <x:f>IF($A11="","",M11*B11)</x:f>
      </x:c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  <x:c r="AA11" s="101"/>
      <x:c r="AB11" s="101"/>
      <x:c r="AC11" s="101"/>
      <x:c r="AD11" s="101"/>
      <x:c r="AE11" s="101"/>
    </x:row>
    <x:row r="12">
      <x:c r="A12" s="100" t="str">
        <x:f>IF('Curtain Input'!A12="","",'Curtain Input'!A12)</x:f>
      </x:c>
      <x:c r="B12" s="100" t="str">
        <x:f>IF('Curtain Input'!A12="","",'Curtain Input'!C12)</x:f>
      </x:c>
      <x:c r="C12" s="124" t="str">
        <x:f>IF($A12="","",IFERROR('Curtain Input'!G12/1000*VLOOKUP('Curtain Input'!F12,'Weight Rules'!$B:$C,2,FALSE),0))</x:f>
      </x:c>
      <x:c r="D12" s="124" t="str">
        <x:f>IF($A12="","",IFERROR('Curtain Input'!I12/1000*VLOOKUP('Curtain Input'!H12,'Weight Rules'!$B:$C,2,FALSE),0))</x:f>
      </x:c>
      <x:c r="E12" s="124" t="str">
        <x:f>IF($A12="","",IFERROR('Curtain Input'!M12/1000*'Curtain Input'!L12*VLOOKUP('Curtain Input'!K12,'Weight Rules'!$B:$C,2,FALSE),0))</x:f>
      </x:c>
      <x:c r="F12" s="124" t="str">
        <x:f>IF($A12="","",IFERROR(('Curtain Input'!O12/1000)*('Curtain Input'!P12/1000)*'Curtain Input'!N12*VLOOKUP('Curtain Input'!B12,'Weight Rules'!$B:$C,2,FALSE),0))</x:f>
      </x:c>
      <x:c r="G12" s="124" t="str">
        <x:f>IF($A12="","",IFERROR('Curtain Input'!R12/1000*VLOOKUP('Curtain Input'!Q12,'Weight Rules'!$B:$C,2,FALSE),0))</x:f>
      </x:c>
      <x:c r="H12" s="124" t="str">
        <x:f>IF($A12="","",IFERROR('Curtain Input'!T12*VLOOKUP('Curtain Input'!S12,'Weight Rules'!$B:$C,2,FALSE),0))</x:f>
      </x:c>
      <x:c r="I12" s="124" t="str">
        <x:f>IF($A12="","",IFERROR('Curtain Input'!U12*VLOOKUP("Control panel",'Weight Rules'!$B:$C,2,FALSE),0)+IFERROR('Curtain Input'!V12*VLOOKUP("Key switch",'Weight Rules'!$B:$C,2,FALSE),0)+IFERROR('Curtain Input'!W12*VLOOKUP("Emergency retract button / ERB",'Weight Rules'!$B:$C,2,FALSE),0)+IFERROR('Curtain Input'!X12*VLOOKUP("Battery &amp; mains monitor",'Weight Rules'!$B:$C,2,FALSE),0)+IFERROR('Curtain Input'!Y12*VLOOKUP("Beam sensor kit",'Weight Rules'!$B:$C,2,FALSE),0)+IFERROR('Curtain Input'!Z12*VLOOKUP("Audio visual",'Weight Rules'!$B:$C,2,FALSE),0)+IFERROR('Curtain Input'!AA12*VLOOKUP("Timer relay kit",'Weight Rules'!$B:$C,2,FALSE),0)+IFERROR('Curtain Input'!AB12*VLOOKUP("Delay / split drop",'Weight Rules'!$B:$C,2,FALSE),0))</x:f>
      </x:c>
      <x:c r="J12" s="124" t="str">
        <x:f>IF($A12="","",IFERROR(VLOOKUP('Curtain Input'!AC12,'Weight Rules'!$B:$C,2,FALSE),0))</x:f>
      </x:c>
      <x:c r="K12" s="124" t="str">
        <x:f>IF($A12="","",SUM(C12:J12))</x:f>
      </x:c>
      <x:c r="L12" s="124" t="str">
        <x:f>IF($A12="","",K12*'START HERE'!$B$16)</x:f>
      </x:c>
      <x:c r="M12" s="124" t="str">
        <x:f>IF($A12="","",K12+L12)</x:f>
      </x:c>
      <x:c r="N12" s="124" t="str">
        <x:f>IF($A12="","",K12*B12)</x:f>
      </x:c>
      <x:c r="O12" s="124" t="str">
        <x:f>IF($A12="","",M12*B12)</x:f>
      </x:c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  <x:c r="AA12" s="101"/>
      <x:c r="AB12" s="101"/>
      <x:c r="AC12" s="101"/>
      <x:c r="AD12" s="101"/>
      <x:c r="AE12" s="101"/>
    </x:row>
    <x:row r="13">
      <x:c r="A13" s="100" t="str">
        <x:f>IF('Curtain Input'!A13="","",'Curtain Input'!A13)</x:f>
      </x:c>
      <x:c r="B13" s="100" t="str">
        <x:f>IF('Curtain Input'!A13="","",'Curtain Input'!C13)</x:f>
      </x:c>
      <x:c r="C13" s="124" t="str">
        <x:f>IF($A13="","",IFERROR('Curtain Input'!G13/1000*VLOOKUP('Curtain Input'!F13,'Weight Rules'!$B:$C,2,FALSE),0))</x:f>
      </x:c>
      <x:c r="D13" s="124" t="str">
        <x:f>IF($A13="","",IFERROR('Curtain Input'!I13/1000*VLOOKUP('Curtain Input'!H13,'Weight Rules'!$B:$C,2,FALSE),0))</x:f>
      </x:c>
      <x:c r="E13" s="124" t="str">
        <x:f>IF($A13="","",IFERROR('Curtain Input'!M13/1000*'Curtain Input'!L13*VLOOKUP('Curtain Input'!K13,'Weight Rules'!$B:$C,2,FALSE),0))</x:f>
      </x:c>
      <x:c r="F13" s="124" t="str">
        <x:f>IF($A13="","",IFERROR(('Curtain Input'!O13/1000)*('Curtain Input'!P13/1000)*'Curtain Input'!N13*VLOOKUP('Curtain Input'!B13,'Weight Rules'!$B:$C,2,FALSE),0))</x:f>
      </x:c>
      <x:c r="G13" s="124" t="str">
        <x:f>IF($A13="","",IFERROR('Curtain Input'!R13/1000*VLOOKUP('Curtain Input'!Q13,'Weight Rules'!$B:$C,2,FALSE),0))</x:f>
      </x:c>
      <x:c r="H13" s="124" t="str">
        <x:f>IF($A13="","",IFERROR('Curtain Input'!T13*VLOOKUP('Curtain Input'!S13,'Weight Rules'!$B:$C,2,FALSE),0))</x:f>
      </x:c>
      <x:c r="I13" s="124" t="str">
        <x:f>IF($A13="","",IFERROR('Curtain Input'!U13*VLOOKUP("Control panel",'Weight Rules'!$B:$C,2,FALSE),0)+IFERROR('Curtain Input'!V13*VLOOKUP("Key switch",'Weight Rules'!$B:$C,2,FALSE),0)+IFERROR('Curtain Input'!W13*VLOOKUP("Emergency retract button / ERB",'Weight Rules'!$B:$C,2,FALSE),0)+IFERROR('Curtain Input'!X13*VLOOKUP("Battery &amp; mains monitor",'Weight Rules'!$B:$C,2,FALSE),0)+IFERROR('Curtain Input'!Y13*VLOOKUP("Beam sensor kit",'Weight Rules'!$B:$C,2,FALSE),0)+IFERROR('Curtain Input'!Z13*VLOOKUP("Audio visual",'Weight Rules'!$B:$C,2,FALSE),0)+IFERROR('Curtain Input'!AA13*VLOOKUP("Timer relay kit",'Weight Rules'!$B:$C,2,FALSE),0)+IFERROR('Curtain Input'!AB13*VLOOKUP("Delay / split drop",'Weight Rules'!$B:$C,2,FALSE),0))</x:f>
      </x:c>
      <x:c r="J13" s="124" t="str">
        <x:f>IF($A13="","",IFERROR(VLOOKUP('Curtain Input'!AC13,'Weight Rules'!$B:$C,2,FALSE),0))</x:f>
      </x:c>
      <x:c r="K13" s="124" t="str">
        <x:f>IF($A13="","",SUM(C13:J13))</x:f>
      </x:c>
      <x:c r="L13" s="124" t="str">
        <x:f>IF($A13="","",K13*'START HERE'!$B$16)</x:f>
      </x:c>
      <x:c r="M13" s="124" t="str">
        <x:f>IF($A13="","",K13+L13)</x:f>
      </x:c>
      <x:c r="N13" s="124" t="str">
        <x:f>IF($A13="","",K13*B13)</x:f>
      </x:c>
      <x:c r="O13" s="124" t="str">
        <x:f>IF($A13="","",M13*B13)</x:f>
      </x:c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  <x:c r="AA13" s="101"/>
      <x:c r="AB13" s="101"/>
      <x:c r="AC13" s="101"/>
      <x:c r="AD13" s="101"/>
      <x:c r="AE13" s="101"/>
    </x:row>
    <x:row r="14">
      <x:c r="A14" s="100" t="str">
        <x:f>IF('Curtain Input'!A14="","",'Curtain Input'!A14)</x:f>
      </x:c>
      <x:c r="B14" s="100" t="str">
        <x:f>IF('Curtain Input'!A14="","",'Curtain Input'!C14)</x:f>
      </x:c>
      <x:c r="C14" s="124" t="str">
        <x:f>IF($A14="","",IFERROR('Curtain Input'!G14/1000*VLOOKUP('Curtain Input'!F14,'Weight Rules'!$B:$C,2,FALSE),0))</x:f>
      </x:c>
      <x:c r="D14" s="124" t="str">
        <x:f>IF($A14="","",IFERROR('Curtain Input'!I14/1000*VLOOKUP('Curtain Input'!H14,'Weight Rules'!$B:$C,2,FALSE),0))</x:f>
      </x:c>
      <x:c r="E14" s="124" t="str">
        <x:f>IF($A14="","",IFERROR('Curtain Input'!M14/1000*'Curtain Input'!L14*VLOOKUP('Curtain Input'!K14,'Weight Rules'!$B:$C,2,FALSE),0))</x:f>
      </x:c>
      <x:c r="F14" s="124" t="str">
        <x:f>IF($A14="","",IFERROR(('Curtain Input'!O14/1000)*('Curtain Input'!P14/1000)*'Curtain Input'!N14*VLOOKUP('Curtain Input'!B14,'Weight Rules'!$B:$C,2,FALSE),0))</x:f>
      </x:c>
      <x:c r="G14" s="124" t="str">
        <x:f>IF($A14="","",IFERROR('Curtain Input'!R14/1000*VLOOKUP('Curtain Input'!Q14,'Weight Rules'!$B:$C,2,FALSE),0))</x:f>
      </x:c>
      <x:c r="H14" s="124" t="str">
        <x:f>IF($A14="","",IFERROR('Curtain Input'!T14*VLOOKUP('Curtain Input'!S14,'Weight Rules'!$B:$C,2,FALSE),0))</x:f>
      </x:c>
      <x:c r="I14" s="124" t="str">
        <x:f>IF($A14="","",IFERROR('Curtain Input'!U14*VLOOKUP("Control panel",'Weight Rules'!$B:$C,2,FALSE),0)+IFERROR('Curtain Input'!V14*VLOOKUP("Key switch",'Weight Rules'!$B:$C,2,FALSE),0)+IFERROR('Curtain Input'!W14*VLOOKUP("Emergency retract button / ERB",'Weight Rules'!$B:$C,2,FALSE),0)+IFERROR('Curtain Input'!X14*VLOOKUP("Battery &amp; mains monitor",'Weight Rules'!$B:$C,2,FALSE),0)+IFERROR('Curtain Input'!Y14*VLOOKUP("Beam sensor kit",'Weight Rules'!$B:$C,2,FALSE),0)+IFERROR('Curtain Input'!Z14*VLOOKUP("Audio visual",'Weight Rules'!$B:$C,2,FALSE),0)+IFERROR('Curtain Input'!AA14*VLOOKUP("Timer relay kit",'Weight Rules'!$B:$C,2,FALSE),0)+IFERROR('Curtain Input'!AB14*VLOOKUP("Delay / split drop",'Weight Rules'!$B:$C,2,FALSE),0))</x:f>
      </x:c>
      <x:c r="J14" s="124" t="str">
        <x:f>IF($A14="","",IFERROR(VLOOKUP('Curtain Input'!AC14,'Weight Rules'!$B:$C,2,FALSE),0))</x:f>
      </x:c>
      <x:c r="K14" s="124" t="str">
        <x:f>IF($A14="","",SUM(C14:J14))</x:f>
      </x:c>
      <x:c r="L14" s="124" t="str">
        <x:f>IF($A14="","",K14*'START HERE'!$B$16)</x:f>
      </x:c>
      <x:c r="M14" s="124" t="str">
        <x:f>IF($A14="","",K14+L14)</x:f>
      </x:c>
      <x:c r="N14" s="124" t="str">
        <x:f>IF($A14="","",K14*B14)</x:f>
      </x:c>
      <x:c r="O14" s="124" t="str">
        <x:f>IF($A14="","",M14*B14)</x:f>
      </x:c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  <x:c r="AA14" s="101"/>
      <x:c r="AB14" s="101"/>
      <x:c r="AC14" s="101"/>
      <x:c r="AD14" s="101"/>
      <x:c r="AE14" s="101"/>
    </x:row>
    <x:row r="15">
      <x:c r="A15" s="100" t="str">
        <x:f>IF('Curtain Input'!A15="","",'Curtain Input'!A15)</x:f>
      </x:c>
      <x:c r="B15" s="100" t="str">
        <x:f>IF('Curtain Input'!A15="","",'Curtain Input'!C15)</x:f>
      </x:c>
      <x:c r="C15" s="124" t="str">
        <x:f>IF($A15="","",IFERROR('Curtain Input'!G15/1000*VLOOKUP('Curtain Input'!F15,'Weight Rules'!$B:$C,2,FALSE),0))</x:f>
      </x:c>
      <x:c r="D15" s="124" t="str">
        <x:f>IF($A15="","",IFERROR('Curtain Input'!I15/1000*VLOOKUP('Curtain Input'!H15,'Weight Rules'!$B:$C,2,FALSE),0))</x:f>
      </x:c>
      <x:c r="E15" s="124" t="str">
        <x:f>IF($A15="","",IFERROR('Curtain Input'!M15/1000*'Curtain Input'!L15*VLOOKUP('Curtain Input'!K15,'Weight Rules'!$B:$C,2,FALSE),0))</x:f>
      </x:c>
      <x:c r="F15" s="124" t="str">
        <x:f>IF($A15="","",IFERROR(('Curtain Input'!O15/1000)*('Curtain Input'!P15/1000)*'Curtain Input'!N15*VLOOKUP('Curtain Input'!B15,'Weight Rules'!$B:$C,2,FALSE),0))</x:f>
      </x:c>
      <x:c r="G15" s="124" t="str">
        <x:f>IF($A15="","",IFERROR('Curtain Input'!R15/1000*VLOOKUP('Curtain Input'!Q15,'Weight Rules'!$B:$C,2,FALSE),0))</x:f>
      </x:c>
      <x:c r="H15" s="124" t="str">
        <x:f>IF($A15="","",IFERROR('Curtain Input'!T15*VLOOKUP('Curtain Input'!S15,'Weight Rules'!$B:$C,2,FALSE),0))</x:f>
      </x:c>
      <x:c r="I15" s="124" t="str">
        <x:f>IF($A15="","",IFERROR('Curtain Input'!U15*VLOOKUP("Control panel",'Weight Rules'!$B:$C,2,FALSE),0)+IFERROR('Curtain Input'!V15*VLOOKUP("Key switch",'Weight Rules'!$B:$C,2,FALSE),0)+IFERROR('Curtain Input'!W15*VLOOKUP("Emergency retract button / ERB",'Weight Rules'!$B:$C,2,FALSE),0)+IFERROR('Curtain Input'!X15*VLOOKUP("Battery &amp; mains monitor",'Weight Rules'!$B:$C,2,FALSE),0)+IFERROR('Curtain Input'!Y15*VLOOKUP("Beam sensor kit",'Weight Rules'!$B:$C,2,FALSE),0)+IFERROR('Curtain Input'!Z15*VLOOKUP("Audio visual",'Weight Rules'!$B:$C,2,FALSE),0)+IFERROR('Curtain Input'!AA15*VLOOKUP("Timer relay kit",'Weight Rules'!$B:$C,2,FALSE),0)+IFERROR('Curtain Input'!AB15*VLOOKUP("Delay / split drop",'Weight Rules'!$B:$C,2,FALSE),0))</x:f>
      </x:c>
      <x:c r="J15" s="124" t="str">
        <x:f>IF($A15="","",IFERROR(VLOOKUP('Curtain Input'!AC15,'Weight Rules'!$B:$C,2,FALSE),0))</x:f>
      </x:c>
      <x:c r="K15" s="124" t="str">
        <x:f>IF($A15="","",SUM(C15:J15))</x:f>
      </x:c>
      <x:c r="L15" s="124" t="str">
        <x:f>IF($A15="","",K15*'START HERE'!$B$16)</x:f>
      </x:c>
      <x:c r="M15" s="124" t="str">
        <x:f>IF($A15="","",K15+L15)</x:f>
      </x:c>
      <x:c r="N15" s="124" t="str">
        <x:f>IF($A15="","",K15*B15)</x:f>
      </x:c>
      <x:c r="O15" s="124" t="str">
        <x:f>IF($A15="","",M15*B15)</x:f>
      </x:c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  <x:c r="AA15" s="101"/>
      <x:c r="AB15" s="101"/>
      <x:c r="AC15" s="101"/>
      <x:c r="AD15" s="101"/>
      <x:c r="AE15" s="101"/>
    </x:row>
    <x:row r="16">
      <x:c r="A16" s="100" t="str">
        <x:f>IF('Curtain Input'!A16="","",'Curtain Input'!A16)</x:f>
      </x:c>
      <x:c r="B16" s="100" t="str">
        <x:f>IF('Curtain Input'!A16="","",'Curtain Input'!C16)</x:f>
      </x:c>
      <x:c r="C16" s="124" t="str">
        <x:f>IF($A16="","",IFERROR('Curtain Input'!G16/1000*VLOOKUP('Curtain Input'!F16,'Weight Rules'!$B:$C,2,FALSE),0))</x:f>
      </x:c>
      <x:c r="D16" s="124" t="str">
        <x:f>IF($A16="","",IFERROR('Curtain Input'!I16/1000*VLOOKUP('Curtain Input'!H16,'Weight Rules'!$B:$C,2,FALSE),0))</x:f>
      </x:c>
      <x:c r="E16" s="124" t="str">
        <x:f>IF($A16="","",IFERROR('Curtain Input'!M16/1000*'Curtain Input'!L16*VLOOKUP('Curtain Input'!K16,'Weight Rules'!$B:$C,2,FALSE),0))</x:f>
      </x:c>
      <x:c r="F16" s="124" t="str">
        <x:f>IF($A16="","",IFERROR(('Curtain Input'!O16/1000)*('Curtain Input'!P16/1000)*'Curtain Input'!N16*VLOOKUP('Curtain Input'!B16,'Weight Rules'!$B:$C,2,FALSE),0))</x:f>
      </x:c>
      <x:c r="G16" s="124" t="str">
        <x:f>IF($A16="","",IFERROR('Curtain Input'!R16/1000*VLOOKUP('Curtain Input'!Q16,'Weight Rules'!$B:$C,2,FALSE),0))</x:f>
      </x:c>
      <x:c r="H16" s="124" t="str">
        <x:f>IF($A16="","",IFERROR('Curtain Input'!T16*VLOOKUP('Curtain Input'!S16,'Weight Rules'!$B:$C,2,FALSE),0))</x:f>
      </x:c>
      <x:c r="I16" s="124" t="str">
        <x:f>IF($A16="","",IFERROR('Curtain Input'!U16*VLOOKUP("Control panel",'Weight Rules'!$B:$C,2,FALSE),0)+IFERROR('Curtain Input'!V16*VLOOKUP("Key switch",'Weight Rules'!$B:$C,2,FALSE),0)+IFERROR('Curtain Input'!W16*VLOOKUP("Emergency retract button / ERB",'Weight Rules'!$B:$C,2,FALSE),0)+IFERROR('Curtain Input'!X16*VLOOKUP("Battery &amp; mains monitor",'Weight Rules'!$B:$C,2,FALSE),0)+IFERROR('Curtain Input'!Y16*VLOOKUP("Beam sensor kit",'Weight Rules'!$B:$C,2,FALSE),0)+IFERROR('Curtain Input'!Z16*VLOOKUP("Audio visual",'Weight Rules'!$B:$C,2,FALSE),0)+IFERROR('Curtain Input'!AA16*VLOOKUP("Timer relay kit",'Weight Rules'!$B:$C,2,FALSE),0)+IFERROR('Curtain Input'!AB16*VLOOKUP("Delay / split drop",'Weight Rules'!$B:$C,2,FALSE),0))</x:f>
      </x:c>
      <x:c r="J16" s="124" t="str">
        <x:f>IF($A16="","",IFERROR(VLOOKUP('Curtain Input'!AC16,'Weight Rules'!$B:$C,2,FALSE),0))</x:f>
      </x:c>
      <x:c r="K16" s="124" t="str">
        <x:f>IF($A16="","",SUM(C16:J16))</x:f>
      </x:c>
      <x:c r="L16" s="124" t="str">
        <x:f>IF($A16="","",K16*'START HERE'!$B$16)</x:f>
      </x:c>
      <x:c r="M16" s="124" t="str">
        <x:f>IF($A16="","",K16+L16)</x:f>
      </x:c>
      <x:c r="N16" s="124" t="str">
        <x:f>IF($A16="","",K16*B16)</x:f>
      </x:c>
      <x:c r="O16" s="124" t="str">
        <x:f>IF($A16="","",M16*B16)</x:f>
      </x:c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  <x:c r="AA16" s="101"/>
      <x:c r="AB16" s="101"/>
      <x:c r="AC16" s="101"/>
      <x:c r="AD16" s="101"/>
      <x:c r="AE16" s="101"/>
    </x:row>
    <x:row r="17">
      <x:c r="A17" s="100" t="str">
        <x:f>IF('Curtain Input'!A17="","",'Curtain Input'!A17)</x:f>
      </x:c>
      <x:c r="B17" s="100" t="str">
        <x:f>IF('Curtain Input'!A17="","",'Curtain Input'!C17)</x:f>
      </x:c>
      <x:c r="C17" s="124" t="str">
        <x:f>IF($A17="","",IFERROR('Curtain Input'!G17/1000*VLOOKUP('Curtain Input'!F17,'Weight Rules'!$B:$C,2,FALSE),0))</x:f>
      </x:c>
      <x:c r="D17" s="124" t="str">
        <x:f>IF($A17="","",IFERROR('Curtain Input'!I17/1000*VLOOKUP('Curtain Input'!H17,'Weight Rules'!$B:$C,2,FALSE),0))</x:f>
      </x:c>
      <x:c r="E17" s="124" t="str">
        <x:f>IF($A17="","",IFERROR('Curtain Input'!M17/1000*'Curtain Input'!L17*VLOOKUP('Curtain Input'!K17,'Weight Rules'!$B:$C,2,FALSE),0))</x:f>
      </x:c>
      <x:c r="F17" s="124" t="str">
        <x:f>IF($A17="","",IFERROR(('Curtain Input'!O17/1000)*('Curtain Input'!P17/1000)*'Curtain Input'!N17*VLOOKUP('Curtain Input'!B17,'Weight Rules'!$B:$C,2,FALSE),0))</x:f>
      </x:c>
      <x:c r="G17" s="124" t="str">
        <x:f>IF($A17="","",IFERROR('Curtain Input'!R17/1000*VLOOKUP('Curtain Input'!Q17,'Weight Rules'!$B:$C,2,FALSE),0))</x:f>
      </x:c>
      <x:c r="H17" s="124" t="str">
        <x:f>IF($A17="","",IFERROR('Curtain Input'!T17*VLOOKUP('Curtain Input'!S17,'Weight Rules'!$B:$C,2,FALSE),0))</x:f>
      </x:c>
      <x:c r="I17" s="124" t="str">
        <x:f>IF($A17="","",IFERROR('Curtain Input'!U17*VLOOKUP("Control panel",'Weight Rules'!$B:$C,2,FALSE),0)+IFERROR('Curtain Input'!V17*VLOOKUP("Key switch",'Weight Rules'!$B:$C,2,FALSE),0)+IFERROR('Curtain Input'!W17*VLOOKUP("Emergency retract button / ERB",'Weight Rules'!$B:$C,2,FALSE),0)+IFERROR('Curtain Input'!X17*VLOOKUP("Battery &amp; mains monitor",'Weight Rules'!$B:$C,2,FALSE),0)+IFERROR('Curtain Input'!Y17*VLOOKUP("Beam sensor kit",'Weight Rules'!$B:$C,2,FALSE),0)+IFERROR('Curtain Input'!Z17*VLOOKUP("Audio visual",'Weight Rules'!$B:$C,2,FALSE),0)+IFERROR('Curtain Input'!AA17*VLOOKUP("Timer relay kit",'Weight Rules'!$B:$C,2,FALSE),0)+IFERROR('Curtain Input'!AB17*VLOOKUP("Delay / split drop",'Weight Rules'!$B:$C,2,FALSE),0))</x:f>
      </x:c>
      <x:c r="J17" s="124" t="str">
        <x:f>IF($A17="","",IFERROR(VLOOKUP('Curtain Input'!AC17,'Weight Rules'!$B:$C,2,FALSE),0))</x:f>
      </x:c>
      <x:c r="K17" s="124" t="str">
        <x:f>IF($A17="","",SUM(C17:J17))</x:f>
      </x:c>
      <x:c r="L17" s="124" t="str">
        <x:f>IF($A17="","",K17*'START HERE'!$B$16)</x:f>
      </x:c>
      <x:c r="M17" s="124" t="str">
        <x:f>IF($A17="","",K17+L17)</x:f>
      </x:c>
      <x:c r="N17" s="124" t="str">
        <x:f>IF($A17="","",K17*B17)</x:f>
      </x:c>
      <x:c r="O17" s="124" t="str">
        <x:f>IF($A17="","",M17*B17)</x:f>
      </x:c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  <x:c r="AA17" s="101"/>
      <x:c r="AB17" s="101"/>
      <x:c r="AC17" s="101"/>
      <x:c r="AD17" s="101"/>
      <x:c r="AE17" s="101"/>
    </x:row>
    <x:row r="18">
      <x:c r="A18" s="100" t="str">
        <x:f>IF('Curtain Input'!A18="","",'Curtain Input'!A18)</x:f>
      </x:c>
      <x:c r="B18" s="100" t="str">
        <x:f>IF('Curtain Input'!A18="","",'Curtain Input'!C18)</x:f>
      </x:c>
      <x:c r="C18" s="124" t="str">
        <x:f>IF($A18="","",IFERROR('Curtain Input'!G18/1000*VLOOKUP('Curtain Input'!F18,'Weight Rules'!$B:$C,2,FALSE),0))</x:f>
      </x:c>
      <x:c r="D18" s="124" t="str">
        <x:f>IF($A18="","",IFERROR('Curtain Input'!I18/1000*VLOOKUP('Curtain Input'!H18,'Weight Rules'!$B:$C,2,FALSE),0))</x:f>
      </x:c>
      <x:c r="E18" s="124" t="str">
        <x:f>IF($A18="","",IFERROR('Curtain Input'!M18/1000*'Curtain Input'!L18*VLOOKUP('Curtain Input'!K18,'Weight Rules'!$B:$C,2,FALSE),0))</x:f>
      </x:c>
      <x:c r="F18" s="124" t="str">
        <x:f>IF($A18="","",IFERROR(('Curtain Input'!O18/1000)*('Curtain Input'!P18/1000)*'Curtain Input'!N18*VLOOKUP('Curtain Input'!B18,'Weight Rules'!$B:$C,2,FALSE),0))</x:f>
      </x:c>
      <x:c r="G18" s="124" t="str">
        <x:f>IF($A18="","",IFERROR('Curtain Input'!R18/1000*VLOOKUP('Curtain Input'!Q18,'Weight Rules'!$B:$C,2,FALSE),0))</x:f>
      </x:c>
      <x:c r="H18" s="124" t="str">
        <x:f>IF($A18="","",IFERROR('Curtain Input'!T18*VLOOKUP('Curtain Input'!S18,'Weight Rules'!$B:$C,2,FALSE),0))</x:f>
      </x:c>
      <x:c r="I18" s="124" t="str">
        <x:f>IF($A18="","",IFERROR('Curtain Input'!U18*VLOOKUP("Control panel",'Weight Rules'!$B:$C,2,FALSE),0)+IFERROR('Curtain Input'!V18*VLOOKUP("Key switch",'Weight Rules'!$B:$C,2,FALSE),0)+IFERROR('Curtain Input'!W18*VLOOKUP("Emergency retract button / ERB",'Weight Rules'!$B:$C,2,FALSE),0)+IFERROR('Curtain Input'!X18*VLOOKUP("Battery &amp; mains monitor",'Weight Rules'!$B:$C,2,FALSE),0)+IFERROR('Curtain Input'!Y18*VLOOKUP("Beam sensor kit",'Weight Rules'!$B:$C,2,FALSE),0)+IFERROR('Curtain Input'!Z18*VLOOKUP("Audio visual",'Weight Rules'!$B:$C,2,FALSE),0)+IFERROR('Curtain Input'!AA18*VLOOKUP("Timer relay kit",'Weight Rules'!$B:$C,2,FALSE),0)+IFERROR('Curtain Input'!AB18*VLOOKUP("Delay / split drop",'Weight Rules'!$B:$C,2,FALSE),0))</x:f>
      </x:c>
      <x:c r="J18" s="124" t="str">
        <x:f>IF($A18="","",IFERROR(VLOOKUP('Curtain Input'!AC18,'Weight Rules'!$B:$C,2,FALSE),0))</x:f>
      </x:c>
      <x:c r="K18" s="124" t="str">
        <x:f>IF($A18="","",SUM(C18:J18))</x:f>
      </x:c>
      <x:c r="L18" s="124" t="str">
        <x:f>IF($A18="","",K18*'START HERE'!$B$16)</x:f>
      </x:c>
      <x:c r="M18" s="124" t="str">
        <x:f>IF($A18="","",K18+L18)</x:f>
      </x:c>
      <x:c r="N18" s="124" t="str">
        <x:f>IF($A18="","",K18*B18)</x:f>
      </x:c>
      <x:c r="O18" s="124" t="str">
        <x:f>IF($A18="","",M18*B18)</x:f>
      </x:c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  <x:c r="AA18" s="101"/>
      <x:c r="AB18" s="101"/>
      <x:c r="AC18" s="101"/>
      <x:c r="AD18" s="101"/>
      <x:c r="AE18" s="101"/>
    </x:row>
    <x:row r="19">
      <x:c r="A19" s="100" t="str">
        <x:f>IF('Curtain Input'!A19="","",'Curtain Input'!A19)</x:f>
      </x:c>
      <x:c r="B19" s="100" t="str">
        <x:f>IF('Curtain Input'!A19="","",'Curtain Input'!C19)</x:f>
      </x:c>
      <x:c r="C19" s="124" t="str">
        <x:f>IF($A19="","",IFERROR('Curtain Input'!G19/1000*VLOOKUP('Curtain Input'!F19,'Weight Rules'!$B:$C,2,FALSE),0))</x:f>
      </x:c>
      <x:c r="D19" s="124" t="str">
        <x:f>IF($A19="","",IFERROR('Curtain Input'!I19/1000*VLOOKUP('Curtain Input'!H19,'Weight Rules'!$B:$C,2,FALSE),0))</x:f>
      </x:c>
      <x:c r="E19" s="124" t="str">
        <x:f>IF($A19="","",IFERROR('Curtain Input'!M19/1000*'Curtain Input'!L19*VLOOKUP('Curtain Input'!K19,'Weight Rules'!$B:$C,2,FALSE),0))</x:f>
      </x:c>
      <x:c r="F19" s="124" t="str">
        <x:f>IF($A19="","",IFERROR(('Curtain Input'!O19/1000)*('Curtain Input'!P19/1000)*'Curtain Input'!N19*VLOOKUP('Curtain Input'!B19,'Weight Rules'!$B:$C,2,FALSE),0))</x:f>
      </x:c>
      <x:c r="G19" s="124" t="str">
        <x:f>IF($A19="","",IFERROR('Curtain Input'!R19/1000*VLOOKUP('Curtain Input'!Q19,'Weight Rules'!$B:$C,2,FALSE),0))</x:f>
      </x:c>
      <x:c r="H19" s="124" t="str">
        <x:f>IF($A19="","",IFERROR('Curtain Input'!T19*VLOOKUP('Curtain Input'!S19,'Weight Rules'!$B:$C,2,FALSE),0))</x:f>
      </x:c>
      <x:c r="I19" s="124" t="str">
        <x:f>IF($A19="","",IFERROR('Curtain Input'!U19*VLOOKUP("Control panel",'Weight Rules'!$B:$C,2,FALSE),0)+IFERROR('Curtain Input'!V19*VLOOKUP("Key switch",'Weight Rules'!$B:$C,2,FALSE),0)+IFERROR('Curtain Input'!W19*VLOOKUP("Emergency retract button / ERB",'Weight Rules'!$B:$C,2,FALSE),0)+IFERROR('Curtain Input'!X19*VLOOKUP("Battery &amp; mains monitor",'Weight Rules'!$B:$C,2,FALSE),0)+IFERROR('Curtain Input'!Y19*VLOOKUP("Beam sensor kit",'Weight Rules'!$B:$C,2,FALSE),0)+IFERROR('Curtain Input'!Z19*VLOOKUP("Audio visual",'Weight Rules'!$B:$C,2,FALSE),0)+IFERROR('Curtain Input'!AA19*VLOOKUP("Timer relay kit",'Weight Rules'!$B:$C,2,FALSE),0)+IFERROR('Curtain Input'!AB19*VLOOKUP("Delay / split drop",'Weight Rules'!$B:$C,2,FALSE),0))</x:f>
      </x:c>
      <x:c r="J19" s="124" t="str">
        <x:f>IF($A19="","",IFERROR(VLOOKUP('Curtain Input'!AC19,'Weight Rules'!$B:$C,2,FALSE),0))</x:f>
      </x:c>
      <x:c r="K19" s="124" t="str">
        <x:f>IF($A19="","",SUM(C19:J19))</x:f>
      </x:c>
      <x:c r="L19" s="124" t="str">
        <x:f>IF($A19="","",K19*'START HERE'!$B$16)</x:f>
      </x:c>
      <x:c r="M19" s="124" t="str">
        <x:f>IF($A19="","",K19+L19)</x:f>
      </x:c>
      <x:c r="N19" s="124" t="str">
        <x:f>IF($A19="","",K19*B19)</x:f>
      </x:c>
      <x:c r="O19" s="124" t="str">
        <x:f>IF($A19="","",M19*B19)</x:f>
      </x:c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  <x:c r="AA19" s="101"/>
      <x:c r="AB19" s="101"/>
      <x:c r="AC19" s="101"/>
      <x:c r="AD19" s="101"/>
      <x:c r="AE19" s="101"/>
    </x:row>
    <x:row r="20">
      <x:c r="A20" s="100" t="str">
        <x:f>IF('Curtain Input'!A20="","",'Curtain Input'!A20)</x:f>
      </x:c>
      <x:c r="B20" s="100" t="str">
        <x:f>IF('Curtain Input'!A20="","",'Curtain Input'!C20)</x:f>
      </x:c>
      <x:c r="C20" s="124" t="str">
        <x:f>IF($A20="","",IFERROR('Curtain Input'!G20/1000*VLOOKUP('Curtain Input'!F20,'Weight Rules'!$B:$C,2,FALSE),0))</x:f>
      </x:c>
      <x:c r="D20" s="124" t="str">
        <x:f>IF($A20="","",IFERROR('Curtain Input'!I20/1000*VLOOKUP('Curtain Input'!H20,'Weight Rules'!$B:$C,2,FALSE),0))</x:f>
      </x:c>
      <x:c r="E20" s="124" t="str">
        <x:f>IF($A20="","",IFERROR('Curtain Input'!M20/1000*'Curtain Input'!L20*VLOOKUP('Curtain Input'!K20,'Weight Rules'!$B:$C,2,FALSE),0))</x:f>
      </x:c>
      <x:c r="F20" s="124" t="str">
        <x:f>IF($A20="","",IFERROR(('Curtain Input'!O20/1000)*('Curtain Input'!P20/1000)*'Curtain Input'!N20*VLOOKUP('Curtain Input'!B20,'Weight Rules'!$B:$C,2,FALSE),0))</x:f>
      </x:c>
      <x:c r="G20" s="124" t="str">
        <x:f>IF($A20="","",IFERROR('Curtain Input'!R20/1000*VLOOKUP('Curtain Input'!Q20,'Weight Rules'!$B:$C,2,FALSE),0))</x:f>
      </x:c>
      <x:c r="H20" s="124" t="str">
        <x:f>IF($A20="","",IFERROR('Curtain Input'!T20*VLOOKUP('Curtain Input'!S20,'Weight Rules'!$B:$C,2,FALSE),0))</x:f>
      </x:c>
      <x:c r="I20" s="124" t="str">
        <x:f>IF($A20="","",IFERROR('Curtain Input'!U20*VLOOKUP("Control panel",'Weight Rules'!$B:$C,2,FALSE),0)+IFERROR('Curtain Input'!V20*VLOOKUP("Key switch",'Weight Rules'!$B:$C,2,FALSE),0)+IFERROR('Curtain Input'!W20*VLOOKUP("Emergency retract button / ERB",'Weight Rules'!$B:$C,2,FALSE),0)+IFERROR('Curtain Input'!X20*VLOOKUP("Battery &amp; mains monitor",'Weight Rules'!$B:$C,2,FALSE),0)+IFERROR('Curtain Input'!Y20*VLOOKUP("Beam sensor kit",'Weight Rules'!$B:$C,2,FALSE),0)+IFERROR('Curtain Input'!Z20*VLOOKUP("Audio visual",'Weight Rules'!$B:$C,2,FALSE),0)+IFERROR('Curtain Input'!AA20*VLOOKUP("Timer relay kit",'Weight Rules'!$B:$C,2,FALSE),0)+IFERROR('Curtain Input'!AB20*VLOOKUP("Delay / split drop",'Weight Rules'!$B:$C,2,FALSE),0))</x:f>
      </x:c>
      <x:c r="J20" s="124" t="str">
        <x:f>IF($A20="","",IFERROR(VLOOKUP('Curtain Input'!AC20,'Weight Rules'!$B:$C,2,FALSE),0))</x:f>
      </x:c>
      <x:c r="K20" s="124" t="str">
        <x:f>IF($A20="","",SUM(C20:J20))</x:f>
      </x:c>
      <x:c r="L20" s="124" t="str">
        <x:f>IF($A20="","",K20*'START HERE'!$B$16)</x:f>
      </x:c>
      <x:c r="M20" s="124" t="str">
        <x:f>IF($A20="","",K20+L20)</x:f>
      </x:c>
      <x:c r="N20" s="124" t="str">
        <x:f>IF($A20="","",K20*B20)</x:f>
      </x:c>
      <x:c r="O20" s="124" t="str">
        <x:f>IF($A20="","",M20*B20)</x:f>
      </x:c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  <x:c r="AA20" s="101"/>
      <x:c r="AB20" s="101"/>
      <x:c r="AC20" s="101"/>
      <x:c r="AD20" s="101"/>
      <x:c r="AE20" s="101"/>
    </x:row>
    <x:row r="21">
      <x:c r="A21" s="100" t="str">
        <x:f>IF('Curtain Input'!A21="","",'Curtain Input'!A21)</x:f>
      </x:c>
      <x:c r="B21" s="100" t="str">
        <x:f>IF('Curtain Input'!A21="","",'Curtain Input'!C21)</x:f>
      </x:c>
      <x:c r="C21" s="124" t="str">
        <x:f>IF($A21="","",IFERROR('Curtain Input'!G21/1000*VLOOKUP('Curtain Input'!F21,'Weight Rules'!$B:$C,2,FALSE),0))</x:f>
      </x:c>
      <x:c r="D21" s="124" t="str">
        <x:f>IF($A21="","",IFERROR('Curtain Input'!I21/1000*VLOOKUP('Curtain Input'!H21,'Weight Rules'!$B:$C,2,FALSE),0))</x:f>
      </x:c>
      <x:c r="E21" s="124" t="str">
        <x:f>IF($A21="","",IFERROR('Curtain Input'!M21/1000*'Curtain Input'!L21*VLOOKUP('Curtain Input'!K21,'Weight Rules'!$B:$C,2,FALSE),0))</x:f>
      </x:c>
      <x:c r="F21" s="124" t="str">
        <x:f>IF($A21="","",IFERROR(('Curtain Input'!O21/1000)*('Curtain Input'!P21/1000)*'Curtain Input'!N21*VLOOKUP('Curtain Input'!B21,'Weight Rules'!$B:$C,2,FALSE),0))</x:f>
      </x:c>
      <x:c r="G21" s="124" t="str">
        <x:f>IF($A21="","",IFERROR('Curtain Input'!R21/1000*VLOOKUP('Curtain Input'!Q21,'Weight Rules'!$B:$C,2,FALSE),0))</x:f>
      </x:c>
      <x:c r="H21" s="124" t="str">
        <x:f>IF($A21="","",IFERROR('Curtain Input'!T21*VLOOKUP('Curtain Input'!S21,'Weight Rules'!$B:$C,2,FALSE),0))</x:f>
      </x:c>
      <x:c r="I21" s="124" t="str">
        <x:f>IF($A21="","",IFERROR('Curtain Input'!U21*VLOOKUP("Control panel",'Weight Rules'!$B:$C,2,FALSE),0)+IFERROR('Curtain Input'!V21*VLOOKUP("Key switch",'Weight Rules'!$B:$C,2,FALSE),0)+IFERROR('Curtain Input'!W21*VLOOKUP("Emergency retract button / ERB",'Weight Rules'!$B:$C,2,FALSE),0)+IFERROR('Curtain Input'!X21*VLOOKUP("Battery &amp; mains monitor",'Weight Rules'!$B:$C,2,FALSE),0)+IFERROR('Curtain Input'!Y21*VLOOKUP("Beam sensor kit",'Weight Rules'!$B:$C,2,FALSE),0)+IFERROR('Curtain Input'!Z21*VLOOKUP("Audio visual",'Weight Rules'!$B:$C,2,FALSE),0)+IFERROR('Curtain Input'!AA21*VLOOKUP("Timer relay kit",'Weight Rules'!$B:$C,2,FALSE),0)+IFERROR('Curtain Input'!AB21*VLOOKUP("Delay / split drop",'Weight Rules'!$B:$C,2,FALSE),0))</x:f>
      </x:c>
      <x:c r="J21" s="124" t="str">
        <x:f>IF($A21="","",IFERROR(VLOOKUP('Curtain Input'!AC21,'Weight Rules'!$B:$C,2,FALSE),0))</x:f>
      </x:c>
      <x:c r="K21" s="124" t="str">
        <x:f>IF($A21="","",SUM(C21:J21))</x:f>
      </x:c>
      <x:c r="L21" s="124" t="str">
        <x:f>IF($A21="","",K21*'START HERE'!$B$16)</x:f>
      </x:c>
      <x:c r="M21" s="124" t="str">
        <x:f>IF($A21="","",K21+L21)</x:f>
      </x:c>
      <x:c r="N21" s="124" t="str">
        <x:f>IF($A21="","",K21*B21)</x:f>
      </x:c>
      <x:c r="O21" s="124" t="str">
        <x:f>IF($A21="","",M21*B21)</x:f>
      </x:c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  <x:c r="AA21" s="101"/>
      <x:c r="AB21" s="101"/>
      <x:c r="AC21" s="101"/>
      <x:c r="AD21" s="101"/>
      <x:c r="AE21" s="101"/>
    </x:row>
    <x:row r="22">
      <x:c r="A22" s="100" t="str">
        <x:f>IF('Curtain Input'!A22="","",'Curtain Input'!A22)</x:f>
      </x:c>
      <x:c r="B22" s="100" t="str">
        <x:f>IF('Curtain Input'!A22="","",'Curtain Input'!C22)</x:f>
      </x:c>
      <x:c r="C22" s="124" t="str">
        <x:f>IF($A22="","",IFERROR('Curtain Input'!G22/1000*VLOOKUP('Curtain Input'!F22,'Weight Rules'!$B:$C,2,FALSE),0))</x:f>
      </x:c>
      <x:c r="D22" s="124" t="str">
        <x:f>IF($A22="","",IFERROR('Curtain Input'!I22/1000*VLOOKUP('Curtain Input'!H22,'Weight Rules'!$B:$C,2,FALSE),0))</x:f>
      </x:c>
      <x:c r="E22" s="124" t="str">
        <x:f>IF($A22="","",IFERROR('Curtain Input'!M22/1000*'Curtain Input'!L22*VLOOKUP('Curtain Input'!K22,'Weight Rules'!$B:$C,2,FALSE),0))</x:f>
      </x:c>
      <x:c r="F22" s="124" t="str">
        <x:f>IF($A22="","",IFERROR(('Curtain Input'!O22/1000)*('Curtain Input'!P22/1000)*'Curtain Input'!N22*VLOOKUP('Curtain Input'!B22,'Weight Rules'!$B:$C,2,FALSE),0))</x:f>
      </x:c>
      <x:c r="G22" s="124" t="str">
        <x:f>IF($A22="","",IFERROR('Curtain Input'!R22/1000*VLOOKUP('Curtain Input'!Q22,'Weight Rules'!$B:$C,2,FALSE),0))</x:f>
      </x:c>
      <x:c r="H22" s="124" t="str">
        <x:f>IF($A22="","",IFERROR('Curtain Input'!T22*VLOOKUP('Curtain Input'!S22,'Weight Rules'!$B:$C,2,FALSE),0))</x:f>
      </x:c>
      <x:c r="I22" s="124" t="str">
        <x:f>IF($A22="","",IFERROR('Curtain Input'!U22*VLOOKUP("Control panel",'Weight Rules'!$B:$C,2,FALSE),0)+IFERROR('Curtain Input'!V22*VLOOKUP("Key switch",'Weight Rules'!$B:$C,2,FALSE),0)+IFERROR('Curtain Input'!W22*VLOOKUP("Emergency retract button / ERB",'Weight Rules'!$B:$C,2,FALSE),0)+IFERROR('Curtain Input'!X22*VLOOKUP("Battery &amp; mains monitor",'Weight Rules'!$B:$C,2,FALSE),0)+IFERROR('Curtain Input'!Y22*VLOOKUP("Beam sensor kit",'Weight Rules'!$B:$C,2,FALSE),0)+IFERROR('Curtain Input'!Z22*VLOOKUP("Audio visual",'Weight Rules'!$B:$C,2,FALSE),0)+IFERROR('Curtain Input'!AA22*VLOOKUP("Timer relay kit",'Weight Rules'!$B:$C,2,FALSE),0)+IFERROR('Curtain Input'!AB22*VLOOKUP("Delay / split drop",'Weight Rules'!$B:$C,2,FALSE),0))</x:f>
      </x:c>
      <x:c r="J22" s="124" t="str">
        <x:f>IF($A22="","",IFERROR(VLOOKUP('Curtain Input'!AC22,'Weight Rules'!$B:$C,2,FALSE),0))</x:f>
      </x:c>
      <x:c r="K22" s="124" t="str">
        <x:f>IF($A22="","",SUM(C22:J22))</x:f>
      </x:c>
      <x:c r="L22" s="124" t="str">
        <x:f>IF($A22="","",K22*'START HERE'!$B$16)</x:f>
      </x:c>
      <x:c r="M22" s="124" t="str">
        <x:f>IF($A22="","",K22+L22)</x:f>
      </x:c>
      <x:c r="N22" s="124" t="str">
        <x:f>IF($A22="","",K22*B22)</x:f>
      </x:c>
      <x:c r="O22" s="124" t="str">
        <x:f>IF($A22="","",M22*B22)</x:f>
      </x:c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  <x:c r="AA22" s="101"/>
      <x:c r="AB22" s="101"/>
      <x:c r="AC22" s="101"/>
      <x:c r="AD22" s="101"/>
      <x:c r="AE22" s="101"/>
    </x:row>
    <x:row r="23">
      <x:c r="A23" s="100" t="str">
        <x:f>IF('Curtain Input'!A23="","",'Curtain Input'!A23)</x:f>
      </x:c>
      <x:c r="B23" s="100" t="str">
        <x:f>IF('Curtain Input'!A23="","",'Curtain Input'!C23)</x:f>
      </x:c>
      <x:c r="C23" s="124" t="str">
        <x:f>IF($A23="","",IFERROR('Curtain Input'!G23/1000*VLOOKUP('Curtain Input'!F23,'Weight Rules'!$B:$C,2,FALSE),0))</x:f>
      </x:c>
      <x:c r="D23" s="124" t="str">
        <x:f>IF($A23="","",IFERROR('Curtain Input'!I23/1000*VLOOKUP('Curtain Input'!H23,'Weight Rules'!$B:$C,2,FALSE),0))</x:f>
      </x:c>
      <x:c r="E23" s="124" t="str">
        <x:f>IF($A23="","",IFERROR('Curtain Input'!M23/1000*'Curtain Input'!L23*VLOOKUP('Curtain Input'!K23,'Weight Rules'!$B:$C,2,FALSE),0))</x:f>
      </x:c>
      <x:c r="F23" s="124" t="str">
        <x:f>IF($A23="","",IFERROR(('Curtain Input'!O23/1000)*('Curtain Input'!P23/1000)*'Curtain Input'!N23*VLOOKUP('Curtain Input'!B23,'Weight Rules'!$B:$C,2,FALSE),0))</x:f>
      </x:c>
      <x:c r="G23" s="124" t="str">
        <x:f>IF($A23="","",IFERROR('Curtain Input'!R23/1000*VLOOKUP('Curtain Input'!Q23,'Weight Rules'!$B:$C,2,FALSE),0))</x:f>
      </x:c>
      <x:c r="H23" s="124" t="str">
        <x:f>IF($A23="","",IFERROR('Curtain Input'!T23*VLOOKUP('Curtain Input'!S23,'Weight Rules'!$B:$C,2,FALSE),0))</x:f>
      </x:c>
      <x:c r="I23" s="124" t="str">
        <x:f>IF($A23="","",IFERROR('Curtain Input'!U23*VLOOKUP("Control panel",'Weight Rules'!$B:$C,2,FALSE),0)+IFERROR('Curtain Input'!V23*VLOOKUP("Key switch",'Weight Rules'!$B:$C,2,FALSE),0)+IFERROR('Curtain Input'!W23*VLOOKUP("Emergency retract button / ERB",'Weight Rules'!$B:$C,2,FALSE),0)+IFERROR('Curtain Input'!X23*VLOOKUP("Battery &amp; mains monitor",'Weight Rules'!$B:$C,2,FALSE),0)+IFERROR('Curtain Input'!Y23*VLOOKUP("Beam sensor kit",'Weight Rules'!$B:$C,2,FALSE),0)+IFERROR('Curtain Input'!Z23*VLOOKUP("Audio visual",'Weight Rules'!$B:$C,2,FALSE),0)+IFERROR('Curtain Input'!AA23*VLOOKUP("Timer relay kit",'Weight Rules'!$B:$C,2,FALSE),0)+IFERROR('Curtain Input'!AB23*VLOOKUP("Delay / split drop",'Weight Rules'!$B:$C,2,FALSE),0))</x:f>
      </x:c>
      <x:c r="J23" s="124" t="str">
        <x:f>IF($A23="","",IFERROR(VLOOKUP('Curtain Input'!AC23,'Weight Rules'!$B:$C,2,FALSE),0))</x:f>
      </x:c>
      <x:c r="K23" s="124" t="str">
        <x:f>IF($A23="","",SUM(C23:J23))</x:f>
      </x:c>
      <x:c r="L23" s="124" t="str">
        <x:f>IF($A23="","",K23*'START HERE'!$B$16)</x:f>
      </x:c>
      <x:c r="M23" s="124" t="str">
        <x:f>IF($A23="","",K23+L23)</x:f>
      </x:c>
      <x:c r="N23" s="124" t="str">
        <x:f>IF($A23="","",K23*B23)</x:f>
      </x:c>
      <x:c r="O23" s="124" t="str">
        <x:f>IF($A23="","",M23*B23)</x:f>
      </x:c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  <x:c r="AA23" s="101"/>
      <x:c r="AB23" s="101"/>
      <x:c r="AC23" s="101"/>
      <x:c r="AD23" s="101"/>
      <x:c r="AE23" s="101"/>
    </x:row>
    <x:row r="24">
      <x:c r="A24" s="100" t="str">
        <x:f>IF('Curtain Input'!A24="","",'Curtain Input'!A24)</x:f>
      </x:c>
      <x:c r="B24" s="100" t="str">
        <x:f>IF('Curtain Input'!A24="","",'Curtain Input'!C24)</x:f>
      </x:c>
      <x:c r="C24" s="124" t="str">
        <x:f>IF($A24="","",IFERROR('Curtain Input'!G24/1000*VLOOKUP('Curtain Input'!F24,'Weight Rules'!$B:$C,2,FALSE),0))</x:f>
      </x:c>
      <x:c r="D24" s="124" t="str">
        <x:f>IF($A24="","",IFERROR('Curtain Input'!I24/1000*VLOOKUP('Curtain Input'!H24,'Weight Rules'!$B:$C,2,FALSE),0))</x:f>
      </x:c>
      <x:c r="E24" s="124" t="str">
        <x:f>IF($A24="","",IFERROR('Curtain Input'!M24/1000*'Curtain Input'!L24*VLOOKUP('Curtain Input'!K24,'Weight Rules'!$B:$C,2,FALSE),0))</x:f>
      </x:c>
      <x:c r="F24" s="124" t="str">
        <x:f>IF($A24="","",IFERROR(('Curtain Input'!O24/1000)*('Curtain Input'!P24/1000)*'Curtain Input'!N24*VLOOKUP('Curtain Input'!B24,'Weight Rules'!$B:$C,2,FALSE),0))</x:f>
      </x:c>
      <x:c r="G24" s="124" t="str">
        <x:f>IF($A24="","",IFERROR('Curtain Input'!R24/1000*VLOOKUP('Curtain Input'!Q24,'Weight Rules'!$B:$C,2,FALSE),0))</x:f>
      </x:c>
      <x:c r="H24" s="124" t="str">
        <x:f>IF($A24="","",IFERROR('Curtain Input'!T24*VLOOKUP('Curtain Input'!S24,'Weight Rules'!$B:$C,2,FALSE),0))</x:f>
      </x:c>
      <x:c r="I24" s="124" t="str">
        <x:f>IF($A24="","",IFERROR('Curtain Input'!U24*VLOOKUP("Control panel",'Weight Rules'!$B:$C,2,FALSE),0)+IFERROR('Curtain Input'!V24*VLOOKUP("Key switch",'Weight Rules'!$B:$C,2,FALSE),0)+IFERROR('Curtain Input'!W24*VLOOKUP("Emergency retract button / ERB",'Weight Rules'!$B:$C,2,FALSE),0)+IFERROR('Curtain Input'!X24*VLOOKUP("Battery &amp; mains monitor",'Weight Rules'!$B:$C,2,FALSE),0)+IFERROR('Curtain Input'!Y24*VLOOKUP("Beam sensor kit",'Weight Rules'!$B:$C,2,FALSE),0)+IFERROR('Curtain Input'!Z24*VLOOKUP("Audio visual",'Weight Rules'!$B:$C,2,FALSE),0)+IFERROR('Curtain Input'!AA24*VLOOKUP("Timer relay kit",'Weight Rules'!$B:$C,2,FALSE),0)+IFERROR('Curtain Input'!AB24*VLOOKUP("Delay / split drop",'Weight Rules'!$B:$C,2,FALSE),0))</x:f>
      </x:c>
      <x:c r="J24" s="124" t="str">
        <x:f>IF($A24="","",IFERROR(VLOOKUP('Curtain Input'!AC24,'Weight Rules'!$B:$C,2,FALSE),0))</x:f>
      </x:c>
      <x:c r="K24" s="124" t="str">
        <x:f>IF($A24="","",SUM(C24:J24))</x:f>
      </x:c>
      <x:c r="L24" s="124" t="str">
        <x:f>IF($A24="","",K24*'START HERE'!$B$16)</x:f>
      </x:c>
      <x:c r="M24" s="124" t="str">
        <x:f>IF($A24="","",K24+L24)</x:f>
      </x:c>
      <x:c r="N24" s="124" t="str">
        <x:f>IF($A24="","",K24*B24)</x:f>
      </x:c>
      <x:c r="O24" s="124" t="str">
        <x:f>IF($A24="","",M24*B24)</x:f>
      </x:c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  <x:c r="AA24" s="101"/>
      <x:c r="AB24" s="101"/>
      <x:c r="AC24" s="101"/>
      <x:c r="AD24" s="101"/>
      <x:c r="AE24" s="101"/>
    </x:row>
    <x:row r="25">
      <x:c r="A25" s="100" t="str">
        <x:f>IF('Curtain Input'!A25="","",'Curtain Input'!A25)</x:f>
      </x:c>
      <x:c r="B25" s="100" t="str">
        <x:f>IF('Curtain Input'!A25="","",'Curtain Input'!C25)</x:f>
      </x:c>
      <x:c r="C25" s="124" t="str">
        <x:f>IF($A25="","",IFERROR('Curtain Input'!G25/1000*VLOOKUP('Curtain Input'!F25,'Weight Rules'!$B:$C,2,FALSE),0))</x:f>
      </x:c>
      <x:c r="D25" s="124" t="str">
        <x:f>IF($A25="","",IFERROR('Curtain Input'!I25/1000*VLOOKUP('Curtain Input'!H25,'Weight Rules'!$B:$C,2,FALSE),0))</x:f>
      </x:c>
      <x:c r="E25" s="124" t="str">
        <x:f>IF($A25="","",IFERROR('Curtain Input'!M25/1000*'Curtain Input'!L25*VLOOKUP('Curtain Input'!K25,'Weight Rules'!$B:$C,2,FALSE),0))</x:f>
      </x:c>
      <x:c r="F25" s="124" t="str">
        <x:f>IF($A25="","",IFERROR(('Curtain Input'!O25/1000)*('Curtain Input'!P25/1000)*'Curtain Input'!N25*VLOOKUP('Curtain Input'!B25,'Weight Rules'!$B:$C,2,FALSE),0))</x:f>
      </x:c>
      <x:c r="G25" s="124" t="str">
        <x:f>IF($A25="","",IFERROR('Curtain Input'!R25/1000*VLOOKUP('Curtain Input'!Q25,'Weight Rules'!$B:$C,2,FALSE),0))</x:f>
      </x:c>
      <x:c r="H25" s="124" t="str">
        <x:f>IF($A25="","",IFERROR('Curtain Input'!T25*VLOOKUP('Curtain Input'!S25,'Weight Rules'!$B:$C,2,FALSE),0))</x:f>
      </x:c>
      <x:c r="I25" s="124" t="str">
        <x:f>IF($A25="","",IFERROR('Curtain Input'!U25*VLOOKUP("Control panel",'Weight Rules'!$B:$C,2,FALSE),0)+IFERROR('Curtain Input'!V25*VLOOKUP("Key switch",'Weight Rules'!$B:$C,2,FALSE),0)+IFERROR('Curtain Input'!W25*VLOOKUP("Emergency retract button / ERB",'Weight Rules'!$B:$C,2,FALSE),0)+IFERROR('Curtain Input'!X25*VLOOKUP("Battery &amp; mains monitor",'Weight Rules'!$B:$C,2,FALSE),0)+IFERROR('Curtain Input'!Y25*VLOOKUP("Beam sensor kit",'Weight Rules'!$B:$C,2,FALSE),0)+IFERROR('Curtain Input'!Z25*VLOOKUP("Audio visual",'Weight Rules'!$B:$C,2,FALSE),0)+IFERROR('Curtain Input'!AA25*VLOOKUP("Timer relay kit",'Weight Rules'!$B:$C,2,FALSE),0)+IFERROR('Curtain Input'!AB25*VLOOKUP("Delay / split drop",'Weight Rules'!$B:$C,2,FALSE),0))</x:f>
      </x:c>
      <x:c r="J25" s="124" t="str">
        <x:f>IF($A25="","",IFERROR(VLOOKUP('Curtain Input'!AC25,'Weight Rules'!$B:$C,2,FALSE),0))</x:f>
      </x:c>
      <x:c r="K25" s="124" t="str">
        <x:f>IF($A25="","",SUM(C25:J25))</x:f>
      </x:c>
      <x:c r="L25" s="124" t="str">
        <x:f>IF($A25="","",K25*'START HERE'!$B$16)</x:f>
      </x:c>
      <x:c r="M25" s="124" t="str">
        <x:f>IF($A25="","",K25+L25)</x:f>
      </x:c>
      <x:c r="N25" s="124" t="str">
        <x:f>IF($A25="","",K25*B25)</x:f>
      </x:c>
      <x:c r="O25" s="124" t="str">
        <x:f>IF($A25="","",M25*B25)</x:f>
      </x:c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  <x:c r="AA25" s="101"/>
      <x:c r="AB25" s="101"/>
      <x:c r="AC25" s="101"/>
      <x:c r="AD25" s="101"/>
      <x:c r="AE25" s="101"/>
    </x:row>
    <x:row r="26">
      <x:c r="A26" s="100" t="str">
        <x:f>IF('Curtain Input'!A26="","",'Curtain Input'!A26)</x:f>
      </x:c>
      <x:c r="B26" s="100" t="str">
        <x:f>IF('Curtain Input'!A26="","",'Curtain Input'!C26)</x:f>
      </x:c>
      <x:c r="C26" s="124" t="str">
        <x:f>IF($A26="","",IFERROR('Curtain Input'!G26/1000*VLOOKUP('Curtain Input'!F26,'Weight Rules'!$B:$C,2,FALSE),0))</x:f>
      </x:c>
      <x:c r="D26" s="124" t="str">
        <x:f>IF($A26="","",IFERROR('Curtain Input'!I26/1000*VLOOKUP('Curtain Input'!H26,'Weight Rules'!$B:$C,2,FALSE),0))</x:f>
      </x:c>
      <x:c r="E26" s="124" t="str">
        <x:f>IF($A26="","",IFERROR('Curtain Input'!M26/1000*'Curtain Input'!L26*VLOOKUP('Curtain Input'!K26,'Weight Rules'!$B:$C,2,FALSE),0))</x:f>
      </x:c>
      <x:c r="F26" s="124" t="str">
        <x:f>IF($A26="","",IFERROR(('Curtain Input'!O26/1000)*('Curtain Input'!P26/1000)*'Curtain Input'!N26*VLOOKUP('Curtain Input'!B26,'Weight Rules'!$B:$C,2,FALSE),0))</x:f>
      </x:c>
      <x:c r="G26" s="124" t="str">
        <x:f>IF($A26="","",IFERROR('Curtain Input'!R26/1000*VLOOKUP('Curtain Input'!Q26,'Weight Rules'!$B:$C,2,FALSE),0))</x:f>
      </x:c>
      <x:c r="H26" s="124" t="str">
        <x:f>IF($A26="","",IFERROR('Curtain Input'!T26*VLOOKUP('Curtain Input'!S26,'Weight Rules'!$B:$C,2,FALSE),0))</x:f>
      </x:c>
      <x:c r="I26" s="124" t="str">
        <x:f>IF($A26="","",IFERROR('Curtain Input'!U26*VLOOKUP("Control panel",'Weight Rules'!$B:$C,2,FALSE),0)+IFERROR('Curtain Input'!V26*VLOOKUP("Key switch",'Weight Rules'!$B:$C,2,FALSE),0)+IFERROR('Curtain Input'!W26*VLOOKUP("Emergency retract button / ERB",'Weight Rules'!$B:$C,2,FALSE),0)+IFERROR('Curtain Input'!X26*VLOOKUP("Battery &amp; mains monitor",'Weight Rules'!$B:$C,2,FALSE),0)+IFERROR('Curtain Input'!Y26*VLOOKUP("Beam sensor kit",'Weight Rules'!$B:$C,2,FALSE),0)+IFERROR('Curtain Input'!Z26*VLOOKUP("Audio visual",'Weight Rules'!$B:$C,2,FALSE),0)+IFERROR('Curtain Input'!AA26*VLOOKUP("Timer relay kit",'Weight Rules'!$B:$C,2,FALSE),0)+IFERROR('Curtain Input'!AB26*VLOOKUP("Delay / split drop",'Weight Rules'!$B:$C,2,FALSE),0))</x:f>
      </x:c>
      <x:c r="J26" s="124" t="str">
        <x:f>IF($A26="","",IFERROR(VLOOKUP('Curtain Input'!AC26,'Weight Rules'!$B:$C,2,FALSE),0))</x:f>
      </x:c>
      <x:c r="K26" s="124" t="str">
        <x:f>IF($A26="","",SUM(C26:J26))</x:f>
      </x:c>
      <x:c r="L26" s="124" t="str">
        <x:f>IF($A26="","",K26*'START HERE'!$B$16)</x:f>
      </x:c>
      <x:c r="M26" s="124" t="str">
        <x:f>IF($A26="","",K26+L26)</x:f>
      </x:c>
      <x:c r="N26" s="124" t="str">
        <x:f>IF($A26="","",K26*B26)</x:f>
      </x:c>
      <x:c r="O26" s="124" t="str">
        <x:f>IF($A26="","",M26*B26)</x:f>
      </x:c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  <x:c r="AA26" s="101"/>
      <x:c r="AB26" s="101"/>
      <x:c r="AC26" s="101"/>
      <x:c r="AD26" s="101"/>
      <x:c r="AE26" s="101"/>
    </x:row>
    <x:row r="27">
      <x:c r="A27" s="100" t="str">
        <x:f>IF('Curtain Input'!A27="","",'Curtain Input'!A27)</x:f>
      </x:c>
      <x:c r="B27" s="100" t="str">
        <x:f>IF('Curtain Input'!A27="","",'Curtain Input'!C27)</x:f>
      </x:c>
      <x:c r="C27" s="124" t="str">
        <x:f>IF($A27="","",IFERROR('Curtain Input'!G27/1000*VLOOKUP('Curtain Input'!F27,'Weight Rules'!$B:$C,2,FALSE),0))</x:f>
      </x:c>
      <x:c r="D27" s="124" t="str">
        <x:f>IF($A27="","",IFERROR('Curtain Input'!I27/1000*VLOOKUP('Curtain Input'!H27,'Weight Rules'!$B:$C,2,FALSE),0))</x:f>
      </x:c>
      <x:c r="E27" s="124" t="str">
        <x:f>IF($A27="","",IFERROR('Curtain Input'!M27/1000*'Curtain Input'!L27*VLOOKUP('Curtain Input'!K27,'Weight Rules'!$B:$C,2,FALSE),0))</x:f>
      </x:c>
      <x:c r="F27" s="124" t="str">
        <x:f>IF($A27="","",IFERROR(('Curtain Input'!O27/1000)*('Curtain Input'!P27/1000)*'Curtain Input'!N27*VLOOKUP('Curtain Input'!B27,'Weight Rules'!$B:$C,2,FALSE),0))</x:f>
      </x:c>
      <x:c r="G27" s="124" t="str">
        <x:f>IF($A27="","",IFERROR('Curtain Input'!R27/1000*VLOOKUP('Curtain Input'!Q27,'Weight Rules'!$B:$C,2,FALSE),0))</x:f>
      </x:c>
      <x:c r="H27" s="124" t="str">
        <x:f>IF($A27="","",IFERROR('Curtain Input'!T27*VLOOKUP('Curtain Input'!S27,'Weight Rules'!$B:$C,2,FALSE),0))</x:f>
      </x:c>
      <x:c r="I27" s="124" t="str">
        <x:f>IF($A27="","",IFERROR('Curtain Input'!U27*VLOOKUP("Control panel",'Weight Rules'!$B:$C,2,FALSE),0)+IFERROR('Curtain Input'!V27*VLOOKUP("Key switch",'Weight Rules'!$B:$C,2,FALSE),0)+IFERROR('Curtain Input'!W27*VLOOKUP("Emergency retract button / ERB",'Weight Rules'!$B:$C,2,FALSE),0)+IFERROR('Curtain Input'!X27*VLOOKUP("Battery &amp; mains monitor",'Weight Rules'!$B:$C,2,FALSE),0)+IFERROR('Curtain Input'!Y27*VLOOKUP("Beam sensor kit",'Weight Rules'!$B:$C,2,FALSE),0)+IFERROR('Curtain Input'!Z27*VLOOKUP("Audio visual",'Weight Rules'!$B:$C,2,FALSE),0)+IFERROR('Curtain Input'!AA27*VLOOKUP("Timer relay kit",'Weight Rules'!$B:$C,2,FALSE),0)+IFERROR('Curtain Input'!AB27*VLOOKUP("Delay / split drop",'Weight Rules'!$B:$C,2,FALSE),0))</x:f>
      </x:c>
      <x:c r="J27" s="124" t="str">
        <x:f>IF($A27="","",IFERROR(VLOOKUP('Curtain Input'!AC27,'Weight Rules'!$B:$C,2,FALSE),0))</x:f>
      </x:c>
      <x:c r="K27" s="124" t="str">
        <x:f>IF($A27="","",SUM(C27:J27))</x:f>
      </x:c>
      <x:c r="L27" s="124" t="str">
        <x:f>IF($A27="","",K27*'START HERE'!$B$16)</x:f>
      </x:c>
      <x:c r="M27" s="124" t="str">
        <x:f>IF($A27="","",K27+L27)</x:f>
      </x:c>
      <x:c r="N27" s="124" t="str">
        <x:f>IF($A27="","",K27*B27)</x:f>
      </x:c>
      <x:c r="O27" s="124" t="str">
        <x:f>IF($A27="","",M27*B27)</x:f>
      </x:c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  <x:c r="AA27" s="101"/>
      <x:c r="AB27" s="101"/>
      <x:c r="AC27" s="101"/>
      <x:c r="AD27" s="101"/>
      <x:c r="AE27" s="101"/>
    </x:row>
    <x:row r="28">
      <x:c r="A28" s="100" t="str">
        <x:f>IF('Curtain Input'!A28="","",'Curtain Input'!A28)</x:f>
      </x:c>
      <x:c r="B28" s="100" t="str">
        <x:f>IF('Curtain Input'!A28="","",'Curtain Input'!C28)</x:f>
      </x:c>
      <x:c r="C28" s="124" t="str">
        <x:f>IF($A28="","",IFERROR('Curtain Input'!G28/1000*VLOOKUP('Curtain Input'!F28,'Weight Rules'!$B:$C,2,FALSE),0))</x:f>
      </x:c>
      <x:c r="D28" s="124" t="str">
        <x:f>IF($A28="","",IFERROR('Curtain Input'!I28/1000*VLOOKUP('Curtain Input'!H28,'Weight Rules'!$B:$C,2,FALSE),0))</x:f>
      </x:c>
      <x:c r="E28" s="124" t="str">
        <x:f>IF($A28="","",IFERROR('Curtain Input'!M28/1000*'Curtain Input'!L28*VLOOKUP('Curtain Input'!K28,'Weight Rules'!$B:$C,2,FALSE),0))</x:f>
      </x:c>
      <x:c r="F28" s="124" t="str">
        <x:f>IF($A28="","",IFERROR(('Curtain Input'!O28/1000)*('Curtain Input'!P28/1000)*'Curtain Input'!N28*VLOOKUP('Curtain Input'!B28,'Weight Rules'!$B:$C,2,FALSE),0))</x:f>
      </x:c>
      <x:c r="G28" s="124" t="str">
        <x:f>IF($A28="","",IFERROR('Curtain Input'!R28/1000*VLOOKUP('Curtain Input'!Q28,'Weight Rules'!$B:$C,2,FALSE),0))</x:f>
      </x:c>
      <x:c r="H28" s="124" t="str">
        <x:f>IF($A28="","",IFERROR('Curtain Input'!T28*VLOOKUP('Curtain Input'!S28,'Weight Rules'!$B:$C,2,FALSE),0))</x:f>
      </x:c>
      <x:c r="I28" s="124" t="str">
        <x:f>IF($A28="","",IFERROR('Curtain Input'!U28*VLOOKUP("Control panel",'Weight Rules'!$B:$C,2,FALSE),0)+IFERROR('Curtain Input'!V28*VLOOKUP("Key switch",'Weight Rules'!$B:$C,2,FALSE),0)+IFERROR('Curtain Input'!W28*VLOOKUP("Emergency retract button / ERB",'Weight Rules'!$B:$C,2,FALSE),0)+IFERROR('Curtain Input'!X28*VLOOKUP("Battery &amp; mains monitor",'Weight Rules'!$B:$C,2,FALSE),0)+IFERROR('Curtain Input'!Y28*VLOOKUP("Beam sensor kit",'Weight Rules'!$B:$C,2,FALSE),0)+IFERROR('Curtain Input'!Z28*VLOOKUP("Audio visual",'Weight Rules'!$B:$C,2,FALSE),0)+IFERROR('Curtain Input'!AA28*VLOOKUP("Timer relay kit",'Weight Rules'!$B:$C,2,FALSE),0)+IFERROR('Curtain Input'!AB28*VLOOKUP("Delay / split drop",'Weight Rules'!$B:$C,2,FALSE),0))</x:f>
      </x:c>
      <x:c r="J28" s="124" t="str">
        <x:f>IF($A28="","",IFERROR(VLOOKUP('Curtain Input'!AC28,'Weight Rules'!$B:$C,2,FALSE),0))</x:f>
      </x:c>
      <x:c r="K28" s="124" t="str">
        <x:f>IF($A28="","",SUM(C28:J28))</x:f>
      </x:c>
      <x:c r="L28" s="124" t="str">
        <x:f>IF($A28="","",K28*'START HERE'!$B$16)</x:f>
      </x:c>
      <x:c r="M28" s="124" t="str">
        <x:f>IF($A28="","",K28+L28)</x:f>
      </x:c>
      <x:c r="N28" s="124" t="str">
        <x:f>IF($A28="","",K28*B28)</x:f>
      </x:c>
      <x:c r="O28" s="124" t="str">
        <x:f>IF($A28="","",M28*B28)</x:f>
      </x:c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  <x:c r="AA28" s="101"/>
      <x:c r="AB28" s="101"/>
      <x:c r="AC28" s="101"/>
      <x:c r="AD28" s="101"/>
      <x:c r="AE28" s="101"/>
    </x:row>
    <x:row r="29">
      <x:c r="A29" s="100" t="str">
        <x:f>IF('Curtain Input'!A29="","",'Curtain Input'!A29)</x:f>
      </x:c>
      <x:c r="B29" s="100" t="str">
        <x:f>IF('Curtain Input'!A29="","",'Curtain Input'!C29)</x:f>
      </x:c>
      <x:c r="C29" s="124" t="str">
        <x:f>IF($A29="","",IFERROR('Curtain Input'!G29/1000*VLOOKUP('Curtain Input'!F29,'Weight Rules'!$B:$C,2,FALSE),0))</x:f>
      </x:c>
      <x:c r="D29" s="124" t="str">
        <x:f>IF($A29="","",IFERROR('Curtain Input'!I29/1000*VLOOKUP('Curtain Input'!H29,'Weight Rules'!$B:$C,2,FALSE),0))</x:f>
      </x:c>
      <x:c r="E29" s="124" t="str">
        <x:f>IF($A29="","",IFERROR('Curtain Input'!M29/1000*'Curtain Input'!L29*VLOOKUP('Curtain Input'!K29,'Weight Rules'!$B:$C,2,FALSE),0))</x:f>
      </x:c>
      <x:c r="F29" s="124" t="str">
        <x:f>IF($A29="","",IFERROR(('Curtain Input'!O29/1000)*('Curtain Input'!P29/1000)*'Curtain Input'!N29*VLOOKUP('Curtain Input'!B29,'Weight Rules'!$B:$C,2,FALSE),0))</x:f>
      </x:c>
      <x:c r="G29" s="124" t="str">
        <x:f>IF($A29="","",IFERROR('Curtain Input'!R29/1000*VLOOKUP('Curtain Input'!Q29,'Weight Rules'!$B:$C,2,FALSE),0))</x:f>
      </x:c>
      <x:c r="H29" s="124" t="str">
        <x:f>IF($A29="","",IFERROR('Curtain Input'!T29*VLOOKUP('Curtain Input'!S29,'Weight Rules'!$B:$C,2,FALSE),0))</x:f>
      </x:c>
      <x:c r="I29" s="124" t="str">
        <x:f>IF($A29="","",IFERROR('Curtain Input'!U29*VLOOKUP("Control panel",'Weight Rules'!$B:$C,2,FALSE),0)+IFERROR('Curtain Input'!V29*VLOOKUP("Key switch",'Weight Rules'!$B:$C,2,FALSE),0)+IFERROR('Curtain Input'!W29*VLOOKUP("Emergency retract button / ERB",'Weight Rules'!$B:$C,2,FALSE),0)+IFERROR('Curtain Input'!X29*VLOOKUP("Battery &amp; mains monitor",'Weight Rules'!$B:$C,2,FALSE),0)+IFERROR('Curtain Input'!Y29*VLOOKUP("Beam sensor kit",'Weight Rules'!$B:$C,2,FALSE),0)+IFERROR('Curtain Input'!Z29*VLOOKUP("Audio visual",'Weight Rules'!$B:$C,2,FALSE),0)+IFERROR('Curtain Input'!AA29*VLOOKUP("Timer relay kit",'Weight Rules'!$B:$C,2,FALSE),0)+IFERROR('Curtain Input'!AB29*VLOOKUP("Delay / split drop",'Weight Rules'!$B:$C,2,FALSE),0))</x:f>
      </x:c>
      <x:c r="J29" s="124" t="str">
        <x:f>IF($A29="","",IFERROR(VLOOKUP('Curtain Input'!AC29,'Weight Rules'!$B:$C,2,FALSE),0))</x:f>
      </x:c>
      <x:c r="K29" s="124" t="str">
        <x:f>IF($A29="","",SUM(C29:J29))</x:f>
      </x:c>
      <x:c r="L29" s="124" t="str">
        <x:f>IF($A29="","",K29*'START HERE'!$B$16)</x:f>
      </x:c>
      <x:c r="M29" s="124" t="str">
        <x:f>IF($A29="","",K29+L29)</x:f>
      </x:c>
      <x:c r="N29" s="124" t="str">
        <x:f>IF($A29="","",K29*B29)</x:f>
      </x:c>
      <x:c r="O29" s="124" t="str">
        <x:f>IF($A29="","",M29*B29)</x:f>
      </x:c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  <x:c r="AA29" s="101"/>
      <x:c r="AB29" s="101"/>
      <x:c r="AC29" s="101"/>
      <x:c r="AD29" s="101"/>
      <x:c r="AE29" s="101"/>
    </x:row>
    <x:row r="30">
      <x:c r="A30" s="100" t="str">
        <x:f>IF('Curtain Input'!A30="","",'Curtain Input'!A30)</x:f>
      </x:c>
      <x:c r="B30" s="100" t="str">
        <x:f>IF('Curtain Input'!A30="","",'Curtain Input'!C30)</x:f>
      </x:c>
      <x:c r="C30" s="124" t="str">
        <x:f>IF($A30="","",IFERROR('Curtain Input'!G30/1000*VLOOKUP('Curtain Input'!F30,'Weight Rules'!$B:$C,2,FALSE),0))</x:f>
      </x:c>
      <x:c r="D30" s="124" t="str">
        <x:f>IF($A30="","",IFERROR('Curtain Input'!I30/1000*VLOOKUP('Curtain Input'!H30,'Weight Rules'!$B:$C,2,FALSE),0))</x:f>
      </x:c>
      <x:c r="E30" s="124" t="str">
        <x:f>IF($A30="","",IFERROR('Curtain Input'!M30/1000*'Curtain Input'!L30*VLOOKUP('Curtain Input'!K30,'Weight Rules'!$B:$C,2,FALSE),0))</x:f>
      </x:c>
      <x:c r="F30" s="124" t="str">
        <x:f>IF($A30="","",IFERROR(('Curtain Input'!O30/1000)*('Curtain Input'!P30/1000)*'Curtain Input'!N30*VLOOKUP('Curtain Input'!B30,'Weight Rules'!$B:$C,2,FALSE),0))</x:f>
      </x:c>
      <x:c r="G30" s="124" t="str">
        <x:f>IF($A30="","",IFERROR('Curtain Input'!R30/1000*VLOOKUP('Curtain Input'!Q30,'Weight Rules'!$B:$C,2,FALSE),0))</x:f>
      </x:c>
      <x:c r="H30" s="124" t="str">
        <x:f>IF($A30="","",IFERROR('Curtain Input'!T30*VLOOKUP('Curtain Input'!S30,'Weight Rules'!$B:$C,2,FALSE),0))</x:f>
      </x:c>
      <x:c r="I30" s="124" t="str">
        <x:f>IF($A30="","",IFERROR('Curtain Input'!U30*VLOOKUP("Control panel",'Weight Rules'!$B:$C,2,FALSE),0)+IFERROR('Curtain Input'!V30*VLOOKUP("Key switch",'Weight Rules'!$B:$C,2,FALSE),0)+IFERROR('Curtain Input'!W30*VLOOKUP("Emergency retract button / ERB",'Weight Rules'!$B:$C,2,FALSE),0)+IFERROR('Curtain Input'!X30*VLOOKUP("Battery &amp; mains monitor",'Weight Rules'!$B:$C,2,FALSE),0)+IFERROR('Curtain Input'!Y30*VLOOKUP("Beam sensor kit",'Weight Rules'!$B:$C,2,FALSE),0)+IFERROR('Curtain Input'!Z30*VLOOKUP("Audio visual",'Weight Rules'!$B:$C,2,FALSE),0)+IFERROR('Curtain Input'!AA30*VLOOKUP("Timer relay kit",'Weight Rules'!$B:$C,2,FALSE),0)+IFERROR('Curtain Input'!AB30*VLOOKUP("Delay / split drop",'Weight Rules'!$B:$C,2,FALSE),0))</x:f>
      </x:c>
      <x:c r="J30" s="124" t="str">
        <x:f>IF($A30="","",IFERROR(VLOOKUP('Curtain Input'!AC30,'Weight Rules'!$B:$C,2,FALSE),0))</x:f>
      </x:c>
      <x:c r="K30" s="124" t="str">
        <x:f>IF($A30="","",SUM(C30:J30))</x:f>
      </x:c>
      <x:c r="L30" s="124" t="str">
        <x:f>IF($A30="","",K30*'START HERE'!$B$16)</x:f>
      </x:c>
      <x:c r="M30" s="124" t="str">
        <x:f>IF($A30="","",K30+L30)</x:f>
      </x:c>
      <x:c r="N30" s="124" t="str">
        <x:f>IF($A30="","",K30*B30)</x:f>
      </x:c>
      <x:c r="O30" s="124" t="str">
        <x:f>IF($A30="","",M30*B30)</x:f>
      </x:c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  <x:c r="AA30" s="101"/>
      <x:c r="AB30" s="101"/>
      <x:c r="AC30" s="101"/>
      <x:c r="AD30" s="101"/>
      <x:c r="AE30" s="101"/>
    </x:row>
    <x:row r="31">
      <x:c r="A31" s="100" t="str">
        <x:f>IF('Curtain Input'!A31="","",'Curtain Input'!A31)</x:f>
      </x:c>
      <x:c r="B31" s="100" t="str">
        <x:f>IF('Curtain Input'!A31="","",'Curtain Input'!C31)</x:f>
      </x:c>
      <x:c r="C31" s="124" t="str">
        <x:f>IF($A31="","",IFERROR('Curtain Input'!G31/1000*VLOOKUP('Curtain Input'!F31,'Weight Rules'!$B:$C,2,FALSE),0))</x:f>
      </x:c>
      <x:c r="D31" s="124" t="str">
        <x:f>IF($A31="","",IFERROR('Curtain Input'!I31/1000*VLOOKUP('Curtain Input'!H31,'Weight Rules'!$B:$C,2,FALSE),0))</x:f>
      </x:c>
      <x:c r="E31" s="124" t="str">
        <x:f>IF($A31="","",IFERROR('Curtain Input'!M31/1000*'Curtain Input'!L31*VLOOKUP('Curtain Input'!K31,'Weight Rules'!$B:$C,2,FALSE),0))</x:f>
      </x:c>
      <x:c r="F31" s="124" t="str">
        <x:f>IF($A31="","",IFERROR(('Curtain Input'!O31/1000)*('Curtain Input'!P31/1000)*'Curtain Input'!N31*VLOOKUP('Curtain Input'!B31,'Weight Rules'!$B:$C,2,FALSE),0))</x:f>
      </x:c>
      <x:c r="G31" s="124" t="str">
        <x:f>IF($A31="","",IFERROR('Curtain Input'!R31/1000*VLOOKUP('Curtain Input'!Q31,'Weight Rules'!$B:$C,2,FALSE),0))</x:f>
      </x:c>
      <x:c r="H31" s="124" t="str">
        <x:f>IF($A31="","",IFERROR('Curtain Input'!T31*VLOOKUP('Curtain Input'!S31,'Weight Rules'!$B:$C,2,FALSE),0))</x:f>
      </x:c>
      <x:c r="I31" s="124" t="str">
        <x:f>IF($A31="","",IFERROR('Curtain Input'!U31*VLOOKUP("Control panel",'Weight Rules'!$B:$C,2,FALSE),0)+IFERROR('Curtain Input'!V31*VLOOKUP("Key switch",'Weight Rules'!$B:$C,2,FALSE),0)+IFERROR('Curtain Input'!W31*VLOOKUP("Emergency retract button / ERB",'Weight Rules'!$B:$C,2,FALSE),0)+IFERROR('Curtain Input'!X31*VLOOKUP("Battery &amp; mains monitor",'Weight Rules'!$B:$C,2,FALSE),0)+IFERROR('Curtain Input'!Y31*VLOOKUP("Beam sensor kit",'Weight Rules'!$B:$C,2,FALSE),0)+IFERROR('Curtain Input'!Z31*VLOOKUP("Audio visual",'Weight Rules'!$B:$C,2,FALSE),0)+IFERROR('Curtain Input'!AA31*VLOOKUP("Timer relay kit",'Weight Rules'!$B:$C,2,FALSE),0)+IFERROR('Curtain Input'!AB31*VLOOKUP("Delay / split drop",'Weight Rules'!$B:$C,2,FALSE),0))</x:f>
      </x:c>
      <x:c r="J31" s="124" t="str">
        <x:f>IF($A31="","",IFERROR(VLOOKUP('Curtain Input'!AC31,'Weight Rules'!$B:$C,2,FALSE),0))</x:f>
      </x:c>
      <x:c r="K31" s="124" t="str">
        <x:f>IF($A31="","",SUM(C31:J31))</x:f>
      </x:c>
      <x:c r="L31" s="124" t="str">
        <x:f>IF($A31="","",K31*'START HERE'!$B$16)</x:f>
      </x:c>
      <x:c r="M31" s="124" t="str">
        <x:f>IF($A31="","",K31+L31)</x:f>
      </x:c>
      <x:c r="N31" s="124" t="str">
        <x:f>IF($A31="","",K31*B31)</x:f>
      </x:c>
      <x:c r="O31" s="124" t="str">
        <x:f>IF($A31="","",M31*B31)</x:f>
      </x:c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  <x:c r="AA31" s="101"/>
      <x:c r="AB31" s="101"/>
      <x:c r="AC31" s="101"/>
      <x:c r="AD31" s="101"/>
      <x:c r="AE31" s="101"/>
    </x:row>
    <x:row r="32">
      <x:c r="A32" s="100" t="str">
        <x:f>IF('Curtain Input'!A32="","",'Curtain Input'!A32)</x:f>
      </x:c>
      <x:c r="B32" s="100" t="str">
        <x:f>IF('Curtain Input'!A32="","",'Curtain Input'!C32)</x:f>
      </x:c>
      <x:c r="C32" s="124" t="str">
        <x:f>IF($A32="","",IFERROR('Curtain Input'!G32/1000*VLOOKUP('Curtain Input'!F32,'Weight Rules'!$B:$C,2,FALSE),0))</x:f>
      </x:c>
      <x:c r="D32" s="124" t="str">
        <x:f>IF($A32="","",IFERROR('Curtain Input'!I32/1000*VLOOKUP('Curtain Input'!H32,'Weight Rules'!$B:$C,2,FALSE),0))</x:f>
      </x:c>
      <x:c r="E32" s="124" t="str">
        <x:f>IF($A32="","",IFERROR('Curtain Input'!M32/1000*'Curtain Input'!L32*VLOOKUP('Curtain Input'!K32,'Weight Rules'!$B:$C,2,FALSE),0))</x:f>
      </x:c>
      <x:c r="F32" s="124" t="str">
        <x:f>IF($A32="","",IFERROR(('Curtain Input'!O32/1000)*('Curtain Input'!P32/1000)*'Curtain Input'!N32*VLOOKUP('Curtain Input'!B32,'Weight Rules'!$B:$C,2,FALSE),0))</x:f>
      </x:c>
      <x:c r="G32" s="124" t="str">
        <x:f>IF($A32="","",IFERROR('Curtain Input'!R32/1000*VLOOKUP('Curtain Input'!Q32,'Weight Rules'!$B:$C,2,FALSE),0))</x:f>
      </x:c>
      <x:c r="H32" s="124" t="str">
        <x:f>IF($A32="","",IFERROR('Curtain Input'!T32*VLOOKUP('Curtain Input'!S32,'Weight Rules'!$B:$C,2,FALSE),0))</x:f>
      </x:c>
      <x:c r="I32" s="124" t="str">
        <x:f>IF($A32="","",IFERROR('Curtain Input'!U32*VLOOKUP("Control panel",'Weight Rules'!$B:$C,2,FALSE),0)+IFERROR('Curtain Input'!V32*VLOOKUP("Key switch",'Weight Rules'!$B:$C,2,FALSE),0)+IFERROR('Curtain Input'!W32*VLOOKUP("Emergency retract button / ERB",'Weight Rules'!$B:$C,2,FALSE),0)+IFERROR('Curtain Input'!X32*VLOOKUP("Battery &amp; mains monitor",'Weight Rules'!$B:$C,2,FALSE),0)+IFERROR('Curtain Input'!Y32*VLOOKUP("Beam sensor kit",'Weight Rules'!$B:$C,2,FALSE),0)+IFERROR('Curtain Input'!Z32*VLOOKUP("Audio visual",'Weight Rules'!$B:$C,2,FALSE),0)+IFERROR('Curtain Input'!AA32*VLOOKUP("Timer relay kit",'Weight Rules'!$B:$C,2,FALSE),0)+IFERROR('Curtain Input'!AB32*VLOOKUP("Delay / split drop",'Weight Rules'!$B:$C,2,FALSE),0))</x:f>
      </x:c>
      <x:c r="J32" s="124" t="str">
        <x:f>IF($A32="","",IFERROR(VLOOKUP('Curtain Input'!AC32,'Weight Rules'!$B:$C,2,FALSE),0))</x:f>
      </x:c>
      <x:c r="K32" s="124" t="str">
        <x:f>IF($A32="","",SUM(C32:J32))</x:f>
      </x:c>
      <x:c r="L32" s="124" t="str">
        <x:f>IF($A32="","",K32*'START HERE'!$B$16)</x:f>
      </x:c>
      <x:c r="M32" s="124" t="str">
        <x:f>IF($A32="","",K32+L32)</x:f>
      </x:c>
      <x:c r="N32" s="124" t="str">
        <x:f>IF($A32="","",K32*B32)</x:f>
      </x:c>
      <x:c r="O32" s="124" t="str">
        <x:f>IF($A32="","",M32*B32)</x:f>
      </x:c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  <x:c r="AA32" s="101"/>
      <x:c r="AB32" s="101"/>
      <x:c r="AC32" s="101"/>
      <x:c r="AD32" s="101"/>
      <x:c r="AE32" s="101"/>
    </x:row>
    <x:row r="33">
      <x:c r="A33" s="100" t="str">
        <x:f>IF('Curtain Input'!A33="","",'Curtain Input'!A33)</x:f>
      </x:c>
      <x:c r="B33" s="100" t="str">
        <x:f>IF('Curtain Input'!A33="","",'Curtain Input'!C33)</x:f>
      </x:c>
      <x:c r="C33" s="124" t="str">
        <x:f>IF($A33="","",IFERROR('Curtain Input'!G33/1000*VLOOKUP('Curtain Input'!F33,'Weight Rules'!$B:$C,2,FALSE),0))</x:f>
      </x:c>
      <x:c r="D33" s="124" t="str">
        <x:f>IF($A33="","",IFERROR('Curtain Input'!I33/1000*VLOOKUP('Curtain Input'!H33,'Weight Rules'!$B:$C,2,FALSE),0))</x:f>
      </x:c>
      <x:c r="E33" s="124" t="str">
        <x:f>IF($A33="","",IFERROR('Curtain Input'!M33/1000*'Curtain Input'!L33*VLOOKUP('Curtain Input'!K33,'Weight Rules'!$B:$C,2,FALSE),0))</x:f>
      </x:c>
      <x:c r="F33" s="124" t="str">
        <x:f>IF($A33="","",IFERROR(('Curtain Input'!O33/1000)*('Curtain Input'!P33/1000)*'Curtain Input'!N33*VLOOKUP('Curtain Input'!B33,'Weight Rules'!$B:$C,2,FALSE),0))</x:f>
      </x:c>
      <x:c r="G33" s="124" t="str">
        <x:f>IF($A33="","",IFERROR('Curtain Input'!R33/1000*VLOOKUP('Curtain Input'!Q33,'Weight Rules'!$B:$C,2,FALSE),0))</x:f>
      </x:c>
      <x:c r="H33" s="124" t="str">
        <x:f>IF($A33="","",IFERROR('Curtain Input'!T33*VLOOKUP('Curtain Input'!S33,'Weight Rules'!$B:$C,2,FALSE),0))</x:f>
      </x:c>
      <x:c r="I33" s="124" t="str">
        <x:f>IF($A33="","",IFERROR('Curtain Input'!U33*VLOOKUP("Control panel",'Weight Rules'!$B:$C,2,FALSE),0)+IFERROR('Curtain Input'!V33*VLOOKUP("Key switch",'Weight Rules'!$B:$C,2,FALSE),0)+IFERROR('Curtain Input'!W33*VLOOKUP("Emergency retract button / ERB",'Weight Rules'!$B:$C,2,FALSE),0)+IFERROR('Curtain Input'!X33*VLOOKUP("Battery &amp; mains monitor",'Weight Rules'!$B:$C,2,FALSE),0)+IFERROR('Curtain Input'!Y33*VLOOKUP("Beam sensor kit",'Weight Rules'!$B:$C,2,FALSE),0)+IFERROR('Curtain Input'!Z33*VLOOKUP("Audio visual",'Weight Rules'!$B:$C,2,FALSE),0)+IFERROR('Curtain Input'!AA33*VLOOKUP("Timer relay kit",'Weight Rules'!$B:$C,2,FALSE),0)+IFERROR('Curtain Input'!AB33*VLOOKUP("Delay / split drop",'Weight Rules'!$B:$C,2,FALSE),0))</x:f>
      </x:c>
      <x:c r="J33" s="124" t="str">
        <x:f>IF($A33="","",IFERROR(VLOOKUP('Curtain Input'!AC33,'Weight Rules'!$B:$C,2,FALSE),0))</x:f>
      </x:c>
      <x:c r="K33" s="124" t="str">
        <x:f>IF($A33="","",SUM(C33:J33))</x:f>
      </x:c>
      <x:c r="L33" s="124" t="str">
        <x:f>IF($A33="","",K33*'START HERE'!$B$16)</x:f>
      </x:c>
      <x:c r="M33" s="124" t="str">
        <x:f>IF($A33="","",K33+L33)</x:f>
      </x:c>
      <x:c r="N33" s="124" t="str">
        <x:f>IF($A33="","",K33*B33)</x:f>
      </x:c>
      <x:c r="O33" s="124" t="str">
        <x:f>IF($A33="","",M33*B33)</x:f>
      </x:c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  <x:c r="AA33" s="101"/>
      <x:c r="AB33" s="101"/>
      <x:c r="AC33" s="101"/>
      <x:c r="AD33" s="101"/>
      <x:c r="AE33" s="101"/>
    </x:row>
    <x:row r="34">
      <x:c r="A34" s="100" t="str">
        <x:f>IF('Curtain Input'!A34="","",'Curtain Input'!A34)</x:f>
      </x:c>
      <x:c r="B34" s="100" t="str">
        <x:f>IF('Curtain Input'!A34="","",'Curtain Input'!C34)</x:f>
      </x:c>
      <x:c r="C34" s="124" t="str">
        <x:f>IF($A34="","",IFERROR('Curtain Input'!G34/1000*VLOOKUP('Curtain Input'!F34,'Weight Rules'!$B:$C,2,FALSE),0))</x:f>
      </x:c>
      <x:c r="D34" s="124" t="str">
        <x:f>IF($A34="","",IFERROR('Curtain Input'!I34/1000*VLOOKUP('Curtain Input'!H34,'Weight Rules'!$B:$C,2,FALSE),0))</x:f>
      </x:c>
      <x:c r="E34" s="124" t="str">
        <x:f>IF($A34="","",IFERROR('Curtain Input'!M34/1000*'Curtain Input'!L34*VLOOKUP('Curtain Input'!K34,'Weight Rules'!$B:$C,2,FALSE),0))</x:f>
      </x:c>
      <x:c r="F34" s="124" t="str">
        <x:f>IF($A34="","",IFERROR(('Curtain Input'!O34/1000)*('Curtain Input'!P34/1000)*'Curtain Input'!N34*VLOOKUP('Curtain Input'!B34,'Weight Rules'!$B:$C,2,FALSE),0))</x:f>
      </x:c>
      <x:c r="G34" s="124" t="str">
        <x:f>IF($A34="","",IFERROR('Curtain Input'!R34/1000*VLOOKUP('Curtain Input'!Q34,'Weight Rules'!$B:$C,2,FALSE),0))</x:f>
      </x:c>
      <x:c r="H34" s="124" t="str">
        <x:f>IF($A34="","",IFERROR('Curtain Input'!T34*VLOOKUP('Curtain Input'!S34,'Weight Rules'!$B:$C,2,FALSE),0))</x:f>
      </x:c>
      <x:c r="I34" s="124" t="str">
        <x:f>IF($A34="","",IFERROR('Curtain Input'!U34*VLOOKUP("Control panel",'Weight Rules'!$B:$C,2,FALSE),0)+IFERROR('Curtain Input'!V34*VLOOKUP("Key switch",'Weight Rules'!$B:$C,2,FALSE),0)+IFERROR('Curtain Input'!W34*VLOOKUP("Emergency retract button / ERB",'Weight Rules'!$B:$C,2,FALSE),0)+IFERROR('Curtain Input'!X34*VLOOKUP("Battery &amp; mains monitor",'Weight Rules'!$B:$C,2,FALSE),0)+IFERROR('Curtain Input'!Y34*VLOOKUP("Beam sensor kit",'Weight Rules'!$B:$C,2,FALSE),0)+IFERROR('Curtain Input'!Z34*VLOOKUP("Audio visual",'Weight Rules'!$B:$C,2,FALSE),0)+IFERROR('Curtain Input'!AA34*VLOOKUP("Timer relay kit",'Weight Rules'!$B:$C,2,FALSE),0)+IFERROR('Curtain Input'!AB34*VLOOKUP("Delay / split drop",'Weight Rules'!$B:$C,2,FALSE),0))</x:f>
      </x:c>
      <x:c r="J34" s="124" t="str">
        <x:f>IF($A34="","",IFERROR(VLOOKUP('Curtain Input'!AC34,'Weight Rules'!$B:$C,2,FALSE),0))</x:f>
      </x:c>
      <x:c r="K34" s="124" t="str">
        <x:f>IF($A34="","",SUM(C34:J34))</x:f>
      </x:c>
      <x:c r="L34" s="124" t="str">
        <x:f>IF($A34="","",K34*'START HERE'!$B$16)</x:f>
      </x:c>
      <x:c r="M34" s="124" t="str">
        <x:f>IF($A34="","",K34+L34)</x:f>
      </x:c>
      <x:c r="N34" s="124" t="str">
        <x:f>IF($A34="","",K34*B34)</x:f>
      </x:c>
      <x:c r="O34" s="124" t="str">
        <x:f>IF($A34="","",M34*B34)</x:f>
      </x:c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  <x:c r="AA34" s="101"/>
      <x:c r="AB34" s="101"/>
      <x:c r="AC34" s="101"/>
      <x:c r="AD34" s="101"/>
      <x:c r="AE34" s="101"/>
    </x:row>
    <x:row r="35">
      <x:c r="A35" s="100" t="str">
        <x:f>IF('Curtain Input'!A35="","",'Curtain Input'!A35)</x:f>
      </x:c>
      <x:c r="B35" s="100" t="str">
        <x:f>IF('Curtain Input'!A35="","",'Curtain Input'!C35)</x:f>
      </x:c>
      <x:c r="C35" s="124" t="str">
        <x:f>IF($A35="","",IFERROR('Curtain Input'!G35/1000*VLOOKUP('Curtain Input'!F35,'Weight Rules'!$B:$C,2,FALSE),0))</x:f>
      </x:c>
      <x:c r="D35" s="124" t="str">
        <x:f>IF($A35="","",IFERROR('Curtain Input'!I35/1000*VLOOKUP('Curtain Input'!H35,'Weight Rules'!$B:$C,2,FALSE),0))</x:f>
      </x:c>
      <x:c r="E35" s="124" t="str">
        <x:f>IF($A35="","",IFERROR('Curtain Input'!M35/1000*'Curtain Input'!L35*VLOOKUP('Curtain Input'!K35,'Weight Rules'!$B:$C,2,FALSE),0))</x:f>
      </x:c>
      <x:c r="F35" s="124" t="str">
        <x:f>IF($A35="","",IFERROR(('Curtain Input'!O35/1000)*('Curtain Input'!P35/1000)*'Curtain Input'!N35*VLOOKUP('Curtain Input'!B35,'Weight Rules'!$B:$C,2,FALSE),0))</x:f>
      </x:c>
      <x:c r="G35" s="124" t="str">
        <x:f>IF($A35="","",IFERROR('Curtain Input'!R35/1000*VLOOKUP('Curtain Input'!Q35,'Weight Rules'!$B:$C,2,FALSE),0))</x:f>
      </x:c>
      <x:c r="H35" s="124" t="str">
        <x:f>IF($A35="","",IFERROR('Curtain Input'!T35*VLOOKUP('Curtain Input'!S35,'Weight Rules'!$B:$C,2,FALSE),0))</x:f>
      </x:c>
      <x:c r="I35" s="124" t="str">
        <x:f>IF($A35="","",IFERROR('Curtain Input'!U35*VLOOKUP("Control panel",'Weight Rules'!$B:$C,2,FALSE),0)+IFERROR('Curtain Input'!V35*VLOOKUP("Key switch",'Weight Rules'!$B:$C,2,FALSE),0)+IFERROR('Curtain Input'!W35*VLOOKUP("Emergency retract button / ERB",'Weight Rules'!$B:$C,2,FALSE),0)+IFERROR('Curtain Input'!X35*VLOOKUP("Battery &amp; mains monitor",'Weight Rules'!$B:$C,2,FALSE),0)+IFERROR('Curtain Input'!Y35*VLOOKUP("Beam sensor kit",'Weight Rules'!$B:$C,2,FALSE),0)+IFERROR('Curtain Input'!Z35*VLOOKUP("Audio visual",'Weight Rules'!$B:$C,2,FALSE),0)+IFERROR('Curtain Input'!AA35*VLOOKUP("Timer relay kit",'Weight Rules'!$B:$C,2,FALSE),0)+IFERROR('Curtain Input'!AB35*VLOOKUP("Delay / split drop",'Weight Rules'!$B:$C,2,FALSE),0))</x:f>
      </x:c>
      <x:c r="J35" s="124" t="str">
        <x:f>IF($A35="","",IFERROR(VLOOKUP('Curtain Input'!AC35,'Weight Rules'!$B:$C,2,FALSE),0))</x:f>
      </x:c>
      <x:c r="K35" s="124" t="str">
        <x:f>IF($A35="","",SUM(C35:J35))</x:f>
      </x:c>
      <x:c r="L35" s="124" t="str">
        <x:f>IF($A35="","",K35*'START HERE'!$B$16)</x:f>
      </x:c>
      <x:c r="M35" s="124" t="str">
        <x:f>IF($A35="","",K35+L35)</x:f>
      </x:c>
      <x:c r="N35" s="124" t="str">
        <x:f>IF($A35="","",K35*B35)</x:f>
      </x:c>
      <x:c r="O35" s="124" t="str">
        <x:f>IF($A35="","",M35*B35)</x:f>
      </x:c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  <x:c r="AA35" s="101"/>
      <x:c r="AB35" s="101"/>
      <x:c r="AC35" s="101"/>
      <x:c r="AD35" s="101"/>
      <x:c r="AE35" s="101"/>
    </x:row>
    <x:row r="36">
      <x:c r="A36" s="100" t="str">
        <x:f>IF('Curtain Input'!A36="","",'Curtain Input'!A36)</x:f>
      </x:c>
      <x:c r="B36" s="100" t="str">
        <x:f>IF('Curtain Input'!A36="","",'Curtain Input'!C36)</x:f>
      </x:c>
      <x:c r="C36" s="124" t="str">
        <x:f>IF($A36="","",IFERROR('Curtain Input'!G36/1000*VLOOKUP('Curtain Input'!F36,'Weight Rules'!$B:$C,2,FALSE),0))</x:f>
      </x:c>
      <x:c r="D36" s="124" t="str">
        <x:f>IF($A36="","",IFERROR('Curtain Input'!I36/1000*VLOOKUP('Curtain Input'!H36,'Weight Rules'!$B:$C,2,FALSE),0))</x:f>
      </x:c>
      <x:c r="E36" s="124" t="str">
        <x:f>IF($A36="","",IFERROR('Curtain Input'!M36/1000*'Curtain Input'!L36*VLOOKUP('Curtain Input'!K36,'Weight Rules'!$B:$C,2,FALSE),0))</x:f>
      </x:c>
      <x:c r="F36" s="124" t="str">
        <x:f>IF($A36="","",IFERROR(('Curtain Input'!O36/1000)*('Curtain Input'!P36/1000)*'Curtain Input'!N36*VLOOKUP('Curtain Input'!B36,'Weight Rules'!$B:$C,2,FALSE),0))</x:f>
      </x:c>
      <x:c r="G36" s="124" t="str">
        <x:f>IF($A36="","",IFERROR('Curtain Input'!R36/1000*VLOOKUP('Curtain Input'!Q36,'Weight Rules'!$B:$C,2,FALSE),0))</x:f>
      </x:c>
      <x:c r="H36" s="124" t="str">
        <x:f>IF($A36="","",IFERROR('Curtain Input'!T36*VLOOKUP('Curtain Input'!S36,'Weight Rules'!$B:$C,2,FALSE),0))</x:f>
      </x:c>
      <x:c r="I36" s="124" t="str">
        <x:f>IF($A36="","",IFERROR('Curtain Input'!U36*VLOOKUP("Control panel",'Weight Rules'!$B:$C,2,FALSE),0)+IFERROR('Curtain Input'!V36*VLOOKUP("Key switch",'Weight Rules'!$B:$C,2,FALSE),0)+IFERROR('Curtain Input'!W36*VLOOKUP("Emergency retract button / ERB",'Weight Rules'!$B:$C,2,FALSE),0)+IFERROR('Curtain Input'!X36*VLOOKUP("Battery &amp; mains monitor",'Weight Rules'!$B:$C,2,FALSE),0)+IFERROR('Curtain Input'!Y36*VLOOKUP("Beam sensor kit",'Weight Rules'!$B:$C,2,FALSE),0)+IFERROR('Curtain Input'!Z36*VLOOKUP("Audio visual",'Weight Rules'!$B:$C,2,FALSE),0)+IFERROR('Curtain Input'!AA36*VLOOKUP("Timer relay kit",'Weight Rules'!$B:$C,2,FALSE),0)+IFERROR('Curtain Input'!AB36*VLOOKUP("Delay / split drop",'Weight Rules'!$B:$C,2,FALSE),0))</x:f>
      </x:c>
      <x:c r="J36" s="124" t="str">
        <x:f>IF($A36="","",IFERROR(VLOOKUP('Curtain Input'!AC36,'Weight Rules'!$B:$C,2,FALSE),0))</x:f>
      </x:c>
      <x:c r="K36" s="124" t="str">
        <x:f>IF($A36="","",SUM(C36:J36))</x:f>
      </x:c>
      <x:c r="L36" s="124" t="str">
        <x:f>IF($A36="","",K36*'START HERE'!$B$16)</x:f>
      </x:c>
      <x:c r="M36" s="124" t="str">
        <x:f>IF($A36="","",K36+L36)</x:f>
      </x:c>
      <x:c r="N36" s="124" t="str">
        <x:f>IF($A36="","",K36*B36)</x:f>
      </x:c>
      <x:c r="O36" s="124" t="str">
        <x:f>IF($A36="","",M36*B36)</x:f>
      </x:c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  <x:c r="AA36" s="101"/>
      <x:c r="AB36" s="101"/>
      <x:c r="AC36" s="101"/>
      <x:c r="AD36" s="101"/>
      <x:c r="AE36" s="101"/>
    </x:row>
    <x:row r="37">
      <x:c r="A37" s="100" t="str">
        <x:f>IF('Curtain Input'!A37="","",'Curtain Input'!A37)</x:f>
      </x:c>
      <x:c r="B37" s="100" t="str">
        <x:f>IF('Curtain Input'!A37="","",'Curtain Input'!C37)</x:f>
      </x:c>
      <x:c r="C37" s="124" t="str">
        <x:f>IF($A37="","",IFERROR('Curtain Input'!G37/1000*VLOOKUP('Curtain Input'!F37,'Weight Rules'!$B:$C,2,FALSE),0))</x:f>
      </x:c>
      <x:c r="D37" s="124" t="str">
        <x:f>IF($A37="","",IFERROR('Curtain Input'!I37/1000*VLOOKUP('Curtain Input'!H37,'Weight Rules'!$B:$C,2,FALSE),0))</x:f>
      </x:c>
      <x:c r="E37" s="124" t="str">
        <x:f>IF($A37="","",IFERROR('Curtain Input'!M37/1000*'Curtain Input'!L37*VLOOKUP('Curtain Input'!K37,'Weight Rules'!$B:$C,2,FALSE),0))</x:f>
      </x:c>
      <x:c r="F37" s="124" t="str">
        <x:f>IF($A37="","",IFERROR(('Curtain Input'!O37/1000)*('Curtain Input'!P37/1000)*'Curtain Input'!N37*VLOOKUP('Curtain Input'!B37,'Weight Rules'!$B:$C,2,FALSE),0))</x:f>
      </x:c>
      <x:c r="G37" s="124" t="str">
        <x:f>IF($A37="","",IFERROR('Curtain Input'!R37/1000*VLOOKUP('Curtain Input'!Q37,'Weight Rules'!$B:$C,2,FALSE),0))</x:f>
      </x:c>
      <x:c r="H37" s="124" t="str">
        <x:f>IF($A37="","",IFERROR('Curtain Input'!T37*VLOOKUP('Curtain Input'!S37,'Weight Rules'!$B:$C,2,FALSE),0))</x:f>
      </x:c>
      <x:c r="I37" s="124" t="str">
        <x:f>IF($A37="","",IFERROR('Curtain Input'!U37*VLOOKUP("Control panel",'Weight Rules'!$B:$C,2,FALSE),0)+IFERROR('Curtain Input'!V37*VLOOKUP("Key switch",'Weight Rules'!$B:$C,2,FALSE),0)+IFERROR('Curtain Input'!W37*VLOOKUP("Emergency retract button / ERB",'Weight Rules'!$B:$C,2,FALSE),0)+IFERROR('Curtain Input'!X37*VLOOKUP("Battery &amp; mains monitor",'Weight Rules'!$B:$C,2,FALSE),0)+IFERROR('Curtain Input'!Y37*VLOOKUP("Beam sensor kit",'Weight Rules'!$B:$C,2,FALSE),0)+IFERROR('Curtain Input'!Z37*VLOOKUP("Audio visual",'Weight Rules'!$B:$C,2,FALSE),0)+IFERROR('Curtain Input'!AA37*VLOOKUP("Timer relay kit",'Weight Rules'!$B:$C,2,FALSE),0)+IFERROR('Curtain Input'!AB37*VLOOKUP("Delay / split drop",'Weight Rules'!$B:$C,2,FALSE),0))</x:f>
      </x:c>
      <x:c r="J37" s="124" t="str">
        <x:f>IF($A37="","",IFERROR(VLOOKUP('Curtain Input'!AC37,'Weight Rules'!$B:$C,2,FALSE),0))</x:f>
      </x:c>
      <x:c r="K37" s="124" t="str">
        <x:f>IF($A37="","",SUM(C37:J37))</x:f>
      </x:c>
      <x:c r="L37" s="124" t="str">
        <x:f>IF($A37="","",K37*'START HERE'!$B$16)</x:f>
      </x:c>
      <x:c r="M37" s="124" t="str">
        <x:f>IF($A37="","",K37+L37)</x:f>
      </x:c>
      <x:c r="N37" s="124" t="str">
        <x:f>IF($A37="","",K37*B37)</x:f>
      </x:c>
      <x:c r="O37" s="124" t="str">
        <x:f>IF($A37="","",M37*B37)</x:f>
      </x:c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  <x:c r="AA37" s="101"/>
      <x:c r="AB37" s="101"/>
      <x:c r="AC37" s="101"/>
      <x:c r="AD37" s="101"/>
      <x:c r="AE37" s="101"/>
    </x:row>
    <x:row r="38">
      <x:c r="A38" s="100" t="str">
        <x:f>IF('Curtain Input'!A38="","",'Curtain Input'!A38)</x:f>
      </x:c>
      <x:c r="B38" s="100" t="str">
        <x:f>IF('Curtain Input'!A38="","",'Curtain Input'!C38)</x:f>
      </x:c>
      <x:c r="C38" s="124" t="str">
        <x:f>IF($A38="","",IFERROR('Curtain Input'!G38/1000*VLOOKUP('Curtain Input'!F38,'Weight Rules'!$B:$C,2,FALSE),0))</x:f>
      </x:c>
      <x:c r="D38" s="124" t="str">
        <x:f>IF($A38="","",IFERROR('Curtain Input'!I38/1000*VLOOKUP('Curtain Input'!H38,'Weight Rules'!$B:$C,2,FALSE),0))</x:f>
      </x:c>
      <x:c r="E38" s="124" t="str">
        <x:f>IF($A38="","",IFERROR('Curtain Input'!M38/1000*'Curtain Input'!L38*VLOOKUP('Curtain Input'!K38,'Weight Rules'!$B:$C,2,FALSE),0))</x:f>
      </x:c>
      <x:c r="F38" s="124" t="str">
        <x:f>IF($A38="","",IFERROR(('Curtain Input'!O38/1000)*('Curtain Input'!P38/1000)*'Curtain Input'!N38*VLOOKUP('Curtain Input'!B38,'Weight Rules'!$B:$C,2,FALSE),0))</x:f>
      </x:c>
      <x:c r="G38" s="124" t="str">
        <x:f>IF($A38="","",IFERROR('Curtain Input'!R38/1000*VLOOKUP('Curtain Input'!Q38,'Weight Rules'!$B:$C,2,FALSE),0))</x:f>
      </x:c>
      <x:c r="H38" s="124" t="str">
        <x:f>IF($A38="","",IFERROR('Curtain Input'!T38*VLOOKUP('Curtain Input'!S38,'Weight Rules'!$B:$C,2,FALSE),0))</x:f>
      </x:c>
      <x:c r="I38" s="124" t="str">
        <x:f>IF($A38="","",IFERROR('Curtain Input'!U38*VLOOKUP("Control panel",'Weight Rules'!$B:$C,2,FALSE),0)+IFERROR('Curtain Input'!V38*VLOOKUP("Key switch",'Weight Rules'!$B:$C,2,FALSE),0)+IFERROR('Curtain Input'!W38*VLOOKUP("Emergency retract button / ERB",'Weight Rules'!$B:$C,2,FALSE),0)+IFERROR('Curtain Input'!X38*VLOOKUP("Battery &amp; mains monitor",'Weight Rules'!$B:$C,2,FALSE),0)+IFERROR('Curtain Input'!Y38*VLOOKUP("Beam sensor kit",'Weight Rules'!$B:$C,2,FALSE),0)+IFERROR('Curtain Input'!Z38*VLOOKUP("Audio visual",'Weight Rules'!$B:$C,2,FALSE),0)+IFERROR('Curtain Input'!AA38*VLOOKUP("Timer relay kit",'Weight Rules'!$B:$C,2,FALSE),0)+IFERROR('Curtain Input'!AB38*VLOOKUP("Delay / split drop",'Weight Rules'!$B:$C,2,FALSE),0))</x:f>
      </x:c>
      <x:c r="J38" s="124" t="str">
        <x:f>IF($A38="","",IFERROR(VLOOKUP('Curtain Input'!AC38,'Weight Rules'!$B:$C,2,FALSE),0))</x:f>
      </x:c>
      <x:c r="K38" s="124" t="str">
        <x:f>IF($A38="","",SUM(C38:J38))</x:f>
      </x:c>
      <x:c r="L38" s="124" t="str">
        <x:f>IF($A38="","",K38*'START HERE'!$B$16)</x:f>
      </x:c>
      <x:c r="M38" s="124" t="str">
        <x:f>IF($A38="","",K38+L38)</x:f>
      </x:c>
      <x:c r="N38" s="124" t="str">
        <x:f>IF($A38="","",K38*B38)</x:f>
      </x:c>
      <x:c r="O38" s="124" t="str">
        <x:f>IF($A38="","",M38*B38)</x:f>
      </x:c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  <x:c r="AA38" s="101"/>
      <x:c r="AB38" s="101"/>
      <x:c r="AC38" s="101"/>
      <x:c r="AD38" s="101"/>
      <x:c r="AE38" s="101"/>
    </x:row>
    <x:row r="39">
      <x:c r="A39" s="100" t="str">
        <x:f>IF('Curtain Input'!A39="","",'Curtain Input'!A39)</x:f>
      </x:c>
      <x:c r="B39" s="100" t="str">
        <x:f>IF('Curtain Input'!A39="","",'Curtain Input'!C39)</x:f>
      </x:c>
      <x:c r="C39" s="124" t="str">
        <x:f>IF($A39="","",IFERROR('Curtain Input'!G39/1000*VLOOKUP('Curtain Input'!F39,'Weight Rules'!$B:$C,2,FALSE),0))</x:f>
      </x:c>
      <x:c r="D39" s="124" t="str">
        <x:f>IF($A39="","",IFERROR('Curtain Input'!I39/1000*VLOOKUP('Curtain Input'!H39,'Weight Rules'!$B:$C,2,FALSE),0))</x:f>
      </x:c>
      <x:c r="E39" s="124" t="str">
        <x:f>IF($A39="","",IFERROR('Curtain Input'!M39/1000*'Curtain Input'!L39*VLOOKUP('Curtain Input'!K39,'Weight Rules'!$B:$C,2,FALSE),0))</x:f>
      </x:c>
      <x:c r="F39" s="124" t="str">
        <x:f>IF($A39="","",IFERROR(('Curtain Input'!O39/1000)*('Curtain Input'!P39/1000)*'Curtain Input'!N39*VLOOKUP('Curtain Input'!B39,'Weight Rules'!$B:$C,2,FALSE),0))</x:f>
      </x:c>
      <x:c r="G39" s="124" t="str">
        <x:f>IF($A39="","",IFERROR('Curtain Input'!R39/1000*VLOOKUP('Curtain Input'!Q39,'Weight Rules'!$B:$C,2,FALSE),0))</x:f>
      </x:c>
      <x:c r="H39" s="124" t="str">
        <x:f>IF($A39="","",IFERROR('Curtain Input'!T39*VLOOKUP('Curtain Input'!S39,'Weight Rules'!$B:$C,2,FALSE),0))</x:f>
      </x:c>
      <x:c r="I39" s="124" t="str">
        <x:f>IF($A39="","",IFERROR('Curtain Input'!U39*VLOOKUP("Control panel",'Weight Rules'!$B:$C,2,FALSE),0)+IFERROR('Curtain Input'!V39*VLOOKUP("Key switch",'Weight Rules'!$B:$C,2,FALSE),0)+IFERROR('Curtain Input'!W39*VLOOKUP("Emergency retract button / ERB",'Weight Rules'!$B:$C,2,FALSE),0)+IFERROR('Curtain Input'!X39*VLOOKUP("Battery &amp; mains monitor",'Weight Rules'!$B:$C,2,FALSE),0)+IFERROR('Curtain Input'!Y39*VLOOKUP("Beam sensor kit",'Weight Rules'!$B:$C,2,FALSE),0)+IFERROR('Curtain Input'!Z39*VLOOKUP("Audio visual",'Weight Rules'!$B:$C,2,FALSE),0)+IFERROR('Curtain Input'!AA39*VLOOKUP("Timer relay kit",'Weight Rules'!$B:$C,2,FALSE),0)+IFERROR('Curtain Input'!AB39*VLOOKUP("Delay / split drop",'Weight Rules'!$B:$C,2,FALSE),0))</x:f>
      </x:c>
      <x:c r="J39" s="124" t="str">
        <x:f>IF($A39="","",IFERROR(VLOOKUP('Curtain Input'!AC39,'Weight Rules'!$B:$C,2,FALSE),0))</x:f>
      </x:c>
      <x:c r="K39" s="124" t="str">
        <x:f>IF($A39="","",SUM(C39:J39))</x:f>
      </x:c>
      <x:c r="L39" s="124" t="str">
        <x:f>IF($A39="","",K39*'START HERE'!$B$16)</x:f>
      </x:c>
      <x:c r="M39" s="124" t="str">
        <x:f>IF($A39="","",K39+L39)</x:f>
      </x:c>
      <x:c r="N39" s="124" t="str">
        <x:f>IF($A39="","",K39*B39)</x:f>
      </x:c>
      <x:c r="O39" s="124" t="str">
        <x:f>IF($A39="","",M39*B39)</x:f>
      </x:c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  <x:c r="AA39" s="101"/>
      <x:c r="AB39" s="101"/>
      <x:c r="AC39" s="101"/>
      <x:c r="AD39" s="101"/>
      <x:c r="AE39" s="101"/>
    </x:row>
    <x:row r="40">
      <x:c r="A40" s="100" t="str">
        <x:f>IF('Curtain Input'!A40="","",'Curtain Input'!A40)</x:f>
      </x:c>
      <x:c r="B40" s="100" t="str">
        <x:f>IF('Curtain Input'!A40="","",'Curtain Input'!C40)</x:f>
      </x:c>
      <x:c r="C40" s="124" t="str">
        <x:f>IF($A40="","",IFERROR('Curtain Input'!G40/1000*VLOOKUP('Curtain Input'!F40,'Weight Rules'!$B:$C,2,FALSE),0))</x:f>
      </x:c>
      <x:c r="D40" s="124" t="str">
        <x:f>IF($A40="","",IFERROR('Curtain Input'!I40/1000*VLOOKUP('Curtain Input'!H40,'Weight Rules'!$B:$C,2,FALSE),0))</x:f>
      </x:c>
      <x:c r="E40" s="124" t="str">
        <x:f>IF($A40="","",IFERROR('Curtain Input'!M40/1000*'Curtain Input'!L40*VLOOKUP('Curtain Input'!K40,'Weight Rules'!$B:$C,2,FALSE),0))</x:f>
      </x:c>
      <x:c r="F40" s="124" t="str">
        <x:f>IF($A40="","",IFERROR(('Curtain Input'!O40/1000)*('Curtain Input'!P40/1000)*'Curtain Input'!N40*VLOOKUP('Curtain Input'!B40,'Weight Rules'!$B:$C,2,FALSE),0))</x:f>
      </x:c>
      <x:c r="G40" s="124" t="str">
        <x:f>IF($A40="","",IFERROR('Curtain Input'!R40/1000*VLOOKUP('Curtain Input'!Q40,'Weight Rules'!$B:$C,2,FALSE),0))</x:f>
      </x:c>
      <x:c r="H40" s="124" t="str">
        <x:f>IF($A40="","",IFERROR('Curtain Input'!T40*VLOOKUP('Curtain Input'!S40,'Weight Rules'!$B:$C,2,FALSE),0))</x:f>
      </x:c>
      <x:c r="I40" s="124" t="str">
        <x:f>IF($A40="","",IFERROR('Curtain Input'!U40*VLOOKUP("Control panel",'Weight Rules'!$B:$C,2,FALSE),0)+IFERROR('Curtain Input'!V40*VLOOKUP("Key switch",'Weight Rules'!$B:$C,2,FALSE),0)+IFERROR('Curtain Input'!W40*VLOOKUP("Emergency retract button / ERB",'Weight Rules'!$B:$C,2,FALSE),0)+IFERROR('Curtain Input'!X40*VLOOKUP("Battery &amp; mains monitor",'Weight Rules'!$B:$C,2,FALSE),0)+IFERROR('Curtain Input'!Y40*VLOOKUP("Beam sensor kit",'Weight Rules'!$B:$C,2,FALSE),0)+IFERROR('Curtain Input'!Z40*VLOOKUP("Audio visual",'Weight Rules'!$B:$C,2,FALSE),0)+IFERROR('Curtain Input'!AA40*VLOOKUP("Timer relay kit",'Weight Rules'!$B:$C,2,FALSE),0)+IFERROR('Curtain Input'!AB40*VLOOKUP("Delay / split drop",'Weight Rules'!$B:$C,2,FALSE),0))</x:f>
      </x:c>
      <x:c r="J40" s="124" t="str">
        <x:f>IF($A40="","",IFERROR(VLOOKUP('Curtain Input'!AC40,'Weight Rules'!$B:$C,2,FALSE),0))</x:f>
      </x:c>
      <x:c r="K40" s="124" t="str">
        <x:f>IF($A40="","",SUM(C40:J40))</x:f>
      </x:c>
      <x:c r="L40" s="124" t="str">
        <x:f>IF($A40="","",K40*'START HERE'!$B$16)</x:f>
      </x:c>
      <x:c r="M40" s="124" t="str">
        <x:f>IF($A40="","",K40+L40)</x:f>
      </x:c>
      <x:c r="N40" s="124" t="str">
        <x:f>IF($A40="","",K40*B40)</x:f>
      </x:c>
      <x:c r="O40" s="124" t="str">
        <x:f>IF($A40="","",M40*B40)</x:f>
      </x:c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  <x:c r="AA40" s="101"/>
      <x:c r="AB40" s="101"/>
      <x:c r="AC40" s="101"/>
      <x:c r="AD40" s="101"/>
      <x:c r="AE40" s="101"/>
    </x:row>
    <x:row r="41">
      <x:c r="A41" s="100" t="str">
        <x:f>IF('Curtain Input'!A41="","",'Curtain Input'!A41)</x:f>
      </x:c>
      <x:c r="B41" s="100" t="str">
        <x:f>IF('Curtain Input'!A41="","",'Curtain Input'!C41)</x:f>
      </x:c>
      <x:c r="C41" s="124" t="str">
        <x:f>IF($A41="","",IFERROR('Curtain Input'!G41/1000*VLOOKUP('Curtain Input'!F41,'Weight Rules'!$B:$C,2,FALSE),0))</x:f>
      </x:c>
      <x:c r="D41" s="124" t="str">
        <x:f>IF($A41="","",IFERROR('Curtain Input'!I41/1000*VLOOKUP('Curtain Input'!H41,'Weight Rules'!$B:$C,2,FALSE),0))</x:f>
      </x:c>
      <x:c r="E41" s="124" t="str">
        <x:f>IF($A41="","",IFERROR('Curtain Input'!M41/1000*'Curtain Input'!L41*VLOOKUP('Curtain Input'!K41,'Weight Rules'!$B:$C,2,FALSE),0))</x:f>
      </x:c>
      <x:c r="F41" s="124" t="str">
        <x:f>IF($A41="","",IFERROR(('Curtain Input'!O41/1000)*('Curtain Input'!P41/1000)*'Curtain Input'!N41*VLOOKUP('Curtain Input'!B41,'Weight Rules'!$B:$C,2,FALSE),0))</x:f>
      </x:c>
      <x:c r="G41" s="124" t="str">
        <x:f>IF($A41="","",IFERROR('Curtain Input'!R41/1000*VLOOKUP('Curtain Input'!Q41,'Weight Rules'!$B:$C,2,FALSE),0))</x:f>
      </x:c>
      <x:c r="H41" s="124" t="str">
        <x:f>IF($A41="","",IFERROR('Curtain Input'!T41*VLOOKUP('Curtain Input'!S41,'Weight Rules'!$B:$C,2,FALSE),0))</x:f>
      </x:c>
      <x:c r="I41" s="124" t="str">
        <x:f>IF($A41="","",IFERROR('Curtain Input'!U41*VLOOKUP("Control panel",'Weight Rules'!$B:$C,2,FALSE),0)+IFERROR('Curtain Input'!V41*VLOOKUP("Key switch",'Weight Rules'!$B:$C,2,FALSE),0)+IFERROR('Curtain Input'!W41*VLOOKUP("Emergency retract button / ERB",'Weight Rules'!$B:$C,2,FALSE),0)+IFERROR('Curtain Input'!X41*VLOOKUP("Battery &amp; mains monitor",'Weight Rules'!$B:$C,2,FALSE),0)+IFERROR('Curtain Input'!Y41*VLOOKUP("Beam sensor kit",'Weight Rules'!$B:$C,2,FALSE),0)+IFERROR('Curtain Input'!Z41*VLOOKUP("Audio visual",'Weight Rules'!$B:$C,2,FALSE),0)+IFERROR('Curtain Input'!AA41*VLOOKUP("Timer relay kit",'Weight Rules'!$B:$C,2,FALSE),0)+IFERROR('Curtain Input'!AB41*VLOOKUP("Delay / split drop",'Weight Rules'!$B:$C,2,FALSE),0))</x:f>
      </x:c>
      <x:c r="J41" s="124" t="str">
        <x:f>IF($A41="","",IFERROR(VLOOKUP('Curtain Input'!AC41,'Weight Rules'!$B:$C,2,FALSE),0))</x:f>
      </x:c>
      <x:c r="K41" s="124" t="str">
        <x:f>IF($A41="","",SUM(C41:J41))</x:f>
      </x:c>
      <x:c r="L41" s="124" t="str">
        <x:f>IF($A41="","",K41*'START HERE'!$B$16)</x:f>
      </x:c>
      <x:c r="M41" s="124" t="str">
        <x:f>IF($A41="","",K41+L41)</x:f>
      </x:c>
      <x:c r="N41" s="124" t="str">
        <x:f>IF($A41="","",K41*B41)</x:f>
      </x:c>
      <x:c r="O41" s="124" t="str">
        <x:f>IF($A41="","",M41*B41)</x:f>
      </x:c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  <x:c r="AA41" s="101"/>
      <x:c r="AB41" s="101"/>
      <x:c r="AC41" s="101"/>
      <x:c r="AD41" s="101"/>
      <x:c r="AE41" s="101"/>
    </x:row>
    <x:row r="42">
      <x:c r="A42" s="100" t="str">
        <x:f>IF('Curtain Input'!A42="","",'Curtain Input'!A42)</x:f>
      </x:c>
      <x:c r="B42" s="100" t="str">
        <x:f>IF('Curtain Input'!A42="","",'Curtain Input'!C42)</x:f>
      </x:c>
      <x:c r="C42" s="124" t="str">
        <x:f>IF($A42="","",IFERROR('Curtain Input'!G42/1000*VLOOKUP('Curtain Input'!F42,'Weight Rules'!$B:$C,2,FALSE),0))</x:f>
      </x:c>
      <x:c r="D42" s="124" t="str">
        <x:f>IF($A42="","",IFERROR('Curtain Input'!I42/1000*VLOOKUP('Curtain Input'!H42,'Weight Rules'!$B:$C,2,FALSE),0))</x:f>
      </x:c>
      <x:c r="E42" s="124" t="str">
        <x:f>IF($A42="","",IFERROR('Curtain Input'!M42/1000*'Curtain Input'!L42*VLOOKUP('Curtain Input'!K42,'Weight Rules'!$B:$C,2,FALSE),0))</x:f>
      </x:c>
      <x:c r="F42" s="124" t="str">
        <x:f>IF($A42="","",IFERROR(('Curtain Input'!O42/1000)*('Curtain Input'!P42/1000)*'Curtain Input'!N42*VLOOKUP('Curtain Input'!B42,'Weight Rules'!$B:$C,2,FALSE),0))</x:f>
      </x:c>
      <x:c r="G42" s="124" t="str">
        <x:f>IF($A42="","",IFERROR('Curtain Input'!R42/1000*VLOOKUP('Curtain Input'!Q42,'Weight Rules'!$B:$C,2,FALSE),0))</x:f>
      </x:c>
      <x:c r="H42" s="124" t="str">
        <x:f>IF($A42="","",IFERROR('Curtain Input'!T42*VLOOKUP('Curtain Input'!S42,'Weight Rules'!$B:$C,2,FALSE),0))</x:f>
      </x:c>
      <x:c r="I42" s="124" t="str">
        <x:f>IF($A42="","",IFERROR('Curtain Input'!U42*VLOOKUP("Control panel",'Weight Rules'!$B:$C,2,FALSE),0)+IFERROR('Curtain Input'!V42*VLOOKUP("Key switch",'Weight Rules'!$B:$C,2,FALSE),0)+IFERROR('Curtain Input'!W42*VLOOKUP("Emergency retract button / ERB",'Weight Rules'!$B:$C,2,FALSE),0)+IFERROR('Curtain Input'!X42*VLOOKUP("Battery &amp; mains monitor",'Weight Rules'!$B:$C,2,FALSE),0)+IFERROR('Curtain Input'!Y42*VLOOKUP("Beam sensor kit",'Weight Rules'!$B:$C,2,FALSE),0)+IFERROR('Curtain Input'!Z42*VLOOKUP("Audio visual",'Weight Rules'!$B:$C,2,FALSE),0)+IFERROR('Curtain Input'!AA42*VLOOKUP("Timer relay kit",'Weight Rules'!$B:$C,2,FALSE),0)+IFERROR('Curtain Input'!AB42*VLOOKUP("Delay / split drop",'Weight Rules'!$B:$C,2,FALSE),0))</x:f>
      </x:c>
      <x:c r="J42" s="124" t="str">
        <x:f>IF($A42="","",IFERROR(VLOOKUP('Curtain Input'!AC42,'Weight Rules'!$B:$C,2,FALSE),0))</x:f>
      </x:c>
      <x:c r="K42" s="124" t="str">
        <x:f>IF($A42="","",SUM(C42:J42))</x:f>
      </x:c>
      <x:c r="L42" s="124" t="str">
        <x:f>IF($A42="","",K42*'START HERE'!$B$16)</x:f>
      </x:c>
      <x:c r="M42" s="124" t="str">
        <x:f>IF($A42="","",K42+L42)</x:f>
      </x:c>
      <x:c r="N42" s="124" t="str">
        <x:f>IF($A42="","",K42*B42)</x:f>
      </x:c>
      <x:c r="O42" s="124" t="str">
        <x:f>IF($A42="","",M42*B42)</x:f>
      </x:c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  <x:c r="AA42" s="101"/>
      <x:c r="AB42" s="101"/>
      <x:c r="AC42" s="101"/>
      <x:c r="AD42" s="101"/>
      <x:c r="AE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  <x:c r="AA43" s="101"/>
      <x:c r="AB43" s="101"/>
      <x:c r="AC43" s="101"/>
      <x:c r="AD43" s="101"/>
      <x:c r="AE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  <x:c r="AA44" s="101"/>
      <x:c r="AB44" s="101"/>
      <x:c r="AC44" s="101"/>
      <x:c r="AD44" s="101"/>
      <x:c r="AE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  <x:c r="AA45" s="101"/>
      <x:c r="AB45" s="101"/>
      <x:c r="AC45" s="101"/>
      <x:c r="AD45" s="101"/>
      <x:c r="AE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  <x:c r="AA46" s="101"/>
      <x:c r="AB46" s="101"/>
      <x:c r="AC46" s="101"/>
      <x:c r="AD46" s="101"/>
      <x:c r="AE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  <x:c r="AA47" s="101"/>
      <x:c r="AB47" s="101"/>
      <x:c r="AC47" s="101"/>
      <x:c r="AD47" s="101"/>
      <x:c r="AE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  <x:c r="AA48" s="101"/>
      <x:c r="AB48" s="101"/>
      <x:c r="AC48" s="101"/>
      <x:c r="AD48" s="101"/>
      <x:c r="AE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  <x:c r="AA49" s="101"/>
      <x:c r="AB49" s="101"/>
      <x:c r="AC49" s="101"/>
      <x:c r="AD49" s="101"/>
      <x:c r="AE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  <x:c r="AA50" s="101"/>
      <x:c r="AB50" s="101"/>
      <x:c r="AC50" s="101"/>
      <x:c r="AD50" s="101"/>
      <x:c r="AE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  <x:c r="AA51" s="101"/>
      <x:c r="AB51" s="101"/>
      <x:c r="AC51" s="101"/>
      <x:c r="AD51" s="101"/>
      <x:c r="AE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  <x:c r="AA52" s="101"/>
      <x:c r="AB52" s="101"/>
      <x:c r="AC52" s="101"/>
      <x:c r="AD52" s="101"/>
      <x:c r="AE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  <x:c r="AA53" s="101"/>
      <x:c r="AB53" s="101"/>
      <x:c r="AC53" s="101"/>
      <x:c r="AD53" s="101"/>
      <x:c r="AE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  <x:c r="AA54" s="101"/>
      <x:c r="AB54" s="101"/>
      <x:c r="AC54" s="101"/>
      <x:c r="AD54" s="101"/>
      <x:c r="AE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  <x:c r="AA55" s="101"/>
      <x:c r="AB55" s="101"/>
      <x:c r="AC55" s="101"/>
      <x:c r="AD55" s="101"/>
      <x:c r="AE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  <x:c r="AA56" s="101"/>
      <x:c r="AB56" s="101"/>
      <x:c r="AC56" s="101"/>
      <x:c r="AD56" s="101"/>
      <x:c r="AE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  <x:c r="AA57" s="101"/>
      <x:c r="AB57" s="101"/>
      <x:c r="AC57" s="101"/>
      <x:c r="AD57" s="101"/>
      <x:c r="AE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  <x:c r="AA58" s="101"/>
      <x:c r="AB58" s="101"/>
      <x:c r="AC58" s="101"/>
      <x:c r="AD58" s="101"/>
      <x:c r="AE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  <x:c r="AA59" s="101"/>
      <x:c r="AB59" s="101"/>
      <x:c r="AC59" s="101"/>
      <x:c r="AD59" s="101"/>
      <x:c r="AE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  <x:c r="AA60" s="101"/>
      <x:c r="AB60" s="101"/>
      <x:c r="AC60" s="101"/>
      <x:c r="AD60" s="101"/>
      <x:c r="AE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  <x:c r="AA61" s="101"/>
      <x:c r="AB61" s="101"/>
      <x:c r="AC61" s="101"/>
      <x:c r="AD61" s="101"/>
      <x:c r="AE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  <x:c r="AA62" s="101"/>
      <x:c r="AB62" s="101"/>
      <x:c r="AC62" s="101"/>
      <x:c r="AD62" s="101"/>
      <x:c r="AE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  <x:c r="AA63" s="101"/>
      <x:c r="AB63" s="101"/>
      <x:c r="AC63" s="101"/>
      <x:c r="AD63" s="101"/>
      <x:c r="AE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  <x:c r="AA64" s="101"/>
      <x:c r="AB64" s="101"/>
      <x:c r="AC64" s="101"/>
      <x:c r="AD64" s="101"/>
      <x:c r="AE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  <x:c r="AA65" s="101"/>
      <x:c r="AB65" s="101"/>
      <x:c r="AC65" s="101"/>
      <x:c r="AD65" s="101"/>
      <x:c r="AE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  <x:c r="AA66" s="101"/>
      <x:c r="AB66" s="101"/>
      <x:c r="AC66" s="101"/>
      <x:c r="AD66" s="101"/>
      <x:c r="AE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  <x:c r="AA67" s="101"/>
      <x:c r="AB67" s="101"/>
      <x:c r="AC67" s="101"/>
      <x:c r="AD67" s="101"/>
      <x:c r="AE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  <x:c r="AA68" s="101"/>
      <x:c r="AB68" s="101"/>
      <x:c r="AC68" s="101"/>
      <x:c r="AD68" s="101"/>
      <x:c r="AE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  <x:c r="AA69" s="101"/>
      <x:c r="AB69" s="101"/>
      <x:c r="AC69" s="101"/>
      <x:c r="AD69" s="101"/>
      <x:c r="AE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  <x:c r="AA70" s="101"/>
      <x:c r="AB70" s="101"/>
      <x:c r="AC70" s="101"/>
      <x:c r="AD70" s="101"/>
      <x:c r="AE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  <x:c r="AA71" s="101"/>
      <x:c r="AB71" s="101"/>
      <x:c r="AC71" s="101"/>
      <x:c r="AD71" s="101"/>
      <x:c r="AE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  <x:c r="AA72" s="101"/>
      <x:c r="AB72" s="101"/>
      <x:c r="AC72" s="101"/>
      <x:c r="AD72" s="101"/>
      <x:c r="AE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  <x:c r="AA73" s="101"/>
      <x:c r="AB73" s="101"/>
      <x:c r="AC73" s="101"/>
      <x:c r="AD73" s="101"/>
      <x:c r="AE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  <x:c r="AA74" s="101"/>
      <x:c r="AB74" s="101"/>
      <x:c r="AC74" s="101"/>
      <x:c r="AD74" s="101"/>
      <x:c r="AE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  <x:c r="AA75" s="101"/>
      <x:c r="AB75" s="101"/>
      <x:c r="AC75" s="101"/>
      <x:c r="AD75" s="101"/>
      <x:c r="AE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  <x:c r="AA76" s="101"/>
      <x:c r="AB76" s="101"/>
      <x:c r="AC76" s="101"/>
      <x:c r="AD76" s="101"/>
      <x:c r="AE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  <x:c r="AA77" s="101"/>
      <x:c r="AB77" s="101"/>
      <x:c r="AC77" s="101"/>
      <x:c r="AD77" s="101"/>
      <x:c r="AE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  <x:c r="AA78" s="101"/>
      <x:c r="AB78" s="101"/>
      <x:c r="AC78" s="101"/>
      <x:c r="AD78" s="101"/>
      <x:c r="AE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  <x:c r="AA79" s="101"/>
      <x:c r="AB79" s="101"/>
      <x:c r="AC79" s="101"/>
      <x:c r="AD79" s="101"/>
      <x:c r="AE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  <x:c r="AA80" s="101"/>
      <x:c r="AB80" s="101"/>
      <x:c r="AC80" s="101"/>
      <x:c r="AD80" s="101"/>
      <x:c r="AE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  <x:c r="AA81" s="101"/>
      <x:c r="AB81" s="101"/>
      <x:c r="AC81" s="101"/>
      <x:c r="AD81" s="101"/>
      <x:c r="AE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  <x:c r="AA82" s="101"/>
      <x:c r="AB82" s="101"/>
      <x:c r="AC82" s="101"/>
      <x:c r="AD82" s="101"/>
      <x:c r="AE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  <x:c r="AA83" s="101"/>
      <x:c r="AB83" s="101"/>
      <x:c r="AC83" s="101"/>
      <x:c r="AD83" s="101"/>
      <x:c r="AE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  <x:c r="AA84" s="101"/>
      <x:c r="AB84" s="101"/>
      <x:c r="AC84" s="101"/>
      <x:c r="AD84" s="101"/>
      <x:c r="AE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  <x:c r="AA85" s="101"/>
      <x:c r="AB85" s="101"/>
      <x:c r="AC85" s="101"/>
      <x:c r="AD85" s="101"/>
      <x:c r="AE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  <x:c r="AA86" s="101"/>
      <x:c r="AB86" s="101"/>
      <x:c r="AC86" s="101"/>
      <x:c r="AD86" s="101"/>
      <x:c r="AE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  <x:c r="AA87" s="101"/>
      <x:c r="AB87" s="101"/>
      <x:c r="AC87" s="101"/>
      <x:c r="AD87" s="101"/>
      <x:c r="AE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  <x:c r="AA88" s="101"/>
      <x:c r="AB88" s="101"/>
      <x:c r="AC88" s="101"/>
      <x:c r="AD88" s="101"/>
      <x:c r="AE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  <x:c r="AA89" s="101"/>
      <x:c r="AB89" s="101"/>
      <x:c r="AC89" s="101"/>
      <x:c r="AD89" s="101"/>
      <x:c r="AE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  <x:c r="AA90" s="101"/>
      <x:c r="AB90" s="101"/>
      <x:c r="AC90" s="101"/>
      <x:c r="AD90" s="101"/>
      <x:c r="AE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  <x:c r="AA91" s="101"/>
      <x:c r="AB91" s="101"/>
      <x:c r="AC91" s="101"/>
      <x:c r="AD91" s="101"/>
      <x:c r="AE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  <x:c r="AA92" s="101"/>
      <x:c r="AB92" s="101"/>
      <x:c r="AC92" s="101"/>
      <x:c r="AD92" s="101"/>
      <x:c r="AE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  <x:c r="AA93" s="101"/>
      <x:c r="AB93" s="101"/>
      <x:c r="AC93" s="101"/>
      <x:c r="AD93" s="101"/>
      <x:c r="AE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  <x:c r="AA94" s="101"/>
      <x:c r="AB94" s="101"/>
      <x:c r="AC94" s="101"/>
      <x:c r="AD94" s="101"/>
      <x:c r="AE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  <x:c r="AA95" s="101"/>
      <x:c r="AB95" s="101"/>
      <x:c r="AC95" s="101"/>
      <x:c r="AD95" s="101"/>
      <x:c r="AE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  <x:c r="AA96" s="101"/>
      <x:c r="AB96" s="101"/>
      <x:c r="AC96" s="101"/>
      <x:c r="AD96" s="101"/>
      <x:c r="AE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  <x:c r="AA97" s="101"/>
      <x:c r="AB97" s="101"/>
      <x:c r="AC97" s="101"/>
      <x:c r="AD97" s="101"/>
      <x:c r="AE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  <x:c r="AA98" s="101"/>
      <x:c r="AB98" s="101"/>
      <x:c r="AC98" s="101"/>
      <x:c r="AD98" s="101"/>
      <x:c r="AE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  <x:c r="AA99" s="101"/>
      <x:c r="AB99" s="101"/>
      <x:c r="AC99" s="101"/>
      <x:c r="AD99" s="101"/>
      <x:c r="AE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  <x:c r="AA100" s="101"/>
      <x:c r="AB100" s="101"/>
      <x:c r="AC100" s="101"/>
      <x:c r="AD100" s="101"/>
      <x:c r="AE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  <x:c r="AA101" s="101"/>
      <x:c r="AB101" s="101"/>
      <x:c r="AC101" s="101"/>
      <x:c r="AD101" s="101"/>
      <x:c r="AE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  <x:c r="AA102" s="101"/>
      <x:c r="AB102" s="101"/>
      <x:c r="AC102" s="101"/>
      <x:c r="AD102" s="101"/>
      <x:c r="AE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  <x:c r="AA103" s="101"/>
      <x:c r="AB103" s="101"/>
      <x:c r="AC103" s="101"/>
      <x:c r="AD103" s="101"/>
      <x:c r="AE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  <x:c r="AA104" s="101"/>
      <x:c r="AB104" s="101"/>
      <x:c r="AC104" s="101"/>
      <x:c r="AD104" s="101"/>
      <x:c r="AE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  <x:c r="AA105" s="101"/>
      <x:c r="AB105" s="101"/>
      <x:c r="AC105" s="101"/>
      <x:c r="AD105" s="101"/>
      <x:c r="AE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  <x:c r="AA106" s="101"/>
      <x:c r="AB106" s="101"/>
      <x:c r="AC106" s="101"/>
      <x:c r="AD106" s="101"/>
      <x:c r="AE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  <x:c r="AA107" s="101"/>
      <x:c r="AB107" s="101"/>
      <x:c r="AC107" s="101"/>
      <x:c r="AD107" s="101"/>
      <x:c r="AE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  <x:c r="AA108" s="101"/>
      <x:c r="AB108" s="101"/>
      <x:c r="AC108" s="101"/>
      <x:c r="AD108" s="101"/>
      <x:c r="AE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  <x:c r="AA109" s="101"/>
      <x:c r="AB109" s="101"/>
      <x:c r="AC109" s="101"/>
      <x:c r="AD109" s="101"/>
      <x:c r="AE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  <x:c r="AA110" s="101"/>
      <x:c r="AB110" s="101"/>
      <x:c r="AC110" s="101"/>
      <x:c r="AD110" s="101"/>
      <x:c r="AE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  <x:c r="AA111" s="101"/>
      <x:c r="AB111" s="101"/>
      <x:c r="AC111" s="101"/>
      <x:c r="AD111" s="101"/>
      <x:c r="AE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  <x:c r="AA112" s="101"/>
      <x:c r="AB112" s="101"/>
      <x:c r="AC112" s="101"/>
      <x:c r="AD112" s="101"/>
      <x:c r="AE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  <x:c r="AA113" s="101"/>
      <x:c r="AB113" s="101"/>
      <x:c r="AC113" s="101"/>
      <x:c r="AD113" s="101"/>
      <x:c r="AE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  <x:c r="AA114" s="101"/>
      <x:c r="AB114" s="101"/>
      <x:c r="AC114" s="101"/>
      <x:c r="AD114" s="101"/>
      <x:c r="AE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  <x:c r="AA115" s="101"/>
      <x:c r="AB115" s="101"/>
      <x:c r="AC115" s="101"/>
      <x:c r="AD115" s="101"/>
      <x:c r="AE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  <x:c r="AA116" s="101"/>
      <x:c r="AB116" s="101"/>
      <x:c r="AC116" s="101"/>
      <x:c r="AD116" s="101"/>
      <x:c r="AE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  <x:c r="AA117" s="101"/>
      <x:c r="AB117" s="101"/>
      <x:c r="AC117" s="101"/>
      <x:c r="AD117" s="101"/>
      <x:c r="AE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  <x:c r="AA118" s="101"/>
      <x:c r="AB118" s="101"/>
      <x:c r="AC118" s="101"/>
      <x:c r="AD118" s="101"/>
      <x:c r="AE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  <x:c r="AA119" s="101"/>
      <x:c r="AB119" s="101"/>
      <x:c r="AC119" s="101"/>
      <x:c r="AD119" s="101"/>
      <x:c r="AE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  <x:c r="AA120" s="101"/>
      <x:c r="AB120" s="101"/>
      <x:c r="AC120" s="101"/>
      <x:c r="AD120" s="101"/>
      <x:c r="AE120" s="101"/>
    </x:row>
    <x:row r="121">
      <x:c r="A121" s="101"/>
      <x:c r="B121" s="101"/>
      <x:c r="C121" s="101"/>
      <x:c r="D121" s="101"/>
      <x:c r="E121" s="101"/>
      <x:c r="F121" s="101"/>
      <x:c r="G121" s="101"/>
      <x:c r="H121" s="101"/>
      <x:c r="I121" s="101"/>
      <x:c r="J121" s="101"/>
      <x:c r="K121" s="101"/>
      <x:c r="L121" s="101"/>
      <x:c r="M121" s="101"/>
      <x:c r="N121" s="101"/>
      <x:c r="O121" s="101"/>
      <x:c r="P121" s="101"/>
      <x:c r="Q121" s="101"/>
      <x:c r="R121" s="101"/>
      <x:c r="S121" s="101"/>
      <x:c r="T121" s="101"/>
      <x:c r="U121" s="101"/>
      <x:c r="V121" s="101"/>
      <x:c r="W121" s="101"/>
      <x:c r="X121" s="101"/>
      <x:c r="Y121" s="101"/>
      <x:c r="Z121" s="101"/>
      <x:c r="AA121" s="101"/>
      <x:c r="AB121" s="101"/>
      <x:c r="AC121" s="101"/>
      <x:c r="AD121" s="101"/>
      <x:c r="AE121" s="101"/>
    </x:row>
    <x:row r="122">
      <x:c r="A122" s="101"/>
      <x:c r="B122" s="101"/>
      <x:c r="C122" s="101"/>
      <x:c r="D122" s="101"/>
      <x:c r="E122" s="101"/>
      <x:c r="F122" s="101"/>
      <x:c r="G122" s="101"/>
      <x:c r="H122" s="101"/>
      <x:c r="I122" s="101"/>
      <x:c r="J122" s="101"/>
      <x:c r="K122" s="101"/>
      <x:c r="L122" s="101"/>
      <x:c r="M122" s="101"/>
      <x:c r="N122" s="101"/>
      <x:c r="O122" s="101"/>
      <x:c r="P122" s="101"/>
      <x:c r="Q122" s="101"/>
      <x:c r="R122" s="101"/>
      <x:c r="S122" s="101"/>
      <x:c r="T122" s="101"/>
      <x:c r="U122" s="101"/>
      <x:c r="V122" s="101"/>
      <x:c r="W122" s="101"/>
      <x:c r="X122" s="101"/>
      <x:c r="Y122" s="101"/>
      <x:c r="Z122" s="101"/>
      <x:c r="AA122" s="101"/>
      <x:c r="AB122" s="101"/>
      <x:c r="AC122" s="101"/>
      <x:c r="AD122" s="101"/>
      <x:c r="AE122" s="101"/>
    </x:row>
    <x:row r="123">
      <x:c r="A123" s="101"/>
      <x:c r="B123" s="101"/>
      <x:c r="C123" s="101"/>
      <x:c r="D123" s="101"/>
      <x:c r="E123" s="101"/>
      <x:c r="F123" s="101"/>
      <x:c r="G123" s="101"/>
      <x:c r="H123" s="101"/>
      <x:c r="I123" s="101"/>
      <x:c r="J123" s="101"/>
      <x:c r="K123" s="101"/>
      <x:c r="L123" s="101"/>
      <x:c r="M123" s="101"/>
      <x:c r="N123" s="101"/>
      <x:c r="O123" s="101"/>
      <x:c r="P123" s="101"/>
      <x:c r="Q123" s="101"/>
      <x:c r="R123" s="101"/>
      <x:c r="S123" s="101"/>
      <x:c r="T123" s="101"/>
      <x:c r="U123" s="101"/>
      <x:c r="V123" s="101"/>
      <x:c r="W123" s="101"/>
      <x:c r="X123" s="101"/>
      <x:c r="Y123" s="101"/>
      <x:c r="Z123" s="101"/>
      <x:c r="AA123" s="101"/>
      <x:c r="AB123" s="101"/>
      <x:c r="AC123" s="101"/>
      <x:c r="AD123" s="101"/>
      <x:c r="AE123" s="101"/>
    </x:row>
    <x:row r="124">
      <x:c r="A124" s="101"/>
      <x:c r="B124" s="101"/>
      <x:c r="C124" s="101"/>
      <x:c r="D124" s="101"/>
      <x:c r="E124" s="101"/>
      <x:c r="F124" s="101"/>
      <x:c r="G124" s="101"/>
      <x:c r="H124" s="101"/>
      <x:c r="I124" s="101"/>
      <x:c r="J124" s="101"/>
      <x:c r="K124" s="101"/>
      <x:c r="L124" s="101"/>
      <x:c r="M124" s="101"/>
      <x:c r="N124" s="101"/>
      <x:c r="O124" s="101"/>
      <x:c r="P124" s="101"/>
      <x:c r="Q124" s="101"/>
      <x:c r="R124" s="101"/>
      <x:c r="S124" s="101"/>
      <x:c r="T124" s="101"/>
      <x:c r="U124" s="101"/>
      <x:c r="V124" s="101"/>
      <x:c r="W124" s="101"/>
      <x:c r="X124" s="101"/>
      <x:c r="Y124" s="101"/>
      <x:c r="Z124" s="101"/>
      <x:c r="AA124" s="101"/>
      <x:c r="AB124" s="101"/>
      <x:c r="AC124" s="101"/>
      <x:c r="AD124" s="101"/>
      <x:c r="AE124" s="101"/>
    </x:row>
    <x:row r="125">
      <x:c r="A125" s="101"/>
      <x:c r="B125" s="101"/>
      <x:c r="C125" s="101"/>
      <x:c r="D125" s="101"/>
      <x:c r="E125" s="101"/>
      <x:c r="F125" s="101"/>
      <x:c r="G125" s="101"/>
      <x:c r="H125" s="101"/>
      <x:c r="I125" s="101"/>
      <x:c r="J125" s="101"/>
      <x:c r="K125" s="101"/>
      <x:c r="L125" s="101"/>
      <x:c r="M125" s="101"/>
      <x:c r="N125" s="101"/>
      <x:c r="O125" s="101"/>
      <x:c r="P125" s="101"/>
      <x:c r="Q125" s="101"/>
      <x:c r="R125" s="101"/>
      <x:c r="S125" s="101"/>
      <x:c r="T125" s="101"/>
      <x:c r="U125" s="101"/>
      <x:c r="V125" s="101"/>
      <x:c r="W125" s="101"/>
      <x:c r="X125" s="101"/>
      <x:c r="Y125" s="101"/>
      <x:c r="Z125" s="101"/>
      <x:c r="AA125" s="101"/>
      <x:c r="AB125" s="101"/>
      <x:c r="AC125" s="101"/>
      <x:c r="AD125" s="101"/>
      <x:c r="AE125" s="101"/>
    </x:row>
    <x:row r="126">
      <x:c r="A126" s="101"/>
      <x:c r="B126" s="101"/>
      <x:c r="C126" s="101"/>
      <x:c r="D126" s="101"/>
      <x:c r="E126" s="101"/>
      <x:c r="F126" s="101"/>
      <x:c r="G126" s="101"/>
      <x:c r="H126" s="101"/>
      <x:c r="I126" s="101"/>
      <x:c r="J126" s="101"/>
      <x:c r="K126" s="101"/>
      <x:c r="L126" s="101"/>
      <x:c r="M126" s="101"/>
      <x:c r="N126" s="101"/>
      <x:c r="O126" s="101"/>
      <x:c r="P126" s="101"/>
      <x:c r="Q126" s="101"/>
      <x:c r="R126" s="101"/>
      <x:c r="S126" s="101"/>
      <x:c r="T126" s="101"/>
      <x:c r="U126" s="101"/>
      <x:c r="V126" s="101"/>
      <x:c r="W126" s="101"/>
      <x:c r="X126" s="101"/>
      <x:c r="Y126" s="101"/>
      <x:c r="Z126" s="101"/>
      <x:c r="AA126" s="101"/>
      <x:c r="AB126" s="101"/>
      <x:c r="AC126" s="101"/>
      <x:c r="AD126" s="101"/>
      <x:c r="AE126" s="101"/>
    </x:row>
    <x:row r="127">
      <x:c r="A127" s="101"/>
      <x:c r="B127" s="101"/>
      <x:c r="C127" s="101"/>
      <x:c r="D127" s="101"/>
      <x:c r="E127" s="101"/>
      <x:c r="F127" s="101"/>
      <x:c r="G127" s="101"/>
      <x:c r="H127" s="101"/>
      <x:c r="I127" s="101"/>
      <x:c r="J127" s="101"/>
      <x:c r="K127" s="101"/>
      <x:c r="L127" s="101"/>
      <x:c r="M127" s="101"/>
      <x:c r="N127" s="101"/>
      <x:c r="O127" s="101"/>
      <x:c r="P127" s="101"/>
      <x:c r="Q127" s="101"/>
      <x:c r="R127" s="101"/>
      <x:c r="S127" s="101"/>
      <x:c r="T127" s="101"/>
      <x:c r="U127" s="101"/>
      <x:c r="V127" s="101"/>
      <x:c r="W127" s="101"/>
      <x:c r="X127" s="101"/>
      <x:c r="Y127" s="101"/>
      <x:c r="Z127" s="101"/>
      <x:c r="AA127" s="101"/>
      <x:c r="AB127" s="101"/>
      <x:c r="AC127" s="101"/>
      <x:c r="AD127" s="101"/>
      <x:c r="AE127" s="101"/>
    </x:row>
    <x:row r="128">
      <x:c r="A128" s="101"/>
      <x:c r="B128" s="101"/>
      <x:c r="C128" s="101"/>
      <x:c r="D128" s="101"/>
      <x:c r="E128" s="101"/>
      <x:c r="F128" s="101"/>
      <x:c r="G128" s="101"/>
      <x:c r="H128" s="101"/>
      <x:c r="I128" s="101"/>
      <x:c r="J128" s="101"/>
      <x:c r="K128" s="101"/>
      <x:c r="L128" s="101"/>
      <x:c r="M128" s="101"/>
      <x:c r="N128" s="101"/>
      <x:c r="O128" s="101"/>
      <x:c r="P128" s="101"/>
      <x:c r="Q128" s="101"/>
      <x:c r="R128" s="101"/>
      <x:c r="S128" s="101"/>
      <x:c r="T128" s="101"/>
      <x:c r="U128" s="101"/>
      <x:c r="V128" s="101"/>
      <x:c r="W128" s="101"/>
      <x:c r="X128" s="101"/>
      <x:c r="Y128" s="101"/>
      <x:c r="Z128" s="101"/>
      <x:c r="AA128" s="101"/>
      <x:c r="AB128" s="101"/>
      <x:c r="AC128" s="101"/>
      <x:c r="AD128" s="101"/>
      <x:c r="AE128" s="101"/>
    </x:row>
    <x:row r="129">
      <x:c r="A129" s="101"/>
      <x:c r="B129" s="101"/>
      <x:c r="C129" s="101"/>
      <x:c r="D129" s="101"/>
      <x:c r="E129" s="101"/>
      <x:c r="F129" s="101"/>
      <x:c r="G129" s="101"/>
      <x:c r="H129" s="101"/>
      <x:c r="I129" s="101"/>
      <x:c r="J129" s="101"/>
      <x:c r="K129" s="101"/>
      <x:c r="L129" s="101"/>
      <x:c r="M129" s="101"/>
      <x:c r="N129" s="101"/>
      <x:c r="O129" s="101"/>
      <x:c r="P129" s="101"/>
      <x:c r="Q129" s="101"/>
      <x:c r="R129" s="101"/>
      <x:c r="S129" s="101"/>
      <x:c r="T129" s="101"/>
      <x:c r="U129" s="101"/>
      <x:c r="V129" s="101"/>
      <x:c r="W129" s="101"/>
      <x:c r="X129" s="101"/>
      <x:c r="Y129" s="101"/>
      <x:c r="Z129" s="101"/>
      <x:c r="AA129" s="101"/>
      <x:c r="AB129" s="101"/>
      <x:c r="AC129" s="101"/>
      <x:c r="AD129" s="101"/>
      <x:c r="AE129" s="101"/>
    </x:row>
    <x:row r="130">
      <x:c r="A130" s="101"/>
      <x:c r="B130" s="101"/>
      <x:c r="C130" s="101"/>
      <x:c r="D130" s="101"/>
      <x:c r="E130" s="101"/>
      <x:c r="F130" s="101"/>
      <x:c r="G130" s="101"/>
      <x:c r="H130" s="101"/>
      <x:c r="I130" s="101"/>
      <x:c r="J130" s="101"/>
      <x:c r="K130" s="101"/>
      <x:c r="L130" s="101"/>
      <x:c r="M130" s="101"/>
      <x:c r="N130" s="101"/>
      <x:c r="O130" s="101"/>
      <x:c r="P130" s="101"/>
      <x:c r="Q130" s="101"/>
      <x:c r="R130" s="101"/>
      <x:c r="S130" s="101"/>
      <x:c r="T130" s="101"/>
      <x:c r="U130" s="101"/>
      <x:c r="V130" s="101"/>
      <x:c r="W130" s="101"/>
      <x:c r="X130" s="101"/>
      <x:c r="Y130" s="101"/>
      <x:c r="Z130" s="101"/>
      <x:c r="AA130" s="101"/>
      <x:c r="AB130" s="101"/>
      <x:c r="AC130" s="101"/>
      <x:c r="AD130" s="101"/>
      <x:c r="AE130" s="101"/>
    </x:row>
    <x:row r="131">
      <x:c r="A131" s="101"/>
      <x:c r="B131" s="101"/>
      <x:c r="C131" s="101"/>
      <x:c r="D131" s="101"/>
      <x:c r="E131" s="101"/>
      <x:c r="F131" s="101"/>
      <x:c r="G131" s="101"/>
      <x:c r="H131" s="101"/>
      <x:c r="I131" s="101"/>
      <x:c r="J131" s="101"/>
      <x:c r="K131" s="101"/>
      <x:c r="L131" s="101"/>
      <x:c r="M131" s="101"/>
      <x:c r="N131" s="101"/>
      <x:c r="O131" s="101"/>
      <x:c r="P131" s="101"/>
      <x:c r="Q131" s="101"/>
      <x:c r="R131" s="101"/>
      <x:c r="S131" s="101"/>
      <x:c r="T131" s="101"/>
      <x:c r="U131" s="101"/>
      <x:c r="V131" s="101"/>
      <x:c r="W131" s="101"/>
      <x:c r="X131" s="101"/>
      <x:c r="Y131" s="101"/>
      <x:c r="Z131" s="101"/>
      <x:c r="AA131" s="101"/>
      <x:c r="AB131" s="101"/>
      <x:c r="AC131" s="101"/>
      <x:c r="AD131" s="101"/>
      <x:c r="AE131" s="101"/>
    </x:row>
    <x:row r="132">
      <x:c r="A132" s="101"/>
      <x:c r="B132" s="101"/>
      <x:c r="C132" s="101"/>
      <x:c r="D132" s="101"/>
      <x:c r="E132" s="101"/>
      <x:c r="F132" s="101"/>
      <x:c r="G132" s="101"/>
      <x:c r="H132" s="101"/>
      <x:c r="I132" s="101"/>
      <x:c r="J132" s="101"/>
      <x:c r="K132" s="101"/>
      <x:c r="L132" s="101"/>
      <x:c r="M132" s="101"/>
      <x:c r="N132" s="101"/>
      <x:c r="O132" s="101"/>
      <x:c r="P132" s="101"/>
      <x:c r="Q132" s="101"/>
      <x:c r="R132" s="101"/>
      <x:c r="S132" s="101"/>
      <x:c r="T132" s="101"/>
      <x:c r="U132" s="101"/>
      <x:c r="V132" s="101"/>
      <x:c r="W132" s="101"/>
      <x:c r="X132" s="101"/>
      <x:c r="Y132" s="101"/>
      <x:c r="Z132" s="101"/>
      <x:c r="AA132" s="101"/>
      <x:c r="AB132" s="101"/>
      <x:c r="AC132" s="101"/>
      <x:c r="AD132" s="101"/>
      <x:c r="AE132" s="101"/>
    </x:row>
    <x:row r="133">
      <x:c r="A133" s="101"/>
      <x:c r="B133" s="101"/>
      <x:c r="C133" s="101"/>
      <x:c r="D133" s="101"/>
      <x:c r="E133" s="101"/>
      <x:c r="F133" s="101"/>
      <x:c r="G133" s="101"/>
      <x:c r="H133" s="101"/>
      <x:c r="I133" s="101"/>
      <x:c r="J133" s="101"/>
      <x:c r="K133" s="101"/>
      <x:c r="L133" s="101"/>
      <x:c r="M133" s="101"/>
      <x:c r="N133" s="101"/>
      <x:c r="O133" s="101"/>
      <x:c r="P133" s="101"/>
      <x:c r="Q133" s="101"/>
      <x:c r="R133" s="101"/>
      <x:c r="S133" s="101"/>
      <x:c r="T133" s="101"/>
      <x:c r="U133" s="101"/>
      <x:c r="V133" s="101"/>
      <x:c r="W133" s="101"/>
      <x:c r="X133" s="101"/>
      <x:c r="Y133" s="101"/>
      <x:c r="Z133" s="101"/>
      <x:c r="AA133" s="101"/>
      <x:c r="AB133" s="101"/>
      <x:c r="AC133" s="101"/>
      <x:c r="AD133" s="101"/>
      <x:c r="AE133" s="101"/>
    </x:row>
    <x:row r="134">
      <x:c r="A134" s="101"/>
      <x:c r="B134" s="101"/>
      <x:c r="C134" s="101"/>
      <x:c r="D134" s="101"/>
      <x:c r="E134" s="101"/>
      <x:c r="F134" s="101"/>
      <x:c r="G134" s="101"/>
      <x:c r="H134" s="101"/>
      <x:c r="I134" s="101"/>
      <x:c r="J134" s="101"/>
      <x:c r="K134" s="101"/>
      <x:c r="L134" s="101"/>
      <x:c r="M134" s="101"/>
      <x:c r="N134" s="101"/>
      <x:c r="O134" s="101"/>
      <x:c r="P134" s="101"/>
      <x:c r="Q134" s="101"/>
      <x:c r="R134" s="101"/>
      <x:c r="S134" s="101"/>
      <x:c r="T134" s="101"/>
      <x:c r="U134" s="101"/>
      <x:c r="V134" s="101"/>
      <x:c r="W134" s="101"/>
      <x:c r="X134" s="101"/>
      <x:c r="Y134" s="101"/>
      <x:c r="Z134" s="101"/>
      <x:c r="AA134" s="101"/>
      <x:c r="AB134" s="101"/>
      <x:c r="AC134" s="101"/>
      <x:c r="AD134" s="101"/>
      <x:c r="AE134" s="101"/>
    </x:row>
    <x:row r="135">
      <x:c r="A135" s="101"/>
      <x:c r="B135" s="101"/>
      <x:c r="C135" s="101"/>
      <x:c r="D135" s="101"/>
      <x:c r="E135" s="101"/>
      <x:c r="F135" s="101"/>
      <x:c r="G135" s="101"/>
      <x:c r="H135" s="101"/>
      <x:c r="I135" s="101"/>
      <x:c r="J135" s="101"/>
      <x:c r="K135" s="101"/>
      <x:c r="L135" s="101"/>
      <x:c r="M135" s="101"/>
      <x:c r="N135" s="101"/>
      <x:c r="O135" s="101"/>
      <x:c r="P135" s="101"/>
      <x:c r="Q135" s="101"/>
      <x:c r="R135" s="101"/>
      <x:c r="S135" s="101"/>
      <x:c r="T135" s="101"/>
      <x:c r="U135" s="101"/>
      <x:c r="V135" s="101"/>
      <x:c r="W135" s="101"/>
      <x:c r="X135" s="101"/>
      <x:c r="Y135" s="101"/>
      <x:c r="Z135" s="101"/>
      <x:c r="AA135" s="101"/>
      <x:c r="AB135" s="101"/>
      <x:c r="AC135" s="101"/>
      <x:c r="AD135" s="101"/>
      <x:c r="AE135" s="101"/>
    </x:row>
    <x:row r="136">
      <x:c r="A136" s="101"/>
      <x:c r="B136" s="101"/>
      <x:c r="C136" s="101"/>
      <x:c r="D136" s="101"/>
      <x:c r="E136" s="101"/>
      <x:c r="F136" s="101"/>
      <x:c r="G136" s="101"/>
      <x:c r="H136" s="101"/>
      <x:c r="I136" s="101"/>
      <x:c r="J136" s="101"/>
      <x:c r="K136" s="101"/>
      <x:c r="L136" s="101"/>
      <x:c r="M136" s="101"/>
      <x:c r="N136" s="101"/>
      <x:c r="O136" s="101"/>
      <x:c r="P136" s="101"/>
      <x:c r="Q136" s="101"/>
      <x:c r="R136" s="101"/>
      <x:c r="S136" s="101"/>
      <x:c r="T136" s="101"/>
      <x:c r="U136" s="101"/>
      <x:c r="V136" s="101"/>
      <x:c r="W136" s="101"/>
      <x:c r="X136" s="101"/>
      <x:c r="Y136" s="101"/>
      <x:c r="Z136" s="101"/>
      <x:c r="AA136" s="101"/>
      <x:c r="AB136" s="101"/>
      <x:c r="AC136" s="101"/>
      <x:c r="AD136" s="101"/>
      <x:c r="AE136" s="101"/>
    </x:row>
    <x:row r="137">
      <x:c r="A137" s="101"/>
      <x:c r="B137" s="101"/>
      <x:c r="C137" s="101"/>
      <x:c r="D137" s="101"/>
      <x:c r="E137" s="101"/>
      <x:c r="F137" s="101"/>
      <x:c r="G137" s="101"/>
      <x:c r="H137" s="101"/>
      <x:c r="I137" s="101"/>
      <x:c r="J137" s="101"/>
      <x:c r="K137" s="101"/>
      <x:c r="L137" s="101"/>
      <x:c r="M137" s="101"/>
      <x:c r="N137" s="101"/>
      <x:c r="O137" s="101"/>
      <x:c r="P137" s="101"/>
      <x:c r="Q137" s="101"/>
      <x:c r="R137" s="101"/>
      <x:c r="S137" s="101"/>
      <x:c r="T137" s="101"/>
      <x:c r="U137" s="101"/>
      <x:c r="V137" s="101"/>
      <x:c r="W137" s="101"/>
      <x:c r="X137" s="101"/>
      <x:c r="Y137" s="101"/>
      <x:c r="Z137" s="101"/>
      <x:c r="AA137" s="101"/>
      <x:c r="AB137" s="101"/>
      <x:c r="AC137" s="101"/>
      <x:c r="AD137" s="101"/>
      <x:c r="AE137" s="101"/>
    </x:row>
    <x:row r="138">
      <x:c r="A138" s="101"/>
      <x:c r="B138" s="101"/>
      <x:c r="C138" s="101"/>
      <x:c r="D138" s="101"/>
      <x:c r="E138" s="101"/>
      <x:c r="F138" s="101"/>
      <x:c r="G138" s="101"/>
      <x:c r="H138" s="101"/>
      <x:c r="I138" s="101"/>
      <x:c r="J138" s="101"/>
      <x:c r="K138" s="101"/>
      <x:c r="L138" s="101"/>
      <x:c r="M138" s="101"/>
      <x:c r="N138" s="101"/>
      <x:c r="O138" s="101"/>
      <x:c r="P138" s="101"/>
      <x:c r="Q138" s="101"/>
      <x:c r="R138" s="101"/>
      <x:c r="S138" s="101"/>
      <x:c r="T138" s="101"/>
      <x:c r="U138" s="101"/>
      <x:c r="V138" s="101"/>
      <x:c r="W138" s="101"/>
      <x:c r="X138" s="101"/>
      <x:c r="Y138" s="101"/>
      <x:c r="Z138" s="101"/>
      <x:c r="AA138" s="101"/>
      <x:c r="AB138" s="101"/>
      <x:c r="AC138" s="101"/>
      <x:c r="AD138" s="101"/>
      <x:c r="AE138" s="101"/>
    </x:row>
    <x:row r="139">
      <x:c r="A139" s="101"/>
      <x:c r="B139" s="101"/>
      <x:c r="C139" s="101"/>
      <x:c r="D139" s="101"/>
      <x:c r="E139" s="101"/>
      <x:c r="F139" s="101"/>
      <x:c r="G139" s="101"/>
      <x:c r="H139" s="101"/>
      <x:c r="I139" s="101"/>
      <x:c r="J139" s="101"/>
      <x:c r="K139" s="101"/>
      <x:c r="L139" s="101"/>
      <x:c r="M139" s="101"/>
      <x:c r="N139" s="101"/>
      <x:c r="O139" s="101"/>
      <x:c r="P139" s="101"/>
      <x:c r="Q139" s="101"/>
      <x:c r="R139" s="101"/>
      <x:c r="S139" s="101"/>
      <x:c r="T139" s="101"/>
      <x:c r="U139" s="101"/>
      <x:c r="V139" s="101"/>
      <x:c r="W139" s="101"/>
      <x:c r="X139" s="101"/>
      <x:c r="Y139" s="101"/>
      <x:c r="Z139" s="101"/>
      <x:c r="AA139" s="101"/>
      <x:c r="AB139" s="101"/>
      <x:c r="AC139" s="101"/>
      <x:c r="AD139" s="101"/>
      <x:c r="AE139" s="101"/>
    </x:row>
    <x:row r="140">
      <x:c r="A140" s="101"/>
      <x:c r="B140" s="101"/>
      <x:c r="C140" s="101"/>
      <x:c r="D140" s="101"/>
      <x:c r="E140" s="101"/>
      <x:c r="F140" s="101"/>
      <x:c r="G140" s="101"/>
      <x:c r="H140" s="101"/>
      <x:c r="I140" s="101"/>
      <x:c r="J140" s="101"/>
      <x:c r="K140" s="101"/>
      <x:c r="L140" s="101"/>
      <x:c r="M140" s="101"/>
      <x:c r="N140" s="101"/>
      <x:c r="O140" s="101"/>
      <x:c r="P140" s="101"/>
      <x:c r="Q140" s="101"/>
      <x:c r="R140" s="101"/>
      <x:c r="S140" s="101"/>
      <x:c r="T140" s="101"/>
      <x:c r="U140" s="101"/>
      <x:c r="V140" s="101"/>
      <x:c r="W140" s="101"/>
      <x:c r="X140" s="101"/>
      <x:c r="Y140" s="101"/>
      <x:c r="Z140" s="101"/>
      <x:c r="AA140" s="101"/>
      <x:c r="AB140" s="101"/>
      <x:c r="AC140" s="101"/>
      <x:c r="AD140" s="101"/>
      <x:c r="AE140" s="101"/>
    </x:row>
    <x:row r="141">
      <x:c r="A141" s="101"/>
      <x:c r="B141" s="101"/>
      <x:c r="C141" s="101"/>
      <x:c r="D141" s="101"/>
      <x:c r="E141" s="101"/>
      <x:c r="F141" s="101"/>
      <x:c r="G141" s="101"/>
      <x:c r="H141" s="101"/>
      <x:c r="I141" s="101"/>
      <x:c r="J141" s="101"/>
      <x:c r="K141" s="101"/>
      <x:c r="L141" s="101"/>
      <x:c r="M141" s="101"/>
      <x:c r="N141" s="101"/>
      <x:c r="O141" s="101"/>
      <x:c r="P141" s="101"/>
      <x:c r="Q141" s="101"/>
      <x:c r="R141" s="101"/>
      <x:c r="S141" s="101"/>
      <x:c r="T141" s="101"/>
      <x:c r="U141" s="101"/>
      <x:c r="V141" s="101"/>
      <x:c r="W141" s="101"/>
      <x:c r="X141" s="101"/>
      <x:c r="Y141" s="101"/>
      <x:c r="Z141" s="101"/>
      <x:c r="AA141" s="101"/>
      <x:c r="AB141" s="101"/>
      <x:c r="AC141" s="101"/>
      <x:c r="AD141" s="101"/>
      <x:c r="AE141" s="101"/>
    </x:row>
    <x:row r="142">
      <x:c r="A142" s="101"/>
      <x:c r="B142" s="101"/>
      <x:c r="C142" s="101"/>
      <x:c r="D142" s="101"/>
      <x:c r="E142" s="101"/>
      <x:c r="F142" s="101"/>
      <x:c r="G142" s="101"/>
      <x:c r="H142" s="101"/>
      <x:c r="I142" s="101"/>
      <x:c r="J142" s="101"/>
      <x:c r="K142" s="101"/>
      <x:c r="L142" s="101"/>
      <x:c r="M142" s="101"/>
      <x:c r="N142" s="101"/>
      <x:c r="O142" s="101"/>
      <x:c r="P142" s="101"/>
      <x:c r="Q142" s="101"/>
      <x:c r="R142" s="101"/>
      <x:c r="S142" s="101"/>
      <x:c r="T142" s="101"/>
      <x:c r="U142" s="101"/>
      <x:c r="V142" s="101"/>
      <x:c r="W142" s="101"/>
      <x:c r="X142" s="101"/>
      <x:c r="Y142" s="101"/>
      <x:c r="Z142" s="101"/>
      <x:c r="AA142" s="101"/>
      <x:c r="AB142" s="101"/>
      <x:c r="AC142" s="101"/>
      <x:c r="AD142" s="101"/>
      <x:c r="AE142" s="101"/>
    </x:row>
    <x:row r="143">
      <x:c r="A143" s="101"/>
      <x:c r="B143" s="101"/>
      <x:c r="C143" s="101"/>
      <x:c r="D143" s="101"/>
      <x:c r="E143" s="101"/>
      <x:c r="F143" s="101"/>
      <x:c r="G143" s="101"/>
      <x:c r="H143" s="101"/>
      <x:c r="I143" s="101"/>
      <x:c r="J143" s="101"/>
      <x:c r="K143" s="101"/>
      <x:c r="L143" s="101"/>
      <x:c r="M143" s="101"/>
      <x:c r="N143" s="101"/>
      <x:c r="O143" s="101"/>
      <x:c r="P143" s="101"/>
      <x:c r="Q143" s="101"/>
      <x:c r="R143" s="101"/>
      <x:c r="S143" s="101"/>
      <x:c r="T143" s="101"/>
      <x:c r="U143" s="101"/>
      <x:c r="V143" s="101"/>
      <x:c r="W143" s="101"/>
      <x:c r="X143" s="101"/>
      <x:c r="Y143" s="101"/>
      <x:c r="Z143" s="101"/>
      <x:c r="AA143" s="101"/>
      <x:c r="AB143" s="101"/>
      <x:c r="AC143" s="101"/>
      <x:c r="AD143" s="101"/>
      <x:c r="AE143" s="101"/>
    </x:row>
    <x:row r="144">
      <x:c r="A144" s="101"/>
      <x:c r="B144" s="101"/>
      <x:c r="C144" s="101"/>
      <x:c r="D144" s="101"/>
      <x:c r="E144" s="101"/>
      <x:c r="F144" s="101"/>
      <x:c r="G144" s="101"/>
      <x:c r="H144" s="101"/>
      <x:c r="I144" s="101"/>
      <x:c r="J144" s="101"/>
      <x:c r="K144" s="101"/>
      <x:c r="L144" s="101"/>
      <x:c r="M144" s="101"/>
      <x:c r="N144" s="101"/>
      <x:c r="O144" s="101"/>
      <x:c r="P144" s="101"/>
      <x:c r="Q144" s="101"/>
      <x:c r="R144" s="101"/>
      <x:c r="S144" s="101"/>
      <x:c r="T144" s="101"/>
      <x:c r="U144" s="101"/>
      <x:c r="V144" s="101"/>
      <x:c r="W144" s="101"/>
      <x:c r="X144" s="101"/>
      <x:c r="Y144" s="101"/>
      <x:c r="Z144" s="101"/>
      <x:c r="AA144" s="101"/>
      <x:c r="AB144" s="101"/>
      <x:c r="AC144" s="101"/>
      <x:c r="AD144" s="101"/>
      <x:c r="AE144" s="101"/>
    </x:row>
    <x:row r="145">
      <x:c r="A145" s="101"/>
      <x:c r="B145" s="101"/>
      <x:c r="C145" s="101"/>
      <x:c r="D145" s="101"/>
      <x:c r="E145" s="101"/>
      <x:c r="F145" s="101"/>
      <x:c r="G145" s="101"/>
      <x:c r="H145" s="101"/>
      <x:c r="I145" s="101"/>
      <x:c r="J145" s="101"/>
      <x:c r="K145" s="101"/>
      <x:c r="L145" s="101"/>
      <x:c r="M145" s="101"/>
      <x:c r="N145" s="101"/>
      <x:c r="O145" s="101"/>
      <x:c r="P145" s="101"/>
      <x:c r="Q145" s="101"/>
      <x:c r="R145" s="101"/>
      <x:c r="S145" s="101"/>
      <x:c r="T145" s="101"/>
      <x:c r="U145" s="101"/>
      <x:c r="V145" s="101"/>
      <x:c r="W145" s="101"/>
      <x:c r="X145" s="101"/>
      <x:c r="Y145" s="101"/>
      <x:c r="Z145" s="101"/>
      <x:c r="AA145" s="101"/>
      <x:c r="AB145" s="101"/>
      <x:c r="AC145" s="101"/>
      <x:c r="AD145" s="101"/>
      <x:c r="AE145" s="101"/>
    </x:row>
    <x:row r="146">
      <x:c r="A146" s="101"/>
      <x:c r="B146" s="101"/>
      <x:c r="C146" s="101"/>
      <x:c r="D146" s="101"/>
      <x:c r="E146" s="101"/>
      <x:c r="F146" s="101"/>
      <x:c r="G146" s="101"/>
      <x:c r="H146" s="101"/>
      <x:c r="I146" s="101"/>
      <x:c r="J146" s="101"/>
      <x:c r="K146" s="101"/>
      <x:c r="L146" s="101"/>
      <x:c r="M146" s="101"/>
      <x:c r="N146" s="101"/>
      <x:c r="O146" s="101"/>
      <x:c r="P146" s="101"/>
      <x:c r="Q146" s="101"/>
      <x:c r="R146" s="101"/>
      <x:c r="S146" s="101"/>
      <x:c r="T146" s="101"/>
      <x:c r="U146" s="101"/>
      <x:c r="V146" s="101"/>
      <x:c r="W146" s="101"/>
      <x:c r="X146" s="101"/>
      <x:c r="Y146" s="101"/>
      <x:c r="Z146" s="101"/>
      <x:c r="AA146" s="101"/>
      <x:c r="AB146" s="101"/>
      <x:c r="AC146" s="101"/>
      <x:c r="AD146" s="101"/>
      <x:c r="AE146" s="101"/>
    </x:row>
    <x:row r="147">
      <x:c r="A147" s="101"/>
      <x:c r="B147" s="101"/>
      <x:c r="C147" s="101"/>
      <x:c r="D147" s="101"/>
      <x:c r="E147" s="101"/>
      <x:c r="F147" s="101"/>
      <x:c r="G147" s="101"/>
      <x:c r="H147" s="101"/>
      <x:c r="I147" s="101"/>
      <x:c r="J147" s="101"/>
      <x:c r="K147" s="101"/>
      <x:c r="L147" s="101"/>
      <x:c r="M147" s="101"/>
      <x:c r="N147" s="101"/>
      <x:c r="O147" s="101"/>
      <x:c r="P147" s="101"/>
      <x:c r="Q147" s="101"/>
      <x:c r="R147" s="101"/>
      <x:c r="S147" s="101"/>
      <x:c r="T147" s="101"/>
      <x:c r="U147" s="101"/>
      <x:c r="V147" s="101"/>
      <x:c r="W147" s="101"/>
      <x:c r="X147" s="101"/>
      <x:c r="Y147" s="101"/>
      <x:c r="Z147" s="101"/>
      <x:c r="AA147" s="101"/>
      <x:c r="AB147" s="101"/>
      <x:c r="AC147" s="101"/>
      <x:c r="AD147" s="101"/>
      <x:c r="AE147" s="101"/>
    </x:row>
    <x:row r="148">
      <x:c r="A148" s="101"/>
      <x:c r="B148" s="101"/>
      <x:c r="C148" s="101"/>
      <x:c r="D148" s="101"/>
      <x:c r="E148" s="101"/>
      <x:c r="F148" s="101"/>
      <x:c r="G148" s="101"/>
      <x:c r="H148" s="101"/>
      <x:c r="I148" s="101"/>
      <x:c r="J148" s="101"/>
      <x:c r="K148" s="101"/>
      <x:c r="L148" s="101"/>
      <x:c r="M148" s="101"/>
      <x:c r="N148" s="101"/>
      <x:c r="O148" s="101"/>
      <x:c r="P148" s="101"/>
      <x:c r="Q148" s="101"/>
      <x:c r="R148" s="101"/>
      <x:c r="S148" s="101"/>
      <x:c r="T148" s="101"/>
      <x:c r="U148" s="101"/>
      <x:c r="V148" s="101"/>
      <x:c r="W148" s="101"/>
      <x:c r="X148" s="101"/>
      <x:c r="Y148" s="101"/>
      <x:c r="Z148" s="101"/>
      <x:c r="AA148" s="101"/>
      <x:c r="AB148" s="101"/>
      <x:c r="AC148" s="101"/>
      <x:c r="AD148" s="101"/>
      <x:c r="AE148" s="101"/>
    </x:row>
    <x:row r="149">
      <x:c r="A149" s="101"/>
      <x:c r="B149" s="101"/>
      <x:c r="C149" s="101"/>
      <x:c r="D149" s="101"/>
      <x:c r="E149" s="101"/>
      <x:c r="F149" s="101"/>
      <x:c r="G149" s="101"/>
      <x:c r="H149" s="101"/>
      <x:c r="I149" s="101"/>
      <x:c r="J149" s="101"/>
      <x:c r="K149" s="101"/>
      <x:c r="L149" s="101"/>
      <x:c r="M149" s="101"/>
      <x:c r="N149" s="101"/>
      <x:c r="O149" s="101"/>
      <x:c r="P149" s="101"/>
      <x:c r="Q149" s="101"/>
      <x:c r="R149" s="101"/>
      <x:c r="S149" s="101"/>
      <x:c r="T149" s="101"/>
      <x:c r="U149" s="101"/>
      <x:c r="V149" s="101"/>
      <x:c r="W149" s="101"/>
      <x:c r="X149" s="101"/>
      <x:c r="Y149" s="101"/>
      <x:c r="Z149" s="101"/>
      <x:c r="AA149" s="101"/>
      <x:c r="AB149" s="101"/>
      <x:c r="AC149" s="101"/>
      <x:c r="AD149" s="101"/>
      <x:c r="AE149" s="101"/>
    </x:row>
    <x:row r="150">
      <x:c r="A150" s="101"/>
      <x:c r="B150" s="101"/>
      <x:c r="C150" s="101"/>
      <x:c r="D150" s="101"/>
      <x:c r="E150" s="101"/>
      <x:c r="F150" s="101"/>
      <x:c r="G150" s="101"/>
      <x:c r="H150" s="101"/>
      <x:c r="I150" s="101"/>
      <x:c r="J150" s="101"/>
      <x:c r="K150" s="101"/>
      <x:c r="L150" s="101"/>
      <x:c r="M150" s="101"/>
      <x:c r="N150" s="101"/>
      <x:c r="O150" s="101"/>
      <x:c r="P150" s="101"/>
      <x:c r="Q150" s="101"/>
      <x:c r="R150" s="101"/>
      <x:c r="S150" s="101"/>
      <x:c r="T150" s="101"/>
      <x:c r="U150" s="101"/>
      <x:c r="V150" s="101"/>
      <x:c r="W150" s="101"/>
      <x:c r="X150" s="101"/>
      <x:c r="Y150" s="101"/>
      <x:c r="Z150" s="101"/>
      <x:c r="AA150" s="101"/>
      <x:c r="AB150" s="101"/>
      <x:c r="AC150" s="101"/>
      <x:c r="AD150" s="101"/>
      <x:c r="AE150" s="101"/>
    </x:row>
    <x:row r="151">
      <x:c r="A151" s="101"/>
      <x:c r="B151" s="101"/>
      <x:c r="C151" s="101"/>
      <x:c r="D151" s="101"/>
      <x:c r="E151" s="101"/>
      <x:c r="F151" s="101"/>
      <x:c r="G151" s="101"/>
      <x:c r="H151" s="101"/>
      <x:c r="I151" s="101"/>
      <x:c r="J151" s="101"/>
      <x:c r="K151" s="101"/>
      <x:c r="L151" s="101"/>
      <x:c r="M151" s="101"/>
      <x:c r="N151" s="101"/>
      <x:c r="O151" s="101"/>
      <x:c r="P151" s="101"/>
      <x:c r="Q151" s="101"/>
      <x:c r="R151" s="101"/>
      <x:c r="S151" s="101"/>
      <x:c r="T151" s="101"/>
      <x:c r="U151" s="101"/>
      <x:c r="V151" s="101"/>
      <x:c r="W151" s="101"/>
      <x:c r="X151" s="101"/>
      <x:c r="Y151" s="101"/>
      <x:c r="Z151" s="101"/>
      <x:c r="AA151" s="101"/>
      <x:c r="AB151" s="101"/>
      <x:c r="AC151" s="101"/>
      <x:c r="AD151" s="101"/>
      <x:c r="AE151" s="101"/>
    </x:row>
    <x:row r="152">
      <x:c r="A152" s="101"/>
      <x:c r="B152" s="101"/>
      <x:c r="C152" s="101"/>
      <x:c r="D152" s="101"/>
      <x:c r="E152" s="101"/>
      <x:c r="F152" s="101"/>
      <x:c r="G152" s="101"/>
      <x:c r="H152" s="101"/>
      <x:c r="I152" s="101"/>
      <x:c r="J152" s="101"/>
      <x:c r="K152" s="101"/>
      <x:c r="L152" s="101"/>
      <x:c r="M152" s="101"/>
      <x:c r="N152" s="101"/>
      <x:c r="O152" s="101"/>
      <x:c r="P152" s="101"/>
      <x:c r="Q152" s="101"/>
      <x:c r="R152" s="101"/>
      <x:c r="S152" s="101"/>
      <x:c r="T152" s="101"/>
      <x:c r="U152" s="101"/>
      <x:c r="V152" s="101"/>
      <x:c r="W152" s="101"/>
      <x:c r="X152" s="101"/>
      <x:c r="Y152" s="101"/>
      <x:c r="Z152" s="101"/>
      <x:c r="AA152" s="101"/>
      <x:c r="AB152" s="101"/>
      <x:c r="AC152" s="101"/>
      <x:c r="AD152" s="101"/>
      <x:c r="AE152" s="101"/>
    </x:row>
    <x:row r="153">
      <x:c r="A153" s="101"/>
      <x:c r="B153" s="101"/>
      <x:c r="C153" s="101"/>
      <x:c r="D153" s="101"/>
      <x:c r="E153" s="101"/>
      <x:c r="F153" s="101"/>
      <x:c r="G153" s="101"/>
      <x:c r="H153" s="101"/>
      <x:c r="I153" s="101"/>
      <x:c r="J153" s="101"/>
      <x:c r="K153" s="101"/>
      <x:c r="L153" s="101"/>
      <x:c r="M153" s="101"/>
      <x:c r="N153" s="101"/>
      <x:c r="O153" s="101"/>
      <x:c r="P153" s="101"/>
      <x:c r="Q153" s="101"/>
      <x:c r="R153" s="101"/>
      <x:c r="S153" s="101"/>
      <x:c r="T153" s="101"/>
      <x:c r="U153" s="101"/>
      <x:c r="V153" s="101"/>
      <x:c r="W153" s="101"/>
      <x:c r="X153" s="101"/>
      <x:c r="Y153" s="101"/>
      <x:c r="Z153" s="101"/>
      <x:c r="AA153" s="101"/>
      <x:c r="AB153" s="101"/>
      <x:c r="AC153" s="101"/>
      <x:c r="AD153" s="101"/>
      <x:c r="AE153" s="101"/>
    </x:row>
    <x:row r="154">
      <x:c r="A154" s="101"/>
      <x:c r="B154" s="101"/>
      <x:c r="C154" s="101"/>
      <x:c r="D154" s="101"/>
      <x:c r="E154" s="101"/>
      <x:c r="F154" s="101"/>
      <x:c r="G154" s="101"/>
      <x:c r="H154" s="101"/>
      <x:c r="I154" s="101"/>
      <x:c r="J154" s="101"/>
      <x:c r="K154" s="101"/>
      <x:c r="L154" s="101"/>
      <x:c r="M154" s="101"/>
      <x:c r="N154" s="101"/>
      <x:c r="O154" s="101"/>
      <x:c r="P154" s="101"/>
      <x:c r="Q154" s="101"/>
      <x:c r="R154" s="101"/>
      <x:c r="S154" s="101"/>
      <x:c r="T154" s="101"/>
      <x:c r="U154" s="101"/>
      <x:c r="V154" s="101"/>
      <x:c r="W154" s="101"/>
      <x:c r="X154" s="101"/>
      <x:c r="Y154" s="101"/>
      <x:c r="Z154" s="101"/>
      <x:c r="AA154" s="101"/>
      <x:c r="AB154" s="101"/>
      <x:c r="AC154" s="101"/>
      <x:c r="AD154" s="101"/>
      <x:c r="AE154" s="101"/>
    </x:row>
    <x:row r="155">
      <x:c r="A155" s="101"/>
      <x:c r="B155" s="101"/>
      <x:c r="C155" s="101"/>
      <x:c r="D155" s="101"/>
      <x:c r="E155" s="101"/>
      <x:c r="F155" s="101"/>
      <x:c r="G155" s="101"/>
      <x:c r="H155" s="101"/>
      <x:c r="I155" s="101"/>
      <x:c r="J155" s="101"/>
      <x:c r="K155" s="101"/>
      <x:c r="L155" s="101"/>
      <x:c r="M155" s="101"/>
      <x:c r="N155" s="101"/>
      <x:c r="O155" s="101"/>
      <x:c r="P155" s="101"/>
      <x:c r="Q155" s="101"/>
      <x:c r="R155" s="101"/>
      <x:c r="S155" s="101"/>
      <x:c r="T155" s="101"/>
      <x:c r="U155" s="101"/>
      <x:c r="V155" s="101"/>
      <x:c r="W155" s="101"/>
      <x:c r="X155" s="101"/>
      <x:c r="Y155" s="101"/>
      <x:c r="Z155" s="101"/>
      <x:c r="AA155" s="101"/>
      <x:c r="AB155" s="101"/>
      <x:c r="AC155" s="101"/>
      <x:c r="AD155" s="101"/>
      <x:c r="AE155" s="101"/>
    </x:row>
    <x:row r="156">
      <x:c r="A156" s="101"/>
      <x:c r="B156" s="101"/>
      <x:c r="C156" s="101"/>
      <x:c r="D156" s="101"/>
      <x:c r="E156" s="101"/>
      <x:c r="F156" s="101"/>
      <x:c r="G156" s="101"/>
      <x:c r="H156" s="101"/>
      <x:c r="I156" s="101"/>
      <x:c r="J156" s="101"/>
      <x:c r="K156" s="101"/>
      <x:c r="L156" s="101"/>
      <x:c r="M156" s="101"/>
      <x:c r="N156" s="101"/>
      <x:c r="O156" s="101"/>
      <x:c r="P156" s="101"/>
      <x:c r="Q156" s="101"/>
      <x:c r="R156" s="101"/>
      <x:c r="S156" s="101"/>
      <x:c r="T156" s="101"/>
      <x:c r="U156" s="101"/>
      <x:c r="V156" s="101"/>
      <x:c r="W156" s="101"/>
      <x:c r="X156" s="101"/>
      <x:c r="Y156" s="101"/>
      <x:c r="Z156" s="101"/>
      <x:c r="AA156" s="101"/>
      <x:c r="AB156" s="101"/>
      <x:c r="AC156" s="101"/>
      <x:c r="AD156" s="101"/>
      <x:c r="AE156" s="101"/>
    </x:row>
    <x:row r="157">
      <x:c r="A157" s="101"/>
      <x:c r="B157" s="101"/>
      <x:c r="C157" s="101"/>
      <x:c r="D157" s="101"/>
      <x:c r="E157" s="101"/>
      <x:c r="F157" s="101"/>
      <x:c r="G157" s="101"/>
      <x:c r="H157" s="101"/>
      <x:c r="I157" s="101"/>
      <x:c r="J157" s="101"/>
      <x:c r="K157" s="101"/>
      <x:c r="L157" s="101"/>
      <x:c r="M157" s="101"/>
      <x:c r="N157" s="101"/>
      <x:c r="O157" s="101"/>
      <x:c r="P157" s="101"/>
      <x:c r="Q157" s="101"/>
      <x:c r="R157" s="101"/>
      <x:c r="S157" s="101"/>
      <x:c r="T157" s="101"/>
      <x:c r="U157" s="101"/>
      <x:c r="V157" s="101"/>
      <x:c r="W157" s="101"/>
      <x:c r="X157" s="101"/>
      <x:c r="Y157" s="101"/>
      <x:c r="Z157" s="101"/>
      <x:c r="AA157" s="101"/>
      <x:c r="AB157" s="101"/>
      <x:c r="AC157" s="101"/>
      <x:c r="AD157" s="101"/>
      <x:c r="AE157" s="101"/>
    </x:row>
    <x:row r="158">
      <x:c r="A158" s="101"/>
      <x:c r="B158" s="101"/>
      <x:c r="C158" s="101"/>
      <x:c r="D158" s="101"/>
      <x:c r="E158" s="101"/>
      <x:c r="F158" s="101"/>
      <x:c r="G158" s="101"/>
      <x:c r="H158" s="101"/>
      <x:c r="I158" s="101"/>
      <x:c r="J158" s="101"/>
      <x:c r="K158" s="101"/>
      <x:c r="L158" s="101"/>
      <x:c r="M158" s="101"/>
      <x:c r="N158" s="101"/>
      <x:c r="O158" s="101"/>
      <x:c r="P158" s="101"/>
      <x:c r="Q158" s="101"/>
      <x:c r="R158" s="101"/>
      <x:c r="S158" s="101"/>
      <x:c r="T158" s="101"/>
      <x:c r="U158" s="101"/>
      <x:c r="V158" s="101"/>
      <x:c r="W158" s="101"/>
      <x:c r="X158" s="101"/>
      <x:c r="Y158" s="101"/>
      <x:c r="Z158" s="101"/>
      <x:c r="AA158" s="101"/>
      <x:c r="AB158" s="101"/>
      <x:c r="AC158" s="101"/>
      <x:c r="AD158" s="101"/>
      <x:c r="AE158" s="101"/>
    </x:row>
    <x:row r="159">
      <x:c r="A159" s="101"/>
      <x:c r="B159" s="101"/>
      <x:c r="C159" s="101"/>
      <x:c r="D159" s="101"/>
      <x:c r="E159" s="101"/>
      <x:c r="F159" s="101"/>
      <x:c r="G159" s="101"/>
      <x:c r="H159" s="101"/>
      <x:c r="I159" s="101"/>
      <x:c r="J159" s="101"/>
      <x:c r="K159" s="101"/>
      <x:c r="L159" s="101"/>
      <x:c r="M159" s="101"/>
      <x:c r="N159" s="101"/>
      <x:c r="O159" s="101"/>
      <x:c r="P159" s="101"/>
      <x:c r="Q159" s="101"/>
      <x:c r="R159" s="101"/>
      <x:c r="S159" s="101"/>
      <x:c r="T159" s="101"/>
      <x:c r="U159" s="101"/>
      <x:c r="V159" s="101"/>
      <x:c r="W159" s="101"/>
      <x:c r="X159" s="101"/>
      <x:c r="Y159" s="101"/>
      <x:c r="Z159" s="101"/>
      <x:c r="AA159" s="101"/>
      <x:c r="AB159" s="101"/>
      <x:c r="AC159" s="101"/>
      <x:c r="AD159" s="101"/>
      <x:c r="AE159" s="101"/>
    </x:row>
    <x:row r="160">
      <x:c r="A160" s="101"/>
      <x:c r="B160" s="101"/>
      <x:c r="C160" s="101"/>
      <x:c r="D160" s="101"/>
      <x:c r="E160" s="101"/>
      <x:c r="F160" s="101"/>
      <x:c r="G160" s="101"/>
      <x:c r="H160" s="101"/>
      <x:c r="I160" s="101"/>
      <x:c r="J160" s="101"/>
      <x:c r="K160" s="101"/>
      <x:c r="L160" s="101"/>
      <x:c r="M160" s="101"/>
      <x:c r="N160" s="101"/>
      <x:c r="O160" s="101"/>
      <x:c r="P160" s="101"/>
      <x:c r="Q160" s="101"/>
      <x:c r="R160" s="101"/>
      <x:c r="S160" s="101"/>
      <x:c r="T160" s="101"/>
      <x:c r="U160" s="101"/>
      <x:c r="V160" s="101"/>
      <x:c r="W160" s="101"/>
      <x:c r="X160" s="101"/>
      <x:c r="Y160" s="101"/>
      <x:c r="Z160" s="101"/>
      <x:c r="AA160" s="101"/>
      <x:c r="AB160" s="101"/>
      <x:c r="AC160" s="101"/>
      <x:c r="AD160" s="101"/>
      <x:c r="AE160" s="101"/>
    </x:row>
    <x:row r="161">
      <x:c r="A161" s="101"/>
      <x:c r="B161" s="101"/>
      <x:c r="C161" s="101"/>
      <x:c r="D161" s="101"/>
      <x:c r="E161" s="101"/>
      <x:c r="F161" s="101"/>
      <x:c r="G161" s="101"/>
      <x:c r="H161" s="101"/>
      <x:c r="I161" s="101"/>
      <x:c r="J161" s="101"/>
      <x:c r="K161" s="101"/>
      <x:c r="L161" s="101"/>
      <x:c r="M161" s="101"/>
      <x:c r="N161" s="101"/>
      <x:c r="O161" s="101"/>
      <x:c r="P161" s="101"/>
      <x:c r="Q161" s="101"/>
      <x:c r="R161" s="101"/>
      <x:c r="S161" s="101"/>
      <x:c r="T161" s="101"/>
      <x:c r="U161" s="101"/>
      <x:c r="V161" s="101"/>
      <x:c r="W161" s="101"/>
      <x:c r="X161" s="101"/>
      <x:c r="Y161" s="101"/>
      <x:c r="Z161" s="101"/>
      <x:c r="AA161" s="101"/>
      <x:c r="AB161" s="101"/>
      <x:c r="AC161" s="101"/>
      <x:c r="AD161" s="101"/>
      <x:c r="AE161" s="101"/>
    </x:row>
    <x:row r="162">
      <x:c r="A162" s="101"/>
      <x:c r="B162" s="101"/>
      <x:c r="C162" s="101"/>
      <x:c r="D162" s="101"/>
      <x:c r="E162" s="101"/>
      <x:c r="F162" s="101"/>
      <x:c r="G162" s="101"/>
      <x:c r="H162" s="101"/>
      <x:c r="I162" s="101"/>
      <x:c r="J162" s="101"/>
      <x:c r="K162" s="101"/>
      <x:c r="L162" s="101"/>
      <x:c r="M162" s="101"/>
      <x:c r="N162" s="101"/>
      <x:c r="O162" s="101"/>
      <x:c r="P162" s="101"/>
      <x:c r="Q162" s="101"/>
      <x:c r="R162" s="101"/>
      <x:c r="S162" s="101"/>
      <x:c r="T162" s="101"/>
      <x:c r="U162" s="101"/>
      <x:c r="V162" s="101"/>
      <x:c r="W162" s="101"/>
      <x:c r="X162" s="101"/>
      <x:c r="Y162" s="101"/>
      <x:c r="Z162" s="101"/>
      <x:c r="AA162" s="101"/>
      <x:c r="AB162" s="101"/>
      <x:c r="AC162" s="101"/>
      <x:c r="AD162" s="101"/>
      <x:c r="AE162" s="101"/>
    </x:row>
    <x:row r="163">
      <x:c r="A163" s="101"/>
      <x:c r="B163" s="101"/>
      <x:c r="C163" s="101"/>
      <x:c r="D163" s="101"/>
      <x:c r="E163" s="101"/>
      <x:c r="F163" s="101"/>
      <x:c r="G163" s="101"/>
      <x:c r="H163" s="101"/>
      <x:c r="I163" s="101"/>
      <x:c r="J163" s="101"/>
      <x:c r="K163" s="101"/>
      <x:c r="L163" s="101"/>
      <x:c r="M163" s="101"/>
      <x:c r="N163" s="101"/>
      <x:c r="O163" s="101"/>
      <x:c r="P163" s="101"/>
      <x:c r="Q163" s="101"/>
      <x:c r="R163" s="101"/>
      <x:c r="S163" s="101"/>
      <x:c r="T163" s="101"/>
      <x:c r="U163" s="101"/>
      <x:c r="V163" s="101"/>
      <x:c r="W163" s="101"/>
      <x:c r="X163" s="101"/>
      <x:c r="Y163" s="101"/>
      <x:c r="Z163" s="101"/>
      <x:c r="AA163" s="101"/>
      <x:c r="AB163" s="101"/>
      <x:c r="AC163" s="101"/>
      <x:c r="AD163" s="101"/>
      <x:c r="AE163" s="101"/>
    </x:row>
    <x:row r="164">
      <x:c r="A164" s="101"/>
      <x:c r="B164" s="101"/>
      <x:c r="C164" s="101"/>
      <x:c r="D164" s="101"/>
      <x:c r="E164" s="101"/>
      <x:c r="F164" s="101"/>
      <x:c r="G164" s="101"/>
      <x:c r="H164" s="101"/>
      <x:c r="I164" s="101"/>
      <x:c r="J164" s="101"/>
      <x:c r="K164" s="101"/>
      <x:c r="L164" s="101"/>
      <x:c r="M164" s="101"/>
      <x:c r="N164" s="101"/>
      <x:c r="O164" s="101"/>
      <x:c r="P164" s="101"/>
      <x:c r="Q164" s="101"/>
      <x:c r="R164" s="101"/>
      <x:c r="S164" s="101"/>
      <x:c r="T164" s="101"/>
      <x:c r="U164" s="101"/>
      <x:c r="V164" s="101"/>
      <x:c r="W164" s="101"/>
      <x:c r="X164" s="101"/>
      <x:c r="Y164" s="101"/>
      <x:c r="Z164" s="101"/>
      <x:c r="AA164" s="101"/>
      <x:c r="AB164" s="101"/>
      <x:c r="AC164" s="101"/>
      <x:c r="AD164" s="101"/>
      <x:c r="AE164" s="101"/>
    </x:row>
    <x:row r="165">
      <x:c r="A165" s="101"/>
      <x:c r="B165" s="101"/>
      <x:c r="C165" s="101"/>
      <x:c r="D165" s="101"/>
      <x:c r="E165" s="101"/>
      <x:c r="F165" s="101"/>
      <x:c r="G165" s="101"/>
      <x:c r="H165" s="101"/>
      <x:c r="I165" s="101"/>
      <x:c r="J165" s="101"/>
      <x:c r="K165" s="101"/>
      <x:c r="L165" s="101"/>
      <x:c r="M165" s="101"/>
      <x:c r="N165" s="101"/>
      <x:c r="O165" s="101"/>
      <x:c r="P165" s="101"/>
      <x:c r="Q165" s="101"/>
      <x:c r="R165" s="101"/>
      <x:c r="S165" s="101"/>
      <x:c r="T165" s="101"/>
      <x:c r="U165" s="101"/>
      <x:c r="V165" s="101"/>
      <x:c r="W165" s="101"/>
      <x:c r="X165" s="101"/>
      <x:c r="Y165" s="101"/>
      <x:c r="Z165" s="101"/>
      <x:c r="AA165" s="101"/>
      <x:c r="AB165" s="101"/>
      <x:c r="AC165" s="101"/>
      <x:c r="AD165" s="101"/>
      <x:c r="AE165" s="101"/>
    </x:row>
    <x:row r="166">
      <x:c r="A166" s="101"/>
      <x:c r="B166" s="101"/>
      <x:c r="C166" s="101"/>
      <x:c r="D166" s="101"/>
      <x:c r="E166" s="101"/>
      <x:c r="F166" s="101"/>
      <x:c r="G166" s="101"/>
      <x:c r="H166" s="101"/>
      <x:c r="I166" s="101"/>
      <x:c r="J166" s="101"/>
      <x:c r="K166" s="101"/>
      <x:c r="L166" s="101"/>
      <x:c r="M166" s="101"/>
      <x:c r="N166" s="101"/>
      <x:c r="O166" s="101"/>
      <x:c r="P166" s="101"/>
      <x:c r="Q166" s="101"/>
      <x:c r="R166" s="101"/>
      <x:c r="S166" s="101"/>
      <x:c r="T166" s="101"/>
      <x:c r="U166" s="101"/>
      <x:c r="V166" s="101"/>
      <x:c r="W166" s="101"/>
      <x:c r="X166" s="101"/>
      <x:c r="Y166" s="101"/>
      <x:c r="Z166" s="101"/>
      <x:c r="AA166" s="101"/>
      <x:c r="AB166" s="101"/>
      <x:c r="AC166" s="101"/>
      <x:c r="AD166" s="101"/>
      <x:c r="AE166" s="101"/>
    </x:row>
    <x:row r="167">
      <x:c r="A167" s="101"/>
      <x:c r="B167" s="101"/>
      <x:c r="C167" s="101"/>
      <x:c r="D167" s="101"/>
      <x:c r="E167" s="101"/>
      <x:c r="F167" s="101"/>
      <x:c r="G167" s="101"/>
      <x:c r="H167" s="101"/>
      <x:c r="I167" s="101"/>
      <x:c r="J167" s="101"/>
      <x:c r="K167" s="101"/>
      <x:c r="L167" s="101"/>
      <x:c r="M167" s="101"/>
      <x:c r="N167" s="101"/>
      <x:c r="O167" s="101"/>
      <x:c r="P167" s="101"/>
      <x:c r="Q167" s="101"/>
      <x:c r="R167" s="101"/>
      <x:c r="S167" s="101"/>
      <x:c r="T167" s="101"/>
      <x:c r="U167" s="101"/>
      <x:c r="V167" s="101"/>
      <x:c r="W167" s="101"/>
      <x:c r="X167" s="101"/>
      <x:c r="Y167" s="101"/>
      <x:c r="Z167" s="101"/>
      <x:c r="AA167" s="101"/>
      <x:c r="AB167" s="101"/>
      <x:c r="AC167" s="101"/>
      <x:c r="AD167" s="101"/>
      <x:c r="AE167" s="101"/>
    </x:row>
    <x:row r="168">
      <x:c r="A168" s="101"/>
      <x:c r="B168" s="101"/>
      <x:c r="C168" s="101"/>
      <x:c r="D168" s="101"/>
      <x:c r="E168" s="101"/>
      <x:c r="F168" s="101"/>
      <x:c r="G168" s="101"/>
      <x:c r="H168" s="101"/>
      <x:c r="I168" s="101"/>
      <x:c r="J168" s="101"/>
      <x:c r="K168" s="101"/>
      <x:c r="L168" s="101"/>
      <x:c r="M168" s="101"/>
      <x:c r="N168" s="101"/>
      <x:c r="O168" s="101"/>
      <x:c r="P168" s="101"/>
      <x:c r="Q168" s="101"/>
      <x:c r="R168" s="101"/>
      <x:c r="S168" s="101"/>
      <x:c r="T168" s="101"/>
      <x:c r="U168" s="101"/>
      <x:c r="V168" s="101"/>
      <x:c r="W168" s="101"/>
      <x:c r="X168" s="101"/>
      <x:c r="Y168" s="101"/>
      <x:c r="Z168" s="101"/>
      <x:c r="AA168" s="101"/>
      <x:c r="AB168" s="101"/>
      <x:c r="AC168" s="101"/>
      <x:c r="AD168" s="101"/>
      <x:c r="AE168" s="101"/>
    </x:row>
    <x:row r="169">
      <x:c r="A169" s="101"/>
      <x:c r="B169" s="101"/>
      <x:c r="C169" s="101"/>
      <x:c r="D169" s="101"/>
      <x:c r="E169" s="101"/>
      <x:c r="F169" s="101"/>
      <x:c r="G169" s="101"/>
      <x:c r="H169" s="101"/>
      <x:c r="I169" s="101"/>
      <x:c r="J169" s="101"/>
      <x:c r="K169" s="101"/>
      <x:c r="L169" s="101"/>
      <x:c r="M169" s="101"/>
      <x:c r="N169" s="101"/>
      <x:c r="O169" s="101"/>
      <x:c r="P169" s="101"/>
      <x:c r="Q169" s="101"/>
      <x:c r="R169" s="101"/>
      <x:c r="S169" s="101"/>
      <x:c r="T169" s="101"/>
      <x:c r="U169" s="101"/>
      <x:c r="V169" s="101"/>
      <x:c r="W169" s="101"/>
      <x:c r="X169" s="101"/>
      <x:c r="Y169" s="101"/>
      <x:c r="Z169" s="101"/>
      <x:c r="AA169" s="101"/>
      <x:c r="AB169" s="101"/>
      <x:c r="AC169" s="101"/>
      <x:c r="AD169" s="101"/>
      <x:c r="AE169" s="101"/>
    </x:row>
    <x:row r="170">
      <x:c r="A170" s="101"/>
      <x:c r="B170" s="101"/>
      <x:c r="C170" s="101"/>
      <x:c r="D170" s="101"/>
      <x:c r="E170" s="101"/>
      <x:c r="F170" s="101"/>
      <x:c r="G170" s="101"/>
      <x:c r="H170" s="101"/>
      <x:c r="I170" s="101"/>
      <x:c r="J170" s="101"/>
      <x:c r="K170" s="101"/>
      <x:c r="L170" s="101"/>
      <x:c r="M170" s="101"/>
      <x:c r="N170" s="101"/>
      <x:c r="O170" s="101"/>
      <x:c r="P170" s="101"/>
      <x:c r="Q170" s="101"/>
      <x:c r="R170" s="101"/>
      <x:c r="S170" s="101"/>
      <x:c r="T170" s="101"/>
      <x:c r="U170" s="101"/>
      <x:c r="V170" s="101"/>
      <x:c r="W170" s="101"/>
      <x:c r="X170" s="101"/>
      <x:c r="Y170" s="101"/>
      <x:c r="Z170" s="101"/>
      <x:c r="AA170" s="101"/>
      <x:c r="AB170" s="101"/>
      <x:c r="AC170" s="101"/>
      <x:c r="AD170" s="101"/>
      <x:c r="AE170" s="101"/>
    </x:row>
    <x:row r="171">
      <x:c r="A171" s="101"/>
      <x:c r="B171" s="101"/>
      <x:c r="C171" s="101"/>
      <x:c r="D171" s="101"/>
      <x:c r="E171" s="101"/>
      <x:c r="F171" s="101"/>
      <x:c r="G171" s="101"/>
      <x:c r="H171" s="101"/>
      <x:c r="I171" s="101"/>
      <x:c r="J171" s="101"/>
      <x:c r="K171" s="101"/>
      <x:c r="L171" s="101"/>
      <x:c r="M171" s="101"/>
      <x:c r="N171" s="101"/>
      <x:c r="O171" s="101"/>
      <x:c r="P171" s="101"/>
      <x:c r="Q171" s="101"/>
      <x:c r="R171" s="101"/>
      <x:c r="S171" s="101"/>
      <x:c r="T171" s="101"/>
      <x:c r="U171" s="101"/>
      <x:c r="V171" s="101"/>
      <x:c r="W171" s="101"/>
      <x:c r="X171" s="101"/>
      <x:c r="Y171" s="101"/>
      <x:c r="Z171" s="101"/>
      <x:c r="AA171" s="101"/>
      <x:c r="AB171" s="101"/>
      <x:c r="AC171" s="101"/>
      <x:c r="AD171" s="101"/>
      <x:c r="AE171" s="101"/>
    </x:row>
    <x:row r="172">
      <x:c r="A172" s="101"/>
      <x:c r="B172" s="101"/>
      <x:c r="C172" s="101"/>
      <x:c r="D172" s="101"/>
      <x:c r="E172" s="101"/>
      <x:c r="F172" s="101"/>
      <x:c r="G172" s="101"/>
      <x:c r="H172" s="101"/>
      <x:c r="I172" s="101"/>
      <x:c r="J172" s="101"/>
      <x:c r="K172" s="101"/>
      <x:c r="L172" s="101"/>
      <x:c r="M172" s="101"/>
      <x:c r="N172" s="101"/>
      <x:c r="O172" s="101"/>
      <x:c r="P172" s="101"/>
      <x:c r="Q172" s="101"/>
      <x:c r="R172" s="101"/>
      <x:c r="S172" s="101"/>
      <x:c r="T172" s="101"/>
      <x:c r="U172" s="101"/>
      <x:c r="V172" s="101"/>
      <x:c r="W172" s="101"/>
      <x:c r="X172" s="101"/>
      <x:c r="Y172" s="101"/>
      <x:c r="Z172" s="101"/>
      <x:c r="AA172" s="101"/>
      <x:c r="AB172" s="101"/>
      <x:c r="AC172" s="101"/>
      <x:c r="AD172" s="101"/>
      <x:c r="AE172" s="101"/>
    </x:row>
    <x:row r="173">
      <x:c r="A173" s="101"/>
      <x:c r="B173" s="101"/>
      <x:c r="C173" s="101"/>
      <x:c r="D173" s="101"/>
      <x:c r="E173" s="101"/>
      <x:c r="F173" s="101"/>
      <x:c r="G173" s="101"/>
      <x:c r="H173" s="101"/>
      <x:c r="I173" s="101"/>
      <x:c r="J173" s="101"/>
      <x:c r="K173" s="101"/>
      <x:c r="L173" s="101"/>
      <x:c r="M173" s="101"/>
      <x:c r="N173" s="101"/>
      <x:c r="O173" s="101"/>
      <x:c r="P173" s="101"/>
      <x:c r="Q173" s="101"/>
      <x:c r="R173" s="101"/>
      <x:c r="S173" s="101"/>
      <x:c r="T173" s="101"/>
      <x:c r="U173" s="101"/>
      <x:c r="V173" s="101"/>
      <x:c r="W173" s="101"/>
      <x:c r="X173" s="101"/>
      <x:c r="Y173" s="101"/>
      <x:c r="Z173" s="101"/>
      <x:c r="AA173" s="101"/>
      <x:c r="AB173" s="101"/>
      <x:c r="AC173" s="101"/>
      <x:c r="AD173" s="101"/>
      <x:c r="AE173" s="101"/>
    </x:row>
    <x:row r="174">
      <x:c r="A174" s="101"/>
      <x:c r="B174" s="101"/>
      <x:c r="C174" s="101"/>
      <x:c r="D174" s="101"/>
      <x:c r="E174" s="101"/>
      <x:c r="F174" s="101"/>
      <x:c r="G174" s="101"/>
      <x:c r="H174" s="101"/>
      <x:c r="I174" s="101"/>
      <x:c r="J174" s="101"/>
      <x:c r="K174" s="101"/>
      <x:c r="L174" s="101"/>
      <x:c r="M174" s="101"/>
      <x:c r="N174" s="101"/>
      <x:c r="O174" s="101"/>
      <x:c r="P174" s="101"/>
      <x:c r="Q174" s="101"/>
      <x:c r="R174" s="101"/>
      <x:c r="S174" s="101"/>
      <x:c r="T174" s="101"/>
      <x:c r="U174" s="101"/>
      <x:c r="V174" s="101"/>
      <x:c r="W174" s="101"/>
      <x:c r="X174" s="101"/>
      <x:c r="Y174" s="101"/>
      <x:c r="Z174" s="101"/>
      <x:c r="AA174" s="101"/>
      <x:c r="AB174" s="101"/>
      <x:c r="AC174" s="101"/>
      <x:c r="AD174" s="101"/>
      <x:c r="AE174" s="101"/>
    </x:row>
    <x:row r="175">
      <x:c r="A175" s="101"/>
      <x:c r="B175" s="101"/>
      <x:c r="C175" s="101"/>
      <x:c r="D175" s="101"/>
      <x:c r="E175" s="101"/>
      <x:c r="F175" s="101"/>
      <x:c r="G175" s="101"/>
      <x:c r="H175" s="101"/>
      <x:c r="I175" s="101"/>
      <x:c r="J175" s="101"/>
      <x:c r="K175" s="101"/>
      <x:c r="L175" s="101"/>
      <x:c r="M175" s="101"/>
      <x:c r="N175" s="101"/>
      <x:c r="O175" s="101"/>
      <x:c r="P175" s="101"/>
      <x:c r="Q175" s="101"/>
      <x:c r="R175" s="101"/>
      <x:c r="S175" s="101"/>
      <x:c r="T175" s="101"/>
      <x:c r="U175" s="101"/>
      <x:c r="V175" s="101"/>
      <x:c r="W175" s="101"/>
      <x:c r="X175" s="101"/>
      <x:c r="Y175" s="101"/>
      <x:c r="Z175" s="101"/>
      <x:c r="AA175" s="101"/>
      <x:c r="AB175" s="101"/>
      <x:c r="AC175" s="101"/>
      <x:c r="AD175" s="101"/>
      <x:c r="AE175" s="101"/>
    </x:row>
    <x:row r="176">
      <x:c r="A176" s="101"/>
      <x:c r="B176" s="101"/>
      <x:c r="C176" s="101"/>
      <x:c r="D176" s="101"/>
      <x:c r="E176" s="101"/>
      <x:c r="F176" s="101"/>
      <x:c r="G176" s="101"/>
      <x:c r="H176" s="101"/>
      <x:c r="I176" s="101"/>
      <x:c r="J176" s="101"/>
      <x:c r="K176" s="101"/>
      <x:c r="L176" s="101"/>
      <x:c r="M176" s="101"/>
      <x:c r="N176" s="101"/>
      <x:c r="O176" s="101"/>
      <x:c r="P176" s="101"/>
      <x:c r="Q176" s="101"/>
      <x:c r="R176" s="101"/>
      <x:c r="S176" s="101"/>
      <x:c r="T176" s="101"/>
      <x:c r="U176" s="101"/>
      <x:c r="V176" s="101"/>
      <x:c r="W176" s="101"/>
      <x:c r="X176" s="101"/>
      <x:c r="Y176" s="101"/>
      <x:c r="Z176" s="101"/>
      <x:c r="AA176" s="101"/>
      <x:c r="AB176" s="101"/>
      <x:c r="AC176" s="101"/>
      <x:c r="AD176" s="101"/>
      <x:c r="AE176" s="101"/>
    </x:row>
    <x:row r="177">
      <x:c r="A177" s="101"/>
      <x:c r="B177" s="101"/>
      <x:c r="C177" s="101"/>
      <x:c r="D177" s="101"/>
      <x:c r="E177" s="101"/>
      <x:c r="F177" s="101"/>
      <x:c r="G177" s="101"/>
      <x:c r="H177" s="101"/>
      <x:c r="I177" s="101"/>
      <x:c r="J177" s="101"/>
      <x:c r="K177" s="101"/>
      <x:c r="L177" s="101"/>
      <x:c r="M177" s="101"/>
      <x:c r="N177" s="101"/>
      <x:c r="O177" s="101"/>
      <x:c r="P177" s="101"/>
      <x:c r="Q177" s="101"/>
      <x:c r="R177" s="101"/>
      <x:c r="S177" s="101"/>
      <x:c r="T177" s="101"/>
      <x:c r="U177" s="101"/>
      <x:c r="V177" s="101"/>
      <x:c r="W177" s="101"/>
      <x:c r="X177" s="101"/>
      <x:c r="Y177" s="101"/>
      <x:c r="Z177" s="101"/>
      <x:c r="AA177" s="101"/>
      <x:c r="AB177" s="101"/>
      <x:c r="AC177" s="101"/>
      <x:c r="AD177" s="101"/>
      <x:c r="AE177" s="101"/>
    </x:row>
    <x:row r="178">
      <x:c r="A178" s="101"/>
      <x:c r="B178" s="101"/>
      <x:c r="C178" s="101"/>
      <x:c r="D178" s="101"/>
      <x:c r="E178" s="101"/>
      <x:c r="F178" s="101"/>
      <x:c r="G178" s="101"/>
      <x:c r="H178" s="101"/>
      <x:c r="I178" s="101"/>
      <x:c r="J178" s="101"/>
      <x:c r="K178" s="101"/>
      <x:c r="L178" s="101"/>
      <x:c r="M178" s="101"/>
      <x:c r="N178" s="101"/>
      <x:c r="O178" s="101"/>
      <x:c r="P178" s="101"/>
      <x:c r="Q178" s="101"/>
      <x:c r="R178" s="101"/>
      <x:c r="S178" s="101"/>
      <x:c r="T178" s="101"/>
      <x:c r="U178" s="101"/>
      <x:c r="V178" s="101"/>
      <x:c r="W178" s="101"/>
      <x:c r="X178" s="101"/>
      <x:c r="Y178" s="101"/>
      <x:c r="Z178" s="101"/>
      <x:c r="AA178" s="101"/>
      <x:c r="AB178" s="101"/>
      <x:c r="AC178" s="101"/>
      <x:c r="AD178" s="101"/>
      <x:c r="AE178" s="101"/>
    </x:row>
    <x:row r="179">
      <x:c r="A179" s="101"/>
      <x:c r="B179" s="101"/>
      <x:c r="C179" s="101"/>
      <x:c r="D179" s="101"/>
      <x:c r="E179" s="101"/>
      <x:c r="F179" s="101"/>
      <x:c r="G179" s="101"/>
      <x:c r="H179" s="101"/>
      <x:c r="I179" s="101"/>
      <x:c r="J179" s="101"/>
      <x:c r="K179" s="101"/>
      <x:c r="L179" s="101"/>
      <x:c r="M179" s="101"/>
      <x:c r="N179" s="101"/>
      <x:c r="O179" s="101"/>
      <x:c r="P179" s="101"/>
      <x:c r="Q179" s="101"/>
      <x:c r="R179" s="101"/>
      <x:c r="S179" s="101"/>
      <x:c r="T179" s="101"/>
      <x:c r="U179" s="101"/>
      <x:c r="V179" s="101"/>
      <x:c r="W179" s="101"/>
      <x:c r="X179" s="101"/>
      <x:c r="Y179" s="101"/>
      <x:c r="Z179" s="101"/>
      <x:c r="AA179" s="101"/>
      <x:c r="AB179" s="101"/>
      <x:c r="AC179" s="101"/>
      <x:c r="AD179" s="101"/>
      <x:c r="AE179" s="101"/>
    </x:row>
    <x:row r="180">
      <x:c r="A180" s="101"/>
      <x:c r="B180" s="101"/>
      <x:c r="C180" s="101"/>
      <x:c r="D180" s="101"/>
      <x:c r="E180" s="101"/>
      <x:c r="F180" s="101"/>
      <x:c r="G180" s="101"/>
      <x:c r="H180" s="101"/>
      <x:c r="I180" s="101"/>
      <x:c r="J180" s="101"/>
      <x:c r="K180" s="101"/>
      <x:c r="L180" s="101"/>
      <x:c r="M180" s="101"/>
      <x:c r="N180" s="101"/>
      <x:c r="O180" s="101"/>
      <x:c r="P180" s="101"/>
      <x:c r="Q180" s="101"/>
      <x:c r="R180" s="101"/>
      <x:c r="S180" s="101"/>
      <x:c r="T180" s="101"/>
      <x:c r="U180" s="101"/>
      <x:c r="V180" s="101"/>
      <x:c r="W180" s="101"/>
      <x:c r="X180" s="101"/>
      <x:c r="Y180" s="101"/>
      <x:c r="Z180" s="101"/>
      <x:c r="AA180" s="101"/>
      <x:c r="AB180" s="101"/>
      <x:c r="AC180" s="101"/>
      <x:c r="AD180" s="101"/>
      <x:c r="AE180" s="101"/>
    </x:row>
    <x:row r="181">
      <x:c r="A181" s="101"/>
      <x:c r="B181" s="101"/>
      <x:c r="C181" s="101"/>
      <x:c r="D181" s="101"/>
      <x:c r="E181" s="101"/>
      <x:c r="F181" s="101"/>
      <x:c r="G181" s="101"/>
      <x:c r="H181" s="101"/>
      <x:c r="I181" s="101"/>
      <x:c r="J181" s="101"/>
      <x:c r="K181" s="101"/>
      <x:c r="L181" s="101"/>
      <x:c r="M181" s="101"/>
      <x:c r="N181" s="101"/>
      <x:c r="O181" s="101"/>
      <x:c r="P181" s="101"/>
      <x:c r="Q181" s="101"/>
      <x:c r="R181" s="101"/>
      <x:c r="S181" s="101"/>
      <x:c r="T181" s="101"/>
      <x:c r="U181" s="101"/>
      <x:c r="V181" s="101"/>
      <x:c r="W181" s="101"/>
      <x:c r="X181" s="101"/>
      <x:c r="Y181" s="101"/>
      <x:c r="Z181" s="101"/>
      <x:c r="AA181" s="101"/>
      <x:c r="AB181" s="101"/>
      <x:c r="AC181" s="101"/>
      <x:c r="AD181" s="101"/>
      <x:c r="AE181" s="101"/>
    </x:row>
    <x:row r="182">
      <x:c r="A182" s="101"/>
      <x:c r="B182" s="101"/>
      <x:c r="C182" s="101"/>
      <x:c r="D182" s="101"/>
      <x:c r="E182" s="101"/>
      <x:c r="F182" s="101"/>
      <x:c r="G182" s="101"/>
      <x:c r="H182" s="101"/>
      <x:c r="I182" s="101"/>
      <x:c r="J182" s="101"/>
      <x:c r="K182" s="101"/>
      <x:c r="L182" s="101"/>
      <x:c r="M182" s="101"/>
      <x:c r="N182" s="101"/>
      <x:c r="O182" s="101"/>
      <x:c r="P182" s="101"/>
      <x:c r="Q182" s="101"/>
      <x:c r="R182" s="101"/>
      <x:c r="S182" s="101"/>
      <x:c r="T182" s="101"/>
      <x:c r="U182" s="101"/>
      <x:c r="V182" s="101"/>
      <x:c r="W182" s="101"/>
      <x:c r="X182" s="101"/>
      <x:c r="Y182" s="101"/>
      <x:c r="Z182" s="101"/>
      <x:c r="AA182" s="101"/>
      <x:c r="AB182" s="101"/>
      <x:c r="AC182" s="101"/>
      <x:c r="AD182" s="101"/>
      <x:c r="AE182" s="101"/>
    </x:row>
    <x:row r="183">
      <x:c r="A183" s="101"/>
      <x:c r="B183" s="101"/>
      <x:c r="C183" s="101"/>
      <x:c r="D183" s="101"/>
      <x:c r="E183" s="101"/>
      <x:c r="F183" s="101"/>
      <x:c r="G183" s="101"/>
      <x:c r="H183" s="101"/>
      <x:c r="I183" s="101"/>
      <x:c r="J183" s="101"/>
      <x:c r="K183" s="101"/>
      <x:c r="L183" s="101"/>
      <x:c r="M183" s="101"/>
      <x:c r="N183" s="101"/>
      <x:c r="O183" s="101"/>
      <x:c r="P183" s="101"/>
      <x:c r="Q183" s="101"/>
      <x:c r="R183" s="101"/>
      <x:c r="S183" s="101"/>
      <x:c r="T183" s="101"/>
      <x:c r="U183" s="101"/>
      <x:c r="V183" s="101"/>
      <x:c r="W183" s="101"/>
      <x:c r="X183" s="101"/>
      <x:c r="Y183" s="101"/>
      <x:c r="Z183" s="101"/>
      <x:c r="AA183" s="101"/>
      <x:c r="AB183" s="101"/>
      <x:c r="AC183" s="101"/>
      <x:c r="AD183" s="101"/>
      <x:c r="AE183" s="101"/>
    </x:row>
    <x:row r="184">
      <x:c r="A184" s="101"/>
      <x:c r="B184" s="101"/>
      <x:c r="C184" s="101"/>
      <x:c r="D184" s="101"/>
      <x:c r="E184" s="101"/>
      <x:c r="F184" s="101"/>
      <x:c r="G184" s="101"/>
      <x:c r="H184" s="101"/>
      <x:c r="I184" s="101"/>
      <x:c r="J184" s="101"/>
      <x:c r="K184" s="101"/>
      <x:c r="L184" s="101"/>
      <x:c r="M184" s="101"/>
      <x:c r="N184" s="101"/>
      <x:c r="O184" s="101"/>
      <x:c r="P184" s="101"/>
      <x:c r="Q184" s="101"/>
      <x:c r="R184" s="101"/>
      <x:c r="S184" s="101"/>
      <x:c r="T184" s="101"/>
      <x:c r="U184" s="101"/>
      <x:c r="V184" s="101"/>
      <x:c r="W184" s="101"/>
      <x:c r="X184" s="101"/>
      <x:c r="Y184" s="101"/>
      <x:c r="Z184" s="101"/>
      <x:c r="AA184" s="101"/>
      <x:c r="AB184" s="101"/>
      <x:c r="AC184" s="101"/>
      <x:c r="AD184" s="101"/>
      <x:c r="AE184" s="101"/>
    </x:row>
    <x:row r="185">
      <x:c r="A185" s="101"/>
      <x:c r="B185" s="101"/>
      <x:c r="C185" s="101"/>
      <x:c r="D185" s="101"/>
      <x:c r="E185" s="101"/>
      <x:c r="F185" s="101"/>
      <x:c r="G185" s="101"/>
      <x:c r="H185" s="101"/>
      <x:c r="I185" s="101"/>
      <x:c r="J185" s="101"/>
      <x:c r="K185" s="101"/>
      <x:c r="L185" s="101"/>
      <x:c r="M185" s="101"/>
      <x:c r="N185" s="101"/>
      <x:c r="O185" s="101"/>
      <x:c r="P185" s="101"/>
      <x:c r="Q185" s="101"/>
      <x:c r="R185" s="101"/>
      <x:c r="S185" s="101"/>
      <x:c r="T185" s="101"/>
      <x:c r="U185" s="101"/>
      <x:c r="V185" s="101"/>
      <x:c r="W185" s="101"/>
      <x:c r="X185" s="101"/>
      <x:c r="Y185" s="101"/>
      <x:c r="Z185" s="101"/>
      <x:c r="AA185" s="101"/>
      <x:c r="AB185" s="101"/>
      <x:c r="AC185" s="101"/>
      <x:c r="AD185" s="101"/>
      <x:c r="AE185" s="101"/>
    </x:row>
    <x:row r="186">
      <x:c r="A186" s="101"/>
      <x:c r="B186" s="101"/>
      <x:c r="C186" s="101"/>
      <x:c r="D186" s="101"/>
      <x:c r="E186" s="101"/>
      <x:c r="F186" s="101"/>
      <x:c r="G186" s="101"/>
      <x:c r="H186" s="101"/>
      <x:c r="I186" s="101"/>
      <x:c r="J186" s="101"/>
      <x:c r="K186" s="101"/>
      <x:c r="L186" s="101"/>
      <x:c r="M186" s="101"/>
      <x:c r="N186" s="101"/>
      <x:c r="O186" s="101"/>
      <x:c r="P186" s="101"/>
      <x:c r="Q186" s="101"/>
      <x:c r="R186" s="101"/>
      <x:c r="S186" s="101"/>
      <x:c r="T186" s="101"/>
      <x:c r="U186" s="101"/>
      <x:c r="V186" s="101"/>
      <x:c r="W186" s="101"/>
      <x:c r="X186" s="101"/>
      <x:c r="Y186" s="101"/>
      <x:c r="Z186" s="101"/>
      <x:c r="AA186" s="101"/>
      <x:c r="AB186" s="101"/>
      <x:c r="AC186" s="101"/>
      <x:c r="AD186" s="101"/>
      <x:c r="AE186" s="101"/>
    </x:row>
    <x:row r="187">
      <x:c r="A187" s="101"/>
      <x:c r="B187" s="101"/>
      <x:c r="C187" s="101"/>
      <x:c r="D187" s="101"/>
      <x:c r="E187" s="101"/>
      <x:c r="F187" s="101"/>
      <x:c r="G187" s="101"/>
      <x:c r="H187" s="101"/>
      <x:c r="I187" s="101"/>
      <x:c r="J187" s="101"/>
      <x:c r="K187" s="101"/>
      <x:c r="L187" s="101"/>
      <x:c r="M187" s="101"/>
      <x:c r="N187" s="101"/>
      <x:c r="O187" s="101"/>
      <x:c r="P187" s="101"/>
      <x:c r="Q187" s="101"/>
      <x:c r="R187" s="101"/>
      <x:c r="S187" s="101"/>
      <x:c r="T187" s="101"/>
      <x:c r="U187" s="101"/>
      <x:c r="V187" s="101"/>
      <x:c r="W187" s="101"/>
      <x:c r="X187" s="101"/>
      <x:c r="Y187" s="101"/>
      <x:c r="Z187" s="101"/>
      <x:c r="AA187" s="101"/>
      <x:c r="AB187" s="101"/>
      <x:c r="AC187" s="101"/>
      <x:c r="AD187" s="101"/>
      <x:c r="AE187" s="101"/>
    </x:row>
    <x:row r="188">
      <x:c r="A188" s="101"/>
      <x:c r="B188" s="101"/>
      <x:c r="C188" s="101"/>
      <x:c r="D188" s="101"/>
      <x:c r="E188" s="101"/>
      <x:c r="F188" s="101"/>
      <x:c r="G188" s="101"/>
      <x:c r="H188" s="101"/>
      <x:c r="I188" s="101"/>
      <x:c r="J188" s="101"/>
      <x:c r="K188" s="101"/>
      <x:c r="L188" s="101"/>
      <x:c r="M188" s="101"/>
      <x:c r="N188" s="101"/>
      <x:c r="O188" s="101"/>
      <x:c r="P188" s="101"/>
      <x:c r="Q188" s="101"/>
      <x:c r="R188" s="101"/>
      <x:c r="S188" s="101"/>
      <x:c r="T188" s="101"/>
      <x:c r="U188" s="101"/>
      <x:c r="V188" s="101"/>
      <x:c r="W188" s="101"/>
      <x:c r="X188" s="101"/>
      <x:c r="Y188" s="101"/>
      <x:c r="Z188" s="101"/>
      <x:c r="AA188" s="101"/>
      <x:c r="AB188" s="101"/>
      <x:c r="AC188" s="101"/>
      <x:c r="AD188" s="101"/>
      <x:c r="AE188" s="101"/>
    </x:row>
    <x:row r="189">
      <x:c r="A189" s="101"/>
      <x:c r="B189" s="101"/>
      <x:c r="C189" s="101"/>
      <x:c r="D189" s="101"/>
      <x:c r="E189" s="101"/>
      <x:c r="F189" s="101"/>
      <x:c r="G189" s="101"/>
      <x:c r="H189" s="101"/>
      <x:c r="I189" s="101"/>
      <x:c r="J189" s="101"/>
      <x:c r="K189" s="101"/>
      <x:c r="L189" s="101"/>
      <x:c r="M189" s="101"/>
      <x:c r="N189" s="101"/>
      <x:c r="O189" s="101"/>
      <x:c r="P189" s="101"/>
      <x:c r="Q189" s="101"/>
      <x:c r="R189" s="101"/>
      <x:c r="S189" s="101"/>
      <x:c r="T189" s="101"/>
      <x:c r="U189" s="101"/>
      <x:c r="V189" s="101"/>
      <x:c r="W189" s="101"/>
      <x:c r="X189" s="101"/>
      <x:c r="Y189" s="101"/>
      <x:c r="Z189" s="101"/>
      <x:c r="AA189" s="101"/>
      <x:c r="AB189" s="101"/>
      <x:c r="AC189" s="101"/>
      <x:c r="AD189" s="101"/>
      <x:c r="AE189" s="101"/>
    </x:row>
    <x:row r="190">
      <x:c r="A190" s="101"/>
      <x:c r="B190" s="101"/>
      <x:c r="C190" s="101"/>
      <x:c r="D190" s="101"/>
      <x:c r="E190" s="101"/>
      <x:c r="F190" s="101"/>
      <x:c r="G190" s="101"/>
      <x:c r="H190" s="101"/>
      <x:c r="I190" s="101"/>
      <x:c r="J190" s="101"/>
      <x:c r="K190" s="101"/>
      <x:c r="L190" s="101"/>
      <x:c r="M190" s="101"/>
      <x:c r="N190" s="101"/>
      <x:c r="O190" s="101"/>
      <x:c r="P190" s="101"/>
      <x:c r="Q190" s="101"/>
      <x:c r="R190" s="101"/>
      <x:c r="S190" s="101"/>
      <x:c r="T190" s="101"/>
      <x:c r="U190" s="101"/>
      <x:c r="V190" s="101"/>
      <x:c r="W190" s="101"/>
      <x:c r="X190" s="101"/>
      <x:c r="Y190" s="101"/>
      <x:c r="Z190" s="101"/>
      <x:c r="AA190" s="101"/>
      <x:c r="AB190" s="101"/>
      <x:c r="AC190" s="101"/>
      <x:c r="AD190" s="101"/>
      <x:c r="AE190" s="101"/>
    </x:row>
    <x:row r="191">
      <x:c r="A191" s="101"/>
      <x:c r="B191" s="101"/>
      <x:c r="C191" s="101"/>
      <x:c r="D191" s="101"/>
      <x:c r="E191" s="101"/>
      <x:c r="F191" s="101"/>
      <x:c r="G191" s="101"/>
      <x:c r="H191" s="101"/>
      <x:c r="I191" s="101"/>
      <x:c r="J191" s="101"/>
      <x:c r="K191" s="101"/>
      <x:c r="L191" s="101"/>
      <x:c r="M191" s="101"/>
      <x:c r="N191" s="101"/>
      <x:c r="O191" s="101"/>
      <x:c r="P191" s="101"/>
      <x:c r="Q191" s="101"/>
      <x:c r="R191" s="101"/>
      <x:c r="S191" s="101"/>
      <x:c r="T191" s="101"/>
      <x:c r="U191" s="101"/>
      <x:c r="V191" s="101"/>
      <x:c r="W191" s="101"/>
      <x:c r="X191" s="101"/>
      <x:c r="Y191" s="101"/>
      <x:c r="Z191" s="101"/>
      <x:c r="AA191" s="101"/>
      <x:c r="AB191" s="101"/>
      <x:c r="AC191" s="101"/>
      <x:c r="AD191" s="101"/>
      <x:c r="AE191" s="101"/>
    </x:row>
    <x:row r="192">
      <x:c r="A192" s="101"/>
      <x:c r="B192" s="101"/>
      <x:c r="C192" s="101"/>
      <x:c r="D192" s="101"/>
      <x:c r="E192" s="101"/>
      <x:c r="F192" s="101"/>
      <x:c r="G192" s="101"/>
      <x:c r="H192" s="101"/>
      <x:c r="I192" s="101"/>
      <x:c r="J192" s="101"/>
      <x:c r="K192" s="101"/>
      <x:c r="L192" s="101"/>
      <x:c r="M192" s="101"/>
      <x:c r="N192" s="101"/>
      <x:c r="O192" s="101"/>
      <x:c r="P192" s="101"/>
      <x:c r="Q192" s="101"/>
      <x:c r="R192" s="101"/>
      <x:c r="S192" s="101"/>
      <x:c r="T192" s="101"/>
      <x:c r="U192" s="101"/>
      <x:c r="V192" s="101"/>
      <x:c r="W192" s="101"/>
      <x:c r="X192" s="101"/>
      <x:c r="Y192" s="101"/>
      <x:c r="Z192" s="101"/>
      <x:c r="AA192" s="101"/>
      <x:c r="AB192" s="101"/>
      <x:c r="AC192" s="101"/>
      <x:c r="AD192" s="101"/>
      <x:c r="AE192" s="101"/>
    </x:row>
    <x:row r="193">
      <x:c r="A193" s="101"/>
      <x:c r="B193" s="101"/>
      <x:c r="C193" s="101"/>
      <x:c r="D193" s="101"/>
      <x:c r="E193" s="101"/>
      <x:c r="F193" s="101"/>
      <x:c r="G193" s="101"/>
      <x:c r="H193" s="101"/>
      <x:c r="I193" s="101"/>
      <x:c r="J193" s="101"/>
      <x:c r="K193" s="101"/>
      <x:c r="L193" s="101"/>
      <x:c r="M193" s="101"/>
      <x:c r="N193" s="101"/>
      <x:c r="O193" s="101"/>
      <x:c r="P193" s="101"/>
      <x:c r="Q193" s="101"/>
      <x:c r="R193" s="101"/>
      <x:c r="S193" s="101"/>
      <x:c r="T193" s="101"/>
      <x:c r="U193" s="101"/>
      <x:c r="V193" s="101"/>
      <x:c r="W193" s="101"/>
      <x:c r="X193" s="101"/>
      <x:c r="Y193" s="101"/>
      <x:c r="Z193" s="101"/>
      <x:c r="AA193" s="101"/>
      <x:c r="AB193" s="101"/>
      <x:c r="AC193" s="101"/>
      <x:c r="AD193" s="101"/>
      <x:c r="AE193" s="101"/>
    </x:row>
    <x:row r="194">
      <x:c r="A194" s="101"/>
      <x:c r="B194" s="101"/>
      <x:c r="C194" s="101"/>
      <x:c r="D194" s="101"/>
      <x:c r="E194" s="101"/>
      <x:c r="F194" s="101"/>
      <x:c r="G194" s="101"/>
      <x:c r="H194" s="101"/>
      <x:c r="I194" s="101"/>
      <x:c r="J194" s="101"/>
      <x:c r="K194" s="101"/>
      <x:c r="L194" s="101"/>
      <x:c r="M194" s="101"/>
      <x:c r="N194" s="101"/>
      <x:c r="O194" s="101"/>
      <x:c r="P194" s="101"/>
      <x:c r="Q194" s="101"/>
      <x:c r="R194" s="101"/>
      <x:c r="S194" s="101"/>
      <x:c r="T194" s="101"/>
      <x:c r="U194" s="101"/>
      <x:c r="V194" s="101"/>
      <x:c r="W194" s="101"/>
      <x:c r="X194" s="101"/>
      <x:c r="Y194" s="101"/>
      <x:c r="Z194" s="101"/>
      <x:c r="AA194" s="101"/>
      <x:c r="AB194" s="101"/>
      <x:c r="AC194" s="101"/>
      <x:c r="AD194" s="101"/>
      <x:c r="AE194" s="101"/>
    </x:row>
    <x:row r="195">
      <x:c r="A195" s="101"/>
      <x:c r="B195" s="101"/>
      <x:c r="C195" s="101"/>
      <x:c r="D195" s="101"/>
      <x:c r="E195" s="101"/>
      <x:c r="F195" s="101"/>
      <x:c r="G195" s="101"/>
      <x:c r="H195" s="101"/>
      <x:c r="I195" s="101"/>
      <x:c r="J195" s="101"/>
      <x:c r="K195" s="101"/>
      <x:c r="L195" s="101"/>
      <x:c r="M195" s="101"/>
      <x:c r="N195" s="101"/>
      <x:c r="O195" s="101"/>
      <x:c r="P195" s="101"/>
      <x:c r="Q195" s="101"/>
      <x:c r="R195" s="101"/>
      <x:c r="S195" s="101"/>
      <x:c r="T195" s="101"/>
      <x:c r="U195" s="101"/>
      <x:c r="V195" s="101"/>
      <x:c r="W195" s="101"/>
      <x:c r="X195" s="101"/>
      <x:c r="Y195" s="101"/>
      <x:c r="Z195" s="101"/>
      <x:c r="AA195" s="101"/>
      <x:c r="AB195" s="101"/>
      <x:c r="AC195" s="101"/>
      <x:c r="AD195" s="101"/>
      <x:c r="AE195" s="101"/>
    </x:row>
    <x:row r="196">
      <x:c r="A196" s="101"/>
      <x:c r="B196" s="101"/>
      <x:c r="C196" s="101"/>
      <x:c r="D196" s="101"/>
      <x:c r="E196" s="101"/>
      <x:c r="F196" s="101"/>
      <x:c r="G196" s="101"/>
      <x:c r="H196" s="101"/>
      <x:c r="I196" s="101"/>
      <x:c r="J196" s="101"/>
      <x:c r="K196" s="101"/>
      <x:c r="L196" s="101"/>
      <x:c r="M196" s="101"/>
      <x:c r="N196" s="101"/>
      <x:c r="O196" s="101"/>
      <x:c r="P196" s="101"/>
      <x:c r="Q196" s="101"/>
      <x:c r="R196" s="101"/>
      <x:c r="S196" s="101"/>
      <x:c r="T196" s="101"/>
      <x:c r="U196" s="101"/>
      <x:c r="V196" s="101"/>
      <x:c r="W196" s="101"/>
      <x:c r="X196" s="101"/>
      <x:c r="Y196" s="101"/>
      <x:c r="Z196" s="101"/>
      <x:c r="AA196" s="101"/>
      <x:c r="AB196" s="101"/>
      <x:c r="AC196" s="101"/>
      <x:c r="AD196" s="101"/>
      <x:c r="AE196" s="101"/>
    </x:row>
    <x:row r="197">
      <x:c r="A197" s="101"/>
      <x:c r="B197" s="101"/>
      <x:c r="C197" s="101"/>
      <x:c r="D197" s="101"/>
      <x:c r="E197" s="101"/>
      <x:c r="F197" s="101"/>
      <x:c r="G197" s="101"/>
      <x:c r="H197" s="101"/>
      <x:c r="I197" s="101"/>
      <x:c r="J197" s="101"/>
      <x:c r="K197" s="101"/>
      <x:c r="L197" s="101"/>
      <x:c r="M197" s="101"/>
      <x:c r="N197" s="101"/>
      <x:c r="O197" s="101"/>
      <x:c r="P197" s="101"/>
      <x:c r="Q197" s="101"/>
      <x:c r="R197" s="101"/>
      <x:c r="S197" s="101"/>
      <x:c r="T197" s="101"/>
      <x:c r="U197" s="101"/>
      <x:c r="V197" s="101"/>
      <x:c r="W197" s="101"/>
      <x:c r="X197" s="101"/>
      <x:c r="Y197" s="101"/>
      <x:c r="Z197" s="101"/>
      <x:c r="AA197" s="101"/>
      <x:c r="AB197" s="101"/>
      <x:c r="AC197" s="101"/>
      <x:c r="AD197" s="101"/>
      <x:c r="AE197" s="101"/>
    </x:row>
    <x:row r="198">
      <x:c r="A198" s="101"/>
      <x:c r="B198" s="101"/>
      <x:c r="C198" s="101"/>
      <x:c r="D198" s="101"/>
      <x:c r="E198" s="101"/>
      <x:c r="F198" s="101"/>
      <x:c r="G198" s="101"/>
      <x:c r="H198" s="101"/>
      <x:c r="I198" s="101"/>
      <x:c r="J198" s="101"/>
      <x:c r="K198" s="101"/>
      <x:c r="L198" s="101"/>
      <x:c r="M198" s="101"/>
      <x:c r="N198" s="101"/>
      <x:c r="O198" s="101"/>
      <x:c r="P198" s="101"/>
      <x:c r="Q198" s="101"/>
      <x:c r="R198" s="101"/>
      <x:c r="S198" s="101"/>
      <x:c r="T198" s="101"/>
      <x:c r="U198" s="101"/>
      <x:c r="V198" s="101"/>
      <x:c r="W198" s="101"/>
      <x:c r="X198" s="101"/>
      <x:c r="Y198" s="101"/>
      <x:c r="Z198" s="101"/>
      <x:c r="AA198" s="101"/>
      <x:c r="AB198" s="101"/>
      <x:c r="AC198" s="101"/>
      <x:c r="AD198" s="101"/>
      <x:c r="AE198" s="101"/>
    </x:row>
    <x:row r="199">
      <x:c r="A199" s="101"/>
      <x:c r="B199" s="101"/>
      <x:c r="C199" s="101"/>
      <x:c r="D199" s="101"/>
      <x:c r="E199" s="101"/>
      <x:c r="F199" s="101"/>
      <x:c r="G199" s="101"/>
      <x:c r="H199" s="101"/>
      <x:c r="I199" s="101"/>
      <x:c r="J199" s="101"/>
      <x:c r="K199" s="101"/>
      <x:c r="L199" s="101"/>
      <x:c r="M199" s="101"/>
      <x:c r="N199" s="101"/>
      <x:c r="O199" s="101"/>
      <x:c r="P199" s="101"/>
      <x:c r="Q199" s="101"/>
      <x:c r="R199" s="101"/>
      <x:c r="S199" s="101"/>
      <x:c r="T199" s="101"/>
      <x:c r="U199" s="101"/>
      <x:c r="V199" s="101"/>
      <x:c r="W199" s="101"/>
      <x:c r="X199" s="101"/>
      <x:c r="Y199" s="101"/>
      <x:c r="Z199" s="101"/>
      <x:c r="AA199" s="101"/>
      <x:c r="AB199" s="101"/>
      <x:c r="AC199" s="101"/>
      <x:c r="AD199" s="101"/>
      <x:c r="AE199" s="101"/>
    </x:row>
    <x:row r="200">
      <x:c r="A200" s="101"/>
      <x:c r="B200" s="101"/>
      <x:c r="C200" s="101"/>
      <x:c r="D200" s="101"/>
      <x:c r="E200" s="101"/>
      <x:c r="F200" s="101"/>
      <x:c r="G200" s="101"/>
      <x:c r="H200" s="101"/>
      <x:c r="I200" s="101"/>
      <x:c r="J200" s="101"/>
      <x:c r="K200" s="101"/>
      <x:c r="L200" s="101"/>
      <x:c r="M200" s="101"/>
      <x:c r="N200" s="101"/>
      <x:c r="O200" s="101"/>
      <x:c r="P200" s="101"/>
      <x:c r="Q200" s="101"/>
      <x:c r="R200" s="101"/>
      <x:c r="S200" s="101"/>
      <x:c r="T200" s="101"/>
      <x:c r="U200" s="101"/>
      <x:c r="V200" s="101"/>
      <x:c r="W200" s="101"/>
      <x:c r="X200" s="101"/>
      <x:c r="Y200" s="101"/>
      <x:c r="Z200" s="101"/>
      <x:c r="AA200" s="101"/>
      <x:c r="AB200" s="101"/>
      <x:c r="AC200" s="101"/>
      <x:c r="AD200" s="101"/>
      <x:c r="AE200" s="101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ae896337c7e34c8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0" hidden="0" customWidth="1"/>
    <x:col min="4" max="4" width="14" hidden="0" customWidth="1"/>
    <x:col min="5" max="5" width="14" hidden="0" customWidth="1"/>
    <x:col min="6" max="6" width="10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48" hidden="0" customWidth="1"/>
    <x:col min="13" max="13" width="28" hidden="0" customWidth="1"/>
  </x:cols>
  <x:sheetData>
    <x:row r="1">
      <x:c r="A1" s="118" t="str">
        <x:v>PALLET PLAN - assign pallet numbers on Curtain Input; edit yellow dimensions/notes here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</x:row>
    <x:row r="2">
      <x:c r="A2" s="96" t="str">
        <x:v>Pallet No</x:v>
      </x:c>
      <x:c r="B2" s="96" t="str">
        <x:v>Curtains included (auto)</x:v>
      </x:c>
      <x:c r="C2" s="96" t="str">
        <x:v>Kit Qty</x:v>
      </x:c>
      <x:c r="D2" s="96" t="str">
        <x:v>Net Goods kg</x:v>
      </x:c>
      <x:c r="E2" s="96" t="str">
        <x:v>Packing Allow kg</x:v>
      </x:c>
      <x:c r="F2" s="96" t="str">
        <x:v>Pallet kg</x:v>
      </x:c>
      <x:c r="G2" s="96" t="str">
        <x:v>Gross kg</x:v>
      </x:c>
      <x:c r="H2" s="96" t="str">
        <x:v>Safe Booking kg</x:v>
      </x:c>
      <x:c r="I2" s="96" t="str">
        <x:v>Length mm</x:v>
      </x:c>
      <x:c r="J2" s="96" t="str">
        <x:v>Width mm</x:v>
      </x:c>
      <x:c r="K2" s="96" t="str">
        <x:v>Height mm</x:v>
      </x:c>
      <x:c r="L2" s="96" t="str">
        <x:v>Contents / Packing Note</x:v>
      </x:c>
      <x:c r="M2" s="96" t="str">
        <x:v>Notes</x:v>
      </x:c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  <x:c r="AE2" s="101"/>
    </x:row>
    <x:row r="3">
      <x:c r="A3" s="101" t="str">
        <x:v>P1</x:v>
      </x:c>
      <x:c r="B3" s="126" t="str">
        <x:f>IF(C3=0,"",IFERROR(TEXTJOIN(", ",TRUE,FILTER('Curtain Input'!$A$3:$A$42,'Curtain Input'!$AD$3:$AD$42=A3)),""))</x:f>
      </x:c>
      <x:c r="C3" s="126" t="n">
        <x:f>SUMIF('Curtain Input'!$AD$3:$AD$42,A3,'Curtain Input'!$C$3:$C$42)</x:f>
        <x:v>0</x:v>
      </x:c>
      <x:c r="D3" s="127" t="n">
        <x:f>SUMIF('Curtain Input'!$AD$3:$AD$42,A3,'Packing Calc'!$N$3:$N$42)</x:f>
        <x:v>0</x:v>
      </x:c>
      <x:c r="E3" s="127" t="n">
        <x:f>D3*'START HERE'!$B$16</x:f>
        <x:v>0</x:v>
      </x:c>
      <x:c r="F3" s="127" t="n">
        <x:f>IF(C3&gt;0,'START HERE'!$B$17,0)</x:f>
        <x:v>0</x:v>
      </x:c>
      <x:c r="G3" s="127" t="n">
        <x:f>D3+E3+F3</x:f>
        <x:v>0</x:v>
      </x:c>
      <x:c r="H3" s="127" t="n">
        <x:f>IF(G3=0,0,CEILING(G3,'START HERE'!$B$18))</x:f>
        <x:v>0</x:v>
      </x:c>
      <x:c r="I3" s="106" t="n">
        <x:f>IF(C3&gt;0,'START HERE'!$B$19,0)</x:f>
        <x:v>0</x:v>
      </x:c>
      <x:c r="J3" s="106" t="n">
        <x:f>IF(C3&gt;0,'START HERE'!$B$20,0)</x:f>
        <x:v>0</x:v>
      </x:c>
      <x:c r="K3" s="106" t="n">
        <x:f>IF(C3&gt;0,'START HERE'!$B$21,0)</x:f>
        <x:v>0</x:v>
      </x:c>
      <x:c r="L3" s="104" t="str">
        <x:f>IF(C3=0,"",C3&amp;" curtain kit(s): headbox sections, side guides, barrel/curtain/bottom rail assemblies and panel/component boxes")</x:f>
      </x:c>
      <x:c r="M3" s="104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  <x:c r="AA3" s="101"/>
      <x:c r="AB3" s="101"/>
      <x:c r="AC3" s="101"/>
      <x:c r="AD3" s="101"/>
      <x:c r="AE3" s="101"/>
    </x:row>
    <x:row r="4">
      <x:c r="A4" s="101" t="str">
        <x:v>P2</x:v>
      </x:c>
      <x:c r="B4" s="126" t="str">
        <x:f>IF(C4=0,"",IFERROR(TEXTJOIN(", ",TRUE,FILTER('Curtain Input'!$A$3:$A$42,'Curtain Input'!$AD$3:$AD$42=A4)),""))</x:f>
      </x:c>
      <x:c r="C4" s="126" t="n">
        <x:f>SUMIF('Curtain Input'!$AD$3:$AD$42,A4,'Curtain Input'!$C$3:$C$42)</x:f>
        <x:v>0</x:v>
      </x:c>
      <x:c r="D4" s="127" t="n">
        <x:f>SUMIF('Curtain Input'!$AD$3:$AD$42,A4,'Packing Calc'!$N$3:$N$42)</x:f>
        <x:v>0</x:v>
      </x:c>
      <x:c r="E4" s="127" t="n">
        <x:f>D4*'START HERE'!$B$16</x:f>
        <x:v>0</x:v>
      </x:c>
      <x:c r="F4" s="127" t="n">
        <x:f>IF(C4&gt;0,'START HERE'!$B$17,0)</x:f>
        <x:v>0</x:v>
      </x:c>
      <x:c r="G4" s="127" t="n">
        <x:f>D4+E4+F4</x:f>
        <x:v>0</x:v>
      </x:c>
      <x:c r="H4" s="127" t="n">
        <x:f>IF(G4=0,0,CEILING(G4,'START HERE'!$B$18))</x:f>
        <x:v>0</x:v>
      </x:c>
      <x:c r="I4" s="106" t="n">
        <x:f>IF(C4&gt;0,'START HERE'!$B$19,0)</x:f>
        <x:v>0</x:v>
      </x:c>
      <x:c r="J4" s="106" t="n">
        <x:f>IF(C4&gt;0,'START HERE'!$B$20,0)</x:f>
        <x:v>0</x:v>
      </x:c>
      <x:c r="K4" s="106" t="n">
        <x:f>IF(C4&gt;0,'START HERE'!$B$21,0)</x:f>
        <x:v>0</x:v>
      </x:c>
      <x:c r="L4" s="104" t="str">
        <x:f>IF(C4=0,"",C4&amp;" curtain kit(s): headbox sections, side guides, barrel/curtain/bottom rail assemblies and panel/component boxes")</x:f>
      </x:c>
      <x:c r="M4" s="104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  <x:c r="AA4" s="101"/>
      <x:c r="AB4" s="101"/>
      <x:c r="AC4" s="101"/>
      <x:c r="AD4" s="101"/>
      <x:c r="AE4" s="101"/>
    </x:row>
    <x:row r="5">
      <x:c r="A5" s="101" t="str">
        <x:v>P3</x:v>
      </x:c>
      <x:c r="B5" s="126" t="str">
        <x:f>IF(C5=0,"",IFERROR(TEXTJOIN(", ",TRUE,FILTER('Curtain Input'!$A$3:$A$42,'Curtain Input'!$AD$3:$AD$42=A5)),""))</x:f>
      </x:c>
      <x:c r="C5" s="126" t="n">
        <x:f>SUMIF('Curtain Input'!$AD$3:$AD$42,A5,'Curtain Input'!$C$3:$C$42)</x:f>
        <x:v>0</x:v>
      </x:c>
      <x:c r="D5" s="127" t="n">
        <x:f>SUMIF('Curtain Input'!$AD$3:$AD$42,A5,'Packing Calc'!$N$3:$N$42)</x:f>
        <x:v>0</x:v>
      </x:c>
      <x:c r="E5" s="127" t="n">
        <x:f>D5*'START HERE'!$B$16</x:f>
        <x:v>0</x:v>
      </x:c>
      <x:c r="F5" s="127" t="n">
        <x:f>IF(C5&gt;0,'START HERE'!$B$17,0)</x:f>
        <x:v>0</x:v>
      </x:c>
      <x:c r="G5" s="127" t="n">
        <x:f>D5+E5+F5</x:f>
        <x:v>0</x:v>
      </x:c>
      <x:c r="H5" s="127" t="n">
        <x:f>IF(G5=0,0,CEILING(G5,'START HERE'!$B$18))</x:f>
        <x:v>0</x:v>
      </x:c>
      <x:c r="I5" s="106" t="n">
        <x:f>IF(C5&gt;0,'START HERE'!$B$19,0)</x:f>
        <x:v>0</x:v>
      </x:c>
      <x:c r="J5" s="106" t="n">
        <x:f>IF(C5&gt;0,'START HERE'!$B$20,0)</x:f>
        <x:v>0</x:v>
      </x:c>
      <x:c r="K5" s="106" t="n">
        <x:f>IF(C5&gt;0,'START HERE'!$B$21,0)</x:f>
        <x:v>0</x:v>
      </x:c>
      <x:c r="L5" s="104" t="str">
        <x:f>IF(C5=0,"",C5&amp;" curtain kit(s): headbox sections, side guides, barrel/curtain/bottom rail assemblies and panel/component boxes")</x:f>
      </x:c>
      <x:c r="M5" s="104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  <x:c r="AA5" s="101"/>
      <x:c r="AB5" s="101"/>
      <x:c r="AC5" s="101"/>
      <x:c r="AD5" s="101"/>
      <x:c r="AE5" s="101"/>
    </x:row>
    <x:row r="6">
      <x:c r="A6" s="101" t="str">
        <x:v>P4</x:v>
      </x:c>
      <x:c r="B6" s="126" t="str">
        <x:f>IF(C6=0,"",IFERROR(TEXTJOIN(", ",TRUE,FILTER('Curtain Input'!$A$3:$A$42,'Curtain Input'!$AD$3:$AD$42=A6)),""))</x:f>
      </x:c>
      <x:c r="C6" s="126" t="n">
        <x:f>SUMIF('Curtain Input'!$AD$3:$AD$42,A6,'Curtain Input'!$C$3:$C$42)</x:f>
        <x:v>0</x:v>
      </x:c>
      <x:c r="D6" s="127" t="n">
        <x:f>SUMIF('Curtain Input'!$AD$3:$AD$42,A6,'Packing Calc'!$N$3:$N$42)</x:f>
        <x:v>0</x:v>
      </x:c>
      <x:c r="E6" s="127" t="n">
        <x:f>D6*'START HERE'!$B$16</x:f>
        <x:v>0</x:v>
      </x:c>
      <x:c r="F6" s="127" t="n">
        <x:f>IF(C6&gt;0,'START HERE'!$B$17,0)</x:f>
        <x:v>0</x:v>
      </x:c>
      <x:c r="G6" s="127" t="n">
        <x:f>D6+E6+F6</x:f>
        <x:v>0</x:v>
      </x:c>
      <x:c r="H6" s="127" t="n">
        <x:f>IF(G6=0,0,CEILING(G6,'START HERE'!$B$18))</x:f>
        <x:v>0</x:v>
      </x:c>
      <x:c r="I6" s="106" t="n">
        <x:f>IF(C6&gt;0,'START HERE'!$B$19,0)</x:f>
        <x:v>0</x:v>
      </x:c>
      <x:c r="J6" s="106" t="n">
        <x:f>IF(C6&gt;0,'START HERE'!$B$20,0)</x:f>
        <x:v>0</x:v>
      </x:c>
      <x:c r="K6" s="106" t="n">
        <x:f>IF(C6&gt;0,'START HERE'!$B$21,0)</x:f>
        <x:v>0</x:v>
      </x:c>
      <x:c r="L6" s="104" t="str">
        <x:f>IF(C6=0,"",C6&amp;" curtain kit(s): headbox sections, side guides, barrel/curtain/bottom rail assemblies and panel/component boxes")</x:f>
      </x:c>
      <x:c r="M6" s="104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  <x:c r="AA6" s="101"/>
      <x:c r="AB6" s="101"/>
      <x:c r="AC6" s="101"/>
      <x:c r="AD6" s="101"/>
      <x:c r="AE6" s="101"/>
    </x:row>
    <x:row r="7">
      <x:c r="A7" s="101" t="str">
        <x:v>P5</x:v>
      </x:c>
      <x:c r="B7" s="126" t="str">
        <x:f>IF(C7=0,"",IFERROR(TEXTJOIN(", ",TRUE,FILTER('Curtain Input'!$A$3:$A$42,'Curtain Input'!$AD$3:$AD$42=A7)),""))</x:f>
      </x:c>
      <x:c r="C7" s="126" t="n">
        <x:f>SUMIF('Curtain Input'!$AD$3:$AD$42,A7,'Curtain Input'!$C$3:$C$42)</x:f>
        <x:v>0</x:v>
      </x:c>
      <x:c r="D7" s="127" t="n">
        <x:f>SUMIF('Curtain Input'!$AD$3:$AD$42,A7,'Packing Calc'!$N$3:$N$42)</x:f>
        <x:v>0</x:v>
      </x:c>
      <x:c r="E7" s="127" t="n">
        <x:f>D7*'START HERE'!$B$16</x:f>
        <x:v>0</x:v>
      </x:c>
      <x:c r="F7" s="127" t="n">
        <x:f>IF(C7&gt;0,'START HERE'!$B$17,0)</x:f>
        <x:v>0</x:v>
      </x:c>
      <x:c r="G7" s="127" t="n">
        <x:f>D7+E7+F7</x:f>
        <x:v>0</x:v>
      </x:c>
      <x:c r="H7" s="127" t="n">
        <x:f>IF(G7=0,0,CEILING(G7,'START HERE'!$B$18))</x:f>
        <x:v>0</x:v>
      </x:c>
      <x:c r="I7" s="106" t="n">
        <x:f>IF(C7&gt;0,'START HERE'!$B$19,0)</x:f>
        <x:v>0</x:v>
      </x:c>
      <x:c r="J7" s="106" t="n">
        <x:f>IF(C7&gt;0,'START HERE'!$B$20,0)</x:f>
        <x:v>0</x:v>
      </x:c>
      <x:c r="K7" s="106" t="n">
        <x:f>IF(C7&gt;0,'START HERE'!$B$21,0)</x:f>
        <x:v>0</x:v>
      </x:c>
      <x:c r="L7" s="104" t="str">
        <x:f>IF(C7=0,"",C7&amp;" curtain kit(s): headbox sections, side guides, barrel/curtain/bottom rail assemblies and panel/component boxes")</x:f>
      </x:c>
      <x:c r="M7" s="104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  <x:c r="AA7" s="101"/>
      <x:c r="AB7" s="101"/>
      <x:c r="AC7" s="101"/>
      <x:c r="AD7" s="101"/>
      <x:c r="AE7" s="101"/>
    </x:row>
    <x:row r="8">
      <x:c r="A8" s="101" t="str">
        <x:v>P6</x:v>
      </x:c>
      <x:c r="B8" s="126" t="str">
        <x:f>IF(C8=0,"",IFERROR(TEXTJOIN(", ",TRUE,FILTER('Curtain Input'!$A$3:$A$42,'Curtain Input'!$AD$3:$AD$42=A8)),""))</x:f>
      </x:c>
      <x:c r="C8" s="126" t="n">
        <x:f>SUMIF('Curtain Input'!$AD$3:$AD$42,A8,'Curtain Input'!$C$3:$C$42)</x:f>
        <x:v>0</x:v>
      </x:c>
      <x:c r="D8" s="127" t="n">
        <x:f>SUMIF('Curtain Input'!$AD$3:$AD$42,A8,'Packing Calc'!$N$3:$N$42)</x:f>
        <x:v>0</x:v>
      </x:c>
      <x:c r="E8" s="127" t="n">
        <x:f>D8*'START HERE'!$B$16</x:f>
        <x:v>0</x:v>
      </x:c>
      <x:c r="F8" s="127" t="n">
        <x:f>IF(C8&gt;0,'START HERE'!$B$17,0)</x:f>
        <x:v>0</x:v>
      </x:c>
      <x:c r="G8" s="127" t="n">
        <x:f>D8+E8+F8</x:f>
        <x:v>0</x:v>
      </x:c>
      <x:c r="H8" s="127" t="n">
        <x:f>IF(G8=0,0,CEILING(G8,'START HERE'!$B$18))</x:f>
        <x:v>0</x:v>
      </x:c>
      <x:c r="I8" s="106" t="n">
        <x:f>IF(C8&gt;0,'START HERE'!$B$19,0)</x:f>
        <x:v>0</x:v>
      </x:c>
      <x:c r="J8" s="106" t="n">
        <x:f>IF(C8&gt;0,'START HERE'!$B$20,0)</x:f>
        <x:v>0</x:v>
      </x:c>
      <x:c r="K8" s="106" t="n">
        <x:f>IF(C8&gt;0,'START HERE'!$B$21,0)</x:f>
        <x:v>0</x:v>
      </x:c>
      <x:c r="L8" s="104" t="str">
        <x:f>IF(C8=0,"",C8&amp;" curtain kit(s): headbox sections, side guides, barrel/curtain/bottom rail assemblies and panel/component boxes")</x:f>
      </x:c>
      <x:c r="M8" s="104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  <x:c r="AA8" s="101"/>
      <x:c r="AB8" s="101"/>
      <x:c r="AC8" s="101"/>
      <x:c r="AD8" s="101"/>
      <x:c r="AE8" s="101"/>
    </x:row>
    <x:row r="9">
      <x:c r="A9" s="101" t="str">
        <x:v>P7</x:v>
      </x:c>
      <x:c r="B9" s="126" t="str">
        <x:f>IF(C9=0,"",IFERROR(TEXTJOIN(", ",TRUE,FILTER('Curtain Input'!$A$3:$A$42,'Curtain Input'!$AD$3:$AD$42=A9)),""))</x:f>
      </x:c>
      <x:c r="C9" s="126" t="n">
        <x:f>SUMIF('Curtain Input'!$AD$3:$AD$42,A9,'Curtain Input'!$C$3:$C$42)</x:f>
        <x:v>0</x:v>
      </x:c>
      <x:c r="D9" s="127" t="n">
        <x:f>SUMIF('Curtain Input'!$AD$3:$AD$42,A9,'Packing Calc'!$N$3:$N$42)</x:f>
        <x:v>0</x:v>
      </x:c>
      <x:c r="E9" s="127" t="n">
        <x:f>D9*'START HERE'!$B$16</x:f>
        <x:v>0</x:v>
      </x:c>
      <x:c r="F9" s="127" t="n">
        <x:f>IF(C9&gt;0,'START HERE'!$B$17,0)</x:f>
        <x:v>0</x:v>
      </x:c>
      <x:c r="G9" s="127" t="n">
        <x:f>D9+E9+F9</x:f>
        <x:v>0</x:v>
      </x:c>
      <x:c r="H9" s="127" t="n">
        <x:f>IF(G9=0,0,CEILING(G9,'START HERE'!$B$18))</x:f>
        <x:v>0</x:v>
      </x:c>
      <x:c r="I9" s="106" t="n">
        <x:f>IF(C9&gt;0,'START HERE'!$B$19,0)</x:f>
        <x:v>0</x:v>
      </x:c>
      <x:c r="J9" s="106" t="n">
        <x:f>IF(C9&gt;0,'START HERE'!$B$20,0)</x:f>
        <x:v>0</x:v>
      </x:c>
      <x:c r="K9" s="106" t="n">
        <x:f>IF(C9&gt;0,'START HERE'!$B$21,0)</x:f>
        <x:v>0</x:v>
      </x:c>
      <x:c r="L9" s="104" t="str">
        <x:f>IF(C9=0,"",C9&amp;" curtain kit(s): headbox sections, side guides, barrel/curtain/bottom rail assemblies and panel/component boxes")</x:f>
      </x:c>
      <x:c r="M9" s="104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  <x:c r="AA9" s="101"/>
      <x:c r="AB9" s="101"/>
      <x:c r="AC9" s="101"/>
      <x:c r="AD9" s="101"/>
      <x:c r="AE9" s="101"/>
    </x:row>
    <x:row r="10">
      <x:c r="A10" s="101" t="str">
        <x:v>P8</x:v>
      </x:c>
      <x:c r="B10" s="126" t="str">
        <x:f>IF(C10=0,"",IFERROR(TEXTJOIN(", ",TRUE,FILTER('Curtain Input'!$A$3:$A$42,'Curtain Input'!$AD$3:$AD$42=A10)),""))</x:f>
      </x:c>
      <x:c r="C10" s="126" t="n">
        <x:f>SUMIF('Curtain Input'!$AD$3:$AD$42,A10,'Curtain Input'!$C$3:$C$42)</x:f>
        <x:v>0</x:v>
      </x:c>
      <x:c r="D10" s="127" t="n">
        <x:f>SUMIF('Curtain Input'!$AD$3:$AD$42,A10,'Packing Calc'!$N$3:$N$42)</x:f>
        <x:v>0</x:v>
      </x:c>
      <x:c r="E10" s="127" t="n">
        <x:f>D10*'START HERE'!$B$16</x:f>
        <x:v>0</x:v>
      </x:c>
      <x:c r="F10" s="127" t="n">
        <x:f>IF(C10&gt;0,'START HERE'!$B$17,0)</x:f>
        <x:v>0</x:v>
      </x:c>
      <x:c r="G10" s="127" t="n">
        <x:f>D10+E10+F10</x:f>
        <x:v>0</x:v>
      </x:c>
      <x:c r="H10" s="127" t="n">
        <x:f>IF(G10=0,0,CEILING(G10,'START HERE'!$B$18))</x:f>
        <x:v>0</x:v>
      </x:c>
      <x:c r="I10" s="106" t="n">
        <x:f>IF(C10&gt;0,'START HERE'!$B$19,0)</x:f>
        <x:v>0</x:v>
      </x:c>
      <x:c r="J10" s="106" t="n">
        <x:f>IF(C10&gt;0,'START HERE'!$B$20,0)</x:f>
        <x:v>0</x:v>
      </x:c>
      <x:c r="K10" s="106" t="n">
        <x:f>IF(C10&gt;0,'START HERE'!$B$21,0)</x:f>
        <x:v>0</x:v>
      </x:c>
      <x:c r="L10" s="104" t="str">
        <x:f>IF(C10=0,"",C10&amp;" curtain kit(s): headbox sections, side guides, barrel/curtain/bottom rail assemblies and panel/component boxes")</x:f>
      </x:c>
      <x:c r="M10" s="104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  <x:c r="AA10" s="101"/>
      <x:c r="AB10" s="101"/>
      <x:c r="AC10" s="101"/>
      <x:c r="AD10" s="101"/>
      <x:c r="AE10" s="101"/>
    </x:row>
    <x:row r="11">
      <x:c r="A11" s="101" t="str">
        <x:v>P9</x:v>
      </x:c>
      <x:c r="B11" s="126" t="str">
        <x:f>IF(C11=0,"",IFERROR(TEXTJOIN(", ",TRUE,FILTER('Curtain Input'!$A$3:$A$42,'Curtain Input'!$AD$3:$AD$42=A11)),""))</x:f>
      </x:c>
      <x:c r="C11" s="126" t="n">
        <x:f>SUMIF('Curtain Input'!$AD$3:$AD$42,A11,'Curtain Input'!$C$3:$C$42)</x:f>
        <x:v>0</x:v>
      </x:c>
      <x:c r="D11" s="127" t="n">
        <x:f>SUMIF('Curtain Input'!$AD$3:$AD$42,A11,'Packing Calc'!$N$3:$N$42)</x:f>
        <x:v>0</x:v>
      </x:c>
      <x:c r="E11" s="127" t="n">
        <x:f>D11*'START HERE'!$B$16</x:f>
        <x:v>0</x:v>
      </x:c>
      <x:c r="F11" s="127" t="n">
        <x:f>IF(C11&gt;0,'START HERE'!$B$17,0)</x:f>
        <x:v>0</x:v>
      </x:c>
      <x:c r="G11" s="127" t="n">
        <x:f>D11+E11+F11</x:f>
        <x:v>0</x:v>
      </x:c>
      <x:c r="H11" s="127" t="n">
        <x:f>IF(G11=0,0,CEILING(G11,'START HERE'!$B$18))</x:f>
        <x:v>0</x:v>
      </x:c>
      <x:c r="I11" s="106" t="n">
        <x:f>IF(C11&gt;0,'START HERE'!$B$19,0)</x:f>
        <x:v>0</x:v>
      </x:c>
      <x:c r="J11" s="106" t="n">
        <x:f>IF(C11&gt;0,'START HERE'!$B$20,0)</x:f>
        <x:v>0</x:v>
      </x:c>
      <x:c r="K11" s="106" t="n">
        <x:f>IF(C11&gt;0,'START HERE'!$B$21,0)</x:f>
        <x:v>0</x:v>
      </x:c>
      <x:c r="L11" s="104" t="str">
        <x:f>IF(C11=0,"",C11&amp;" curtain kit(s): headbox sections, side guides, barrel/curtain/bottom rail assemblies and panel/component boxes")</x:f>
      </x:c>
      <x:c r="M11" s="104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  <x:c r="AA11" s="101"/>
      <x:c r="AB11" s="101"/>
      <x:c r="AC11" s="101"/>
      <x:c r="AD11" s="101"/>
      <x:c r="AE11" s="101"/>
    </x:row>
    <x:row r="12">
      <x:c r="A12" s="101" t="str">
        <x:v>P10</x:v>
      </x:c>
      <x:c r="B12" s="126" t="str">
        <x:f>IF(C12=0,"",IFERROR(TEXTJOIN(", ",TRUE,FILTER('Curtain Input'!$A$3:$A$42,'Curtain Input'!$AD$3:$AD$42=A12)),""))</x:f>
      </x:c>
      <x:c r="C12" s="126" t="n">
        <x:f>SUMIF('Curtain Input'!$AD$3:$AD$42,A12,'Curtain Input'!$C$3:$C$42)</x:f>
        <x:v>0</x:v>
      </x:c>
      <x:c r="D12" s="127" t="n">
        <x:f>SUMIF('Curtain Input'!$AD$3:$AD$42,A12,'Packing Calc'!$N$3:$N$42)</x:f>
        <x:v>0</x:v>
      </x:c>
      <x:c r="E12" s="127" t="n">
        <x:f>D12*'START HERE'!$B$16</x:f>
        <x:v>0</x:v>
      </x:c>
      <x:c r="F12" s="127" t="n">
        <x:f>IF(C12&gt;0,'START HERE'!$B$17,0)</x:f>
        <x:v>0</x:v>
      </x:c>
      <x:c r="G12" s="127" t="n">
        <x:f>D12+E12+F12</x:f>
        <x:v>0</x:v>
      </x:c>
      <x:c r="H12" s="127" t="n">
        <x:f>IF(G12=0,0,CEILING(G12,'START HERE'!$B$18))</x:f>
        <x:v>0</x:v>
      </x:c>
      <x:c r="I12" s="106" t="n">
        <x:f>IF(C12&gt;0,'START HERE'!$B$19,0)</x:f>
        <x:v>0</x:v>
      </x:c>
      <x:c r="J12" s="106" t="n">
        <x:f>IF(C12&gt;0,'START HERE'!$B$20,0)</x:f>
        <x:v>0</x:v>
      </x:c>
      <x:c r="K12" s="106" t="n">
        <x:f>IF(C12&gt;0,'START HERE'!$B$21,0)</x:f>
        <x:v>0</x:v>
      </x:c>
      <x:c r="L12" s="104" t="str">
        <x:f>IF(C12=0,"",C12&amp;" curtain kit(s): headbox sections, side guides, barrel/curtain/bottom rail assemblies and panel/component boxes")</x:f>
      </x:c>
      <x:c r="M12" s="104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  <x:c r="AA12" s="101"/>
      <x:c r="AB12" s="101"/>
      <x:c r="AC12" s="101"/>
      <x:c r="AD12" s="101"/>
      <x:c r="AE12" s="101"/>
    </x:row>
    <x:row r="13">
      <x:c r="A13" s="101" t="str">
        <x:v>P11</x:v>
      </x:c>
      <x:c r="B13" s="126" t="str">
        <x:f>IF(C13=0,"",IFERROR(TEXTJOIN(", ",TRUE,FILTER('Curtain Input'!$A$3:$A$42,'Curtain Input'!$AD$3:$AD$42=A13)),""))</x:f>
      </x:c>
      <x:c r="C13" s="126" t="n">
        <x:f>SUMIF('Curtain Input'!$AD$3:$AD$42,A13,'Curtain Input'!$C$3:$C$42)</x:f>
        <x:v>0</x:v>
      </x:c>
      <x:c r="D13" s="127" t="n">
        <x:f>SUMIF('Curtain Input'!$AD$3:$AD$42,A13,'Packing Calc'!$N$3:$N$42)</x:f>
        <x:v>0</x:v>
      </x:c>
      <x:c r="E13" s="127" t="n">
        <x:f>D13*'START HERE'!$B$16</x:f>
        <x:v>0</x:v>
      </x:c>
      <x:c r="F13" s="127" t="n">
        <x:f>IF(C13&gt;0,'START HERE'!$B$17,0)</x:f>
        <x:v>0</x:v>
      </x:c>
      <x:c r="G13" s="127" t="n">
        <x:f>D13+E13+F13</x:f>
        <x:v>0</x:v>
      </x:c>
      <x:c r="H13" s="127" t="n">
        <x:f>IF(G13=0,0,CEILING(G13,'START HERE'!$B$18))</x:f>
        <x:v>0</x:v>
      </x:c>
      <x:c r="I13" s="106" t="n">
        <x:f>IF(C13&gt;0,'START HERE'!$B$19,0)</x:f>
        <x:v>0</x:v>
      </x:c>
      <x:c r="J13" s="106" t="n">
        <x:f>IF(C13&gt;0,'START HERE'!$B$20,0)</x:f>
        <x:v>0</x:v>
      </x:c>
      <x:c r="K13" s="106" t="n">
        <x:f>IF(C13&gt;0,'START HERE'!$B$21,0)</x:f>
        <x:v>0</x:v>
      </x:c>
      <x:c r="L13" s="104" t="str">
        <x:f>IF(C13=0,"",C13&amp;" curtain kit(s): headbox sections, side guides, barrel/curtain/bottom rail assemblies and panel/component boxes")</x:f>
      </x:c>
      <x:c r="M13" s="104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  <x:c r="AA13" s="101"/>
      <x:c r="AB13" s="101"/>
      <x:c r="AC13" s="101"/>
      <x:c r="AD13" s="101"/>
      <x:c r="AE13" s="101"/>
    </x:row>
    <x:row r="14">
      <x:c r="A14" s="101" t="str">
        <x:v>P12</x:v>
      </x:c>
      <x:c r="B14" s="126" t="str">
        <x:f>IF(C14=0,"",IFERROR(TEXTJOIN(", ",TRUE,FILTER('Curtain Input'!$A$3:$A$42,'Curtain Input'!$AD$3:$AD$42=A14)),""))</x:f>
      </x:c>
      <x:c r="C14" s="126" t="n">
        <x:f>SUMIF('Curtain Input'!$AD$3:$AD$42,A14,'Curtain Input'!$C$3:$C$42)</x:f>
        <x:v>0</x:v>
      </x:c>
      <x:c r="D14" s="127" t="n">
        <x:f>SUMIF('Curtain Input'!$AD$3:$AD$42,A14,'Packing Calc'!$N$3:$N$42)</x:f>
        <x:v>0</x:v>
      </x:c>
      <x:c r="E14" s="127" t="n">
        <x:f>D14*'START HERE'!$B$16</x:f>
        <x:v>0</x:v>
      </x:c>
      <x:c r="F14" s="127" t="n">
        <x:f>IF(C14&gt;0,'START HERE'!$B$17,0)</x:f>
        <x:v>0</x:v>
      </x:c>
      <x:c r="G14" s="127" t="n">
        <x:f>D14+E14+F14</x:f>
        <x:v>0</x:v>
      </x:c>
      <x:c r="H14" s="127" t="n">
        <x:f>IF(G14=0,0,CEILING(G14,'START HERE'!$B$18))</x:f>
        <x:v>0</x:v>
      </x:c>
      <x:c r="I14" s="106" t="n">
        <x:f>IF(C14&gt;0,'START HERE'!$B$19,0)</x:f>
        <x:v>0</x:v>
      </x:c>
      <x:c r="J14" s="106" t="n">
        <x:f>IF(C14&gt;0,'START HERE'!$B$20,0)</x:f>
        <x:v>0</x:v>
      </x:c>
      <x:c r="K14" s="106" t="n">
        <x:f>IF(C14&gt;0,'START HERE'!$B$21,0)</x:f>
        <x:v>0</x:v>
      </x:c>
      <x:c r="L14" s="104" t="str">
        <x:f>IF(C14=0,"",C14&amp;" curtain kit(s): headbox sections, side guides, barrel/curtain/bottom rail assemblies and panel/component boxes")</x:f>
      </x:c>
      <x:c r="M14" s="104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  <x:c r="AA14" s="101"/>
      <x:c r="AB14" s="101"/>
      <x:c r="AC14" s="101"/>
      <x:c r="AD14" s="101"/>
      <x:c r="AE14" s="101"/>
    </x:row>
    <x:row r="15">
      <x:c r="A15" s="101"/>
      <x:c r="B15" s="101"/>
      <x:c r="C15" s="101"/>
      <x:c r="D15" s="101"/>
      <x:c r="E15" s="101"/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  <x:c r="AA15" s="101"/>
      <x:c r="AB15" s="101"/>
      <x:c r="AC15" s="101"/>
      <x:c r="AD15" s="101"/>
      <x:c r="AE15" s="101"/>
    </x:row>
    <x:row r="16">
      <x:c r="A16" s="101"/>
      <x:c r="B16" s="101"/>
      <x:c r="C16" s="101"/>
      <x:c r="D16" s="101"/>
      <x:c r="E16" s="101"/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  <x:c r="AA16" s="101"/>
      <x:c r="AB16" s="101"/>
      <x:c r="AC16" s="101"/>
      <x:c r="AD16" s="101"/>
      <x:c r="AE16" s="101"/>
    </x:row>
    <x:row r="17">
      <x:c r="A17" s="101"/>
      <x:c r="B17" s="101"/>
      <x:c r="C17" s="101"/>
      <x:c r="D17" s="101"/>
      <x:c r="E17" s="101"/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  <x:c r="AA17" s="101"/>
      <x:c r="AB17" s="101"/>
      <x:c r="AC17" s="101"/>
      <x:c r="AD17" s="101"/>
      <x:c r="AE17" s="101"/>
    </x:row>
    <x:row r="18">
      <x:c r="A18" s="101"/>
      <x:c r="B18" s="101"/>
      <x:c r="C18" s="101"/>
      <x:c r="D18" s="101"/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  <x:c r="AA18" s="101"/>
      <x:c r="AB18" s="101"/>
      <x:c r="AC18" s="101"/>
      <x:c r="AD18" s="101"/>
      <x:c r="AE18" s="101"/>
    </x:row>
    <x:row r="19">
      <x:c r="A19" s="101"/>
      <x:c r="B19" s="101"/>
      <x:c r="C19" s="101"/>
      <x:c r="D19" s="101"/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  <x:c r="AA19" s="101"/>
      <x:c r="AB19" s="101"/>
      <x:c r="AC19" s="101"/>
      <x:c r="AD19" s="101"/>
      <x:c r="AE19" s="101"/>
    </x:row>
    <x:row r="20">
      <x:c r="A20" s="101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  <x:c r="AA20" s="101"/>
      <x:c r="AB20" s="101"/>
      <x:c r="AC20" s="101"/>
      <x:c r="AD20" s="101"/>
      <x:c r="AE20" s="101"/>
    </x:row>
    <x:row r="21">
      <x:c r="A21" s="101"/>
      <x:c r="B21" s="101"/>
      <x:c r="C21" s="101"/>
      <x:c r="D21" s="101"/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  <x:c r="AA21" s="101"/>
      <x:c r="AB21" s="101"/>
      <x:c r="AC21" s="101"/>
      <x:c r="AD21" s="101"/>
      <x:c r="AE21" s="101"/>
    </x:row>
    <x:row r="22">
      <x:c r="A22" s="101"/>
      <x:c r="B22" s="101"/>
      <x:c r="C22" s="101"/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  <x:c r="AA22" s="101"/>
      <x:c r="AB22" s="101"/>
      <x:c r="AC22" s="101"/>
      <x:c r="AD22" s="101"/>
      <x:c r="AE22" s="101"/>
    </x:row>
    <x:row r="23">
      <x:c r="A23" s="101"/>
      <x:c r="B23" s="101"/>
      <x:c r="C23" s="101"/>
      <x:c r="D23" s="101"/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  <x:c r="AA23" s="101"/>
      <x:c r="AB23" s="101"/>
      <x:c r="AC23" s="101"/>
      <x:c r="AD23" s="101"/>
      <x:c r="AE23" s="101"/>
    </x:row>
    <x:row r="24">
      <x:c r="A24" s="101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  <x:c r="AA24" s="101"/>
      <x:c r="AB24" s="101"/>
      <x:c r="AC24" s="101"/>
      <x:c r="AD24" s="101"/>
      <x:c r="AE24" s="101"/>
    </x:row>
    <x:row r="25">
      <x:c r="A25" s="101"/>
      <x:c r="B25" s="101"/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  <x:c r="AA25" s="101"/>
      <x:c r="AB25" s="101"/>
      <x:c r="AC25" s="101"/>
      <x:c r="AD25" s="101"/>
      <x:c r="AE25" s="101"/>
    </x:row>
    <x:row r="26">
      <x:c r="A26" s="101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  <x:c r="AA26" s="101"/>
      <x:c r="AB26" s="101"/>
      <x:c r="AC26" s="101"/>
      <x:c r="AD26" s="101"/>
      <x:c r="AE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  <x:c r="AA27" s="101"/>
      <x:c r="AB27" s="101"/>
      <x:c r="AC27" s="101"/>
      <x:c r="AD27" s="101"/>
      <x:c r="AE27" s="101"/>
    </x:row>
    <x:row r="28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  <x:c r="AA28" s="101"/>
      <x:c r="AB28" s="101"/>
      <x:c r="AC28" s="101"/>
      <x:c r="AD28" s="101"/>
      <x:c r="AE28" s="101"/>
    </x:row>
    <x:row r="29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  <x:c r="AA29" s="101"/>
      <x:c r="AB29" s="101"/>
      <x:c r="AC29" s="101"/>
      <x:c r="AD29" s="101"/>
      <x:c r="AE29" s="101"/>
    </x:row>
    <x:row r="30">
      <x:c r="A30" s="101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  <x:c r="AA30" s="101"/>
      <x:c r="AB30" s="101"/>
      <x:c r="AC30" s="101"/>
      <x:c r="AD30" s="101"/>
      <x:c r="AE30" s="101"/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  <x:c r="AA31" s="101"/>
      <x:c r="AB31" s="101"/>
      <x:c r="AC31" s="101"/>
      <x:c r="AD31" s="101"/>
      <x:c r="AE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  <x:c r="AA32" s="101"/>
      <x:c r="AB32" s="101"/>
      <x:c r="AC32" s="101"/>
      <x:c r="AD32" s="101"/>
      <x:c r="AE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  <x:c r="AA33" s="101"/>
      <x:c r="AB33" s="101"/>
      <x:c r="AC33" s="101"/>
      <x:c r="AD33" s="101"/>
      <x:c r="AE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  <x:c r="AA34" s="101"/>
      <x:c r="AB34" s="101"/>
      <x:c r="AC34" s="101"/>
      <x:c r="AD34" s="101"/>
      <x:c r="AE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  <x:c r="AA35" s="101"/>
      <x:c r="AB35" s="101"/>
      <x:c r="AC35" s="101"/>
      <x:c r="AD35" s="101"/>
      <x:c r="AE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  <x:c r="AA36" s="101"/>
      <x:c r="AB36" s="101"/>
      <x:c r="AC36" s="101"/>
      <x:c r="AD36" s="101"/>
      <x:c r="AE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  <x:c r="AA37" s="101"/>
      <x:c r="AB37" s="101"/>
      <x:c r="AC37" s="101"/>
      <x:c r="AD37" s="101"/>
      <x:c r="AE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  <x:c r="AA38" s="101"/>
      <x:c r="AB38" s="101"/>
      <x:c r="AC38" s="101"/>
      <x:c r="AD38" s="101"/>
      <x:c r="AE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  <x:c r="AA39" s="101"/>
      <x:c r="AB39" s="101"/>
      <x:c r="AC39" s="101"/>
      <x:c r="AD39" s="101"/>
      <x:c r="AE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  <x:c r="AA40" s="101"/>
      <x:c r="AB40" s="101"/>
      <x:c r="AC40" s="101"/>
      <x:c r="AD40" s="101"/>
      <x:c r="AE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  <x:c r="AA41" s="101"/>
      <x:c r="AB41" s="101"/>
      <x:c r="AC41" s="101"/>
      <x:c r="AD41" s="101"/>
      <x:c r="AE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  <x:c r="AA42" s="101"/>
      <x:c r="AB42" s="101"/>
      <x:c r="AC42" s="101"/>
      <x:c r="AD42" s="101"/>
      <x:c r="AE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  <x:c r="AA43" s="101"/>
      <x:c r="AB43" s="101"/>
      <x:c r="AC43" s="101"/>
      <x:c r="AD43" s="101"/>
      <x:c r="AE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  <x:c r="AA44" s="101"/>
      <x:c r="AB44" s="101"/>
      <x:c r="AC44" s="101"/>
      <x:c r="AD44" s="101"/>
      <x:c r="AE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  <x:c r="AA45" s="101"/>
      <x:c r="AB45" s="101"/>
      <x:c r="AC45" s="101"/>
      <x:c r="AD45" s="101"/>
      <x:c r="AE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  <x:c r="AA46" s="101"/>
      <x:c r="AB46" s="101"/>
      <x:c r="AC46" s="101"/>
      <x:c r="AD46" s="101"/>
      <x:c r="AE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  <x:c r="AA47" s="101"/>
      <x:c r="AB47" s="101"/>
      <x:c r="AC47" s="101"/>
      <x:c r="AD47" s="101"/>
      <x:c r="AE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  <x:c r="AA48" s="101"/>
      <x:c r="AB48" s="101"/>
      <x:c r="AC48" s="101"/>
      <x:c r="AD48" s="101"/>
      <x:c r="AE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  <x:c r="AA49" s="101"/>
      <x:c r="AB49" s="101"/>
      <x:c r="AC49" s="101"/>
      <x:c r="AD49" s="101"/>
      <x:c r="AE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  <x:c r="AA50" s="101"/>
      <x:c r="AB50" s="101"/>
      <x:c r="AC50" s="101"/>
      <x:c r="AD50" s="101"/>
      <x:c r="AE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  <x:c r="AA51" s="101"/>
      <x:c r="AB51" s="101"/>
      <x:c r="AC51" s="101"/>
      <x:c r="AD51" s="101"/>
      <x:c r="AE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  <x:c r="AA52" s="101"/>
      <x:c r="AB52" s="101"/>
      <x:c r="AC52" s="101"/>
      <x:c r="AD52" s="101"/>
      <x:c r="AE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  <x:c r="AA53" s="101"/>
      <x:c r="AB53" s="101"/>
      <x:c r="AC53" s="101"/>
      <x:c r="AD53" s="101"/>
      <x:c r="AE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  <x:c r="AA54" s="101"/>
      <x:c r="AB54" s="101"/>
      <x:c r="AC54" s="101"/>
      <x:c r="AD54" s="101"/>
      <x:c r="AE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  <x:c r="AA55" s="101"/>
      <x:c r="AB55" s="101"/>
      <x:c r="AC55" s="101"/>
      <x:c r="AD55" s="101"/>
      <x:c r="AE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  <x:c r="AA56" s="101"/>
      <x:c r="AB56" s="101"/>
      <x:c r="AC56" s="101"/>
      <x:c r="AD56" s="101"/>
      <x:c r="AE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  <x:c r="AA57" s="101"/>
      <x:c r="AB57" s="101"/>
      <x:c r="AC57" s="101"/>
      <x:c r="AD57" s="101"/>
      <x:c r="AE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  <x:c r="AA58" s="101"/>
      <x:c r="AB58" s="101"/>
      <x:c r="AC58" s="101"/>
      <x:c r="AD58" s="101"/>
      <x:c r="AE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  <x:c r="AA59" s="101"/>
      <x:c r="AB59" s="101"/>
      <x:c r="AC59" s="101"/>
      <x:c r="AD59" s="101"/>
      <x:c r="AE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  <x:c r="AA60" s="101"/>
      <x:c r="AB60" s="101"/>
      <x:c r="AC60" s="101"/>
      <x:c r="AD60" s="101"/>
      <x:c r="AE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  <x:c r="AA61" s="101"/>
      <x:c r="AB61" s="101"/>
      <x:c r="AC61" s="101"/>
      <x:c r="AD61" s="101"/>
      <x:c r="AE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  <x:c r="AA62" s="101"/>
      <x:c r="AB62" s="101"/>
      <x:c r="AC62" s="101"/>
      <x:c r="AD62" s="101"/>
      <x:c r="AE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  <x:c r="AA63" s="101"/>
      <x:c r="AB63" s="101"/>
      <x:c r="AC63" s="101"/>
      <x:c r="AD63" s="101"/>
      <x:c r="AE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  <x:c r="AA64" s="101"/>
      <x:c r="AB64" s="101"/>
      <x:c r="AC64" s="101"/>
      <x:c r="AD64" s="101"/>
      <x:c r="AE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  <x:c r="AA65" s="101"/>
      <x:c r="AB65" s="101"/>
      <x:c r="AC65" s="101"/>
      <x:c r="AD65" s="101"/>
      <x:c r="AE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  <x:c r="AA66" s="101"/>
      <x:c r="AB66" s="101"/>
      <x:c r="AC66" s="101"/>
      <x:c r="AD66" s="101"/>
      <x:c r="AE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  <x:c r="AA67" s="101"/>
      <x:c r="AB67" s="101"/>
      <x:c r="AC67" s="101"/>
      <x:c r="AD67" s="101"/>
      <x:c r="AE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  <x:c r="AA68" s="101"/>
      <x:c r="AB68" s="101"/>
      <x:c r="AC68" s="101"/>
      <x:c r="AD68" s="101"/>
      <x:c r="AE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  <x:c r="AA69" s="101"/>
      <x:c r="AB69" s="101"/>
      <x:c r="AC69" s="101"/>
      <x:c r="AD69" s="101"/>
      <x:c r="AE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  <x:c r="AA70" s="101"/>
      <x:c r="AB70" s="101"/>
      <x:c r="AC70" s="101"/>
      <x:c r="AD70" s="101"/>
      <x:c r="AE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  <x:c r="AA71" s="101"/>
      <x:c r="AB71" s="101"/>
      <x:c r="AC71" s="101"/>
      <x:c r="AD71" s="101"/>
      <x:c r="AE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  <x:c r="AA72" s="101"/>
      <x:c r="AB72" s="101"/>
      <x:c r="AC72" s="101"/>
      <x:c r="AD72" s="101"/>
      <x:c r="AE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  <x:c r="AA73" s="101"/>
      <x:c r="AB73" s="101"/>
      <x:c r="AC73" s="101"/>
      <x:c r="AD73" s="101"/>
      <x:c r="AE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  <x:c r="AA74" s="101"/>
      <x:c r="AB74" s="101"/>
      <x:c r="AC74" s="101"/>
      <x:c r="AD74" s="101"/>
      <x:c r="AE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  <x:c r="AA75" s="101"/>
      <x:c r="AB75" s="101"/>
      <x:c r="AC75" s="101"/>
      <x:c r="AD75" s="101"/>
      <x:c r="AE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  <x:c r="AA76" s="101"/>
      <x:c r="AB76" s="101"/>
      <x:c r="AC76" s="101"/>
      <x:c r="AD76" s="101"/>
      <x:c r="AE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  <x:c r="AA77" s="101"/>
      <x:c r="AB77" s="101"/>
      <x:c r="AC77" s="101"/>
      <x:c r="AD77" s="101"/>
      <x:c r="AE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  <x:c r="AA78" s="101"/>
      <x:c r="AB78" s="101"/>
      <x:c r="AC78" s="101"/>
      <x:c r="AD78" s="101"/>
      <x:c r="AE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  <x:c r="AA79" s="101"/>
      <x:c r="AB79" s="101"/>
      <x:c r="AC79" s="101"/>
      <x:c r="AD79" s="101"/>
      <x:c r="AE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  <x:c r="AA80" s="101"/>
      <x:c r="AB80" s="101"/>
      <x:c r="AC80" s="101"/>
      <x:c r="AD80" s="101"/>
      <x:c r="AE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  <x:c r="AA81" s="101"/>
      <x:c r="AB81" s="101"/>
      <x:c r="AC81" s="101"/>
      <x:c r="AD81" s="101"/>
      <x:c r="AE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  <x:c r="AA82" s="101"/>
      <x:c r="AB82" s="101"/>
      <x:c r="AC82" s="101"/>
      <x:c r="AD82" s="101"/>
      <x:c r="AE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  <x:c r="AA83" s="101"/>
      <x:c r="AB83" s="101"/>
      <x:c r="AC83" s="101"/>
      <x:c r="AD83" s="101"/>
      <x:c r="AE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  <x:c r="AA84" s="101"/>
      <x:c r="AB84" s="101"/>
      <x:c r="AC84" s="101"/>
      <x:c r="AD84" s="101"/>
      <x:c r="AE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  <x:c r="AA85" s="101"/>
      <x:c r="AB85" s="101"/>
      <x:c r="AC85" s="101"/>
      <x:c r="AD85" s="101"/>
      <x:c r="AE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  <x:c r="AA86" s="101"/>
      <x:c r="AB86" s="101"/>
      <x:c r="AC86" s="101"/>
      <x:c r="AD86" s="101"/>
      <x:c r="AE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  <x:c r="AA87" s="101"/>
      <x:c r="AB87" s="101"/>
      <x:c r="AC87" s="101"/>
      <x:c r="AD87" s="101"/>
      <x:c r="AE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  <x:c r="AA88" s="101"/>
      <x:c r="AB88" s="101"/>
      <x:c r="AC88" s="101"/>
      <x:c r="AD88" s="101"/>
      <x:c r="AE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  <x:c r="AA89" s="101"/>
      <x:c r="AB89" s="101"/>
      <x:c r="AC89" s="101"/>
      <x:c r="AD89" s="101"/>
      <x:c r="AE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  <x:c r="AA90" s="101"/>
      <x:c r="AB90" s="101"/>
      <x:c r="AC90" s="101"/>
      <x:c r="AD90" s="101"/>
      <x:c r="AE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  <x:c r="AA91" s="101"/>
      <x:c r="AB91" s="101"/>
      <x:c r="AC91" s="101"/>
      <x:c r="AD91" s="101"/>
      <x:c r="AE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  <x:c r="AA92" s="101"/>
      <x:c r="AB92" s="101"/>
      <x:c r="AC92" s="101"/>
      <x:c r="AD92" s="101"/>
      <x:c r="AE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  <x:c r="AA93" s="101"/>
      <x:c r="AB93" s="101"/>
      <x:c r="AC93" s="101"/>
      <x:c r="AD93" s="101"/>
      <x:c r="AE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  <x:c r="AA94" s="101"/>
      <x:c r="AB94" s="101"/>
      <x:c r="AC94" s="101"/>
      <x:c r="AD94" s="101"/>
      <x:c r="AE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  <x:c r="AA95" s="101"/>
      <x:c r="AB95" s="101"/>
      <x:c r="AC95" s="101"/>
      <x:c r="AD95" s="101"/>
      <x:c r="AE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  <x:c r="AA96" s="101"/>
      <x:c r="AB96" s="101"/>
      <x:c r="AC96" s="101"/>
      <x:c r="AD96" s="101"/>
      <x:c r="AE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  <x:c r="AA97" s="101"/>
      <x:c r="AB97" s="101"/>
      <x:c r="AC97" s="101"/>
      <x:c r="AD97" s="101"/>
      <x:c r="AE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  <x:c r="AA98" s="101"/>
      <x:c r="AB98" s="101"/>
      <x:c r="AC98" s="101"/>
      <x:c r="AD98" s="101"/>
      <x:c r="AE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  <x:c r="AA99" s="101"/>
      <x:c r="AB99" s="101"/>
      <x:c r="AC99" s="101"/>
      <x:c r="AD99" s="101"/>
      <x:c r="AE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  <x:c r="AA100" s="101"/>
      <x:c r="AB100" s="101"/>
      <x:c r="AC100" s="101"/>
      <x:c r="AD100" s="101"/>
      <x:c r="AE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  <x:c r="AA101" s="101"/>
      <x:c r="AB101" s="101"/>
      <x:c r="AC101" s="101"/>
      <x:c r="AD101" s="101"/>
      <x:c r="AE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  <x:c r="AA102" s="101"/>
      <x:c r="AB102" s="101"/>
      <x:c r="AC102" s="101"/>
      <x:c r="AD102" s="101"/>
      <x:c r="AE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  <x:c r="AA103" s="101"/>
      <x:c r="AB103" s="101"/>
      <x:c r="AC103" s="101"/>
      <x:c r="AD103" s="101"/>
      <x:c r="AE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  <x:c r="AA104" s="101"/>
      <x:c r="AB104" s="101"/>
      <x:c r="AC104" s="101"/>
      <x:c r="AD104" s="101"/>
      <x:c r="AE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  <x:c r="AA105" s="101"/>
      <x:c r="AB105" s="101"/>
      <x:c r="AC105" s="101"/>
      <x:c r="AD105" s="101"/>
      <x:c r="AE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  <x:c r="AA106" s="101"/>
      <x:c r="AB106" s="101"/>
      <x:c r="AC106" s="101"/>
      <x:c r="AD106" s="101"/>
      <x:c r="AE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  <x:c r="AA107" s="101"/>
      <x:c r="AB107" s="101"/>
      <x:c r="AC107" s="101"/>
      <x:c r="AD107" s="101"/>
      <x:c r="AE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  <x:c r="AA108" s="101"/>
      <x:c r="AB108" s="101"/>
      <x:c r="AC108" s="101"/>
      <x:c r="AD108" s="101"/>
      <x:c r="AE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  <x:c r="AA109" s="101"/>
      <x:c r="AB109" s="101"/>
      <x:c r="AC109" s="101"/>
      <x:c r="AD109" s="101"/>
      <x:c r="AE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  <x:c r="AA110" s="101"/>
      <x:c r="AB110" s="101"/>
      <x:c r="AC110" s="101"/>
      <x:c r="AD110" s="101"/>
      <x:c r="AE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  <x:c r="AA111" s="101"/>
      <x:c r="AB111" s="101"/>
      <x:c r="AC111" s="101"/>
      <x:c r="AD111" s="101"/>
      <x:c r="AE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  <x:c r="AA112" s="101"/>
      <x:c r="AB112" s="101"/>
      <x:c r="AC112" s="101"/>
      <x:c r="AD112" s="101"/>
      <x:c r="AE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  <x:c r="AA113" s="101"/>
      <x:c r="AB113" s="101"/>
      <x:c r="AC113" s="101"/>
      <x:c r="AD113" s="101"/>
      <x:c r="AE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  <x:c r="AA114" s="101"/>
      <x:c r="AB114" s="101"/>
      <x:c r="AC114" s="101"/>
      <x:c r="AD114" s="101"/>
      <x:c r="AE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  <x:c r="AA115" s="101"/>
      <x:c r="AB115" s="101"/>
      <x:c r="AC115" s="101"/>
      <x:c r="AD115" s="101"/>
      <x:c r="AE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  <x:c r="AA116" s="101"/>
      <x:c r="AB116" s="101"/>
      <x:c r="AC116" s="101"/>
      <x:c r="AD116" s="101"/>
      <x:c r="AE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  <x:c r="AA117" s="101"/>
      <x:c r="AB117" s="101"/>
      <x:c r="AC117" s="101"/>
      <x:c r="AD117" s="101"/>
      <x:c r="AE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  <x:c r="AA118" s="101"/>
      <x:c r="AB118" s="101"/>
      <x:c r="AC118" s="101"/>
      <x:c r="AD118" s="101"/>
      <x:c r="AE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  <x:c r="AA119" s="101"/>
      <x:c r="AB119" s="101"/>
      <x:c r="AC119" s="101"/>
      <x:c r="AD119" s="101"/>
      <x:c r="AE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  <x:c r="AA120" s="101"/>
      <x:c r="AB120" s="101"/>
      <x:c r="AC120" s="101"/>
      <x:c r="AD120" s="101"/>
      <x:c r="AE120" s="101"/>
    </x:row>
    <x:row r="121">
      <x:c r="A121" s="101"/>
      <x:c r="B121" s="101"/>
      <x:c r="C121" s="101"/>
      <x:c r="D121" s="101"/>
      <x:c r="E121" s="101"/>
      <x:c r="F121" s="101"/>
      <x:c r="G121" s="101"/>
      <x:c r="H121" s="101"/>
      <x:c r="I121" s="101"/>
      <x:c r="J121" s="101"/>
      <x:c r="K121" s="101"/>
      <x:c r="L121" s="101"/>
      <x:c r="M121" s="101"/>
      <x:c r="N121" s="101"/>
      <x:c r="O121" s="101"/>
      <x:c r="P121" s="101"/>
      <x:c r="Q121" s="101"/>
      <x:c r="R121" s="101"/>
      <x:c r="S121" s="101"/>
      <x:c r="T121" s="101"/>
      <x:c r="U121" s="101"/>
      <x:c r="V121" s="101"/>
      <x:c r="W121" s="101"/>
      <x:c r="X121" s="101"/>
      <x:c r="Y121" s="101"/>
      <x:c r="Z121" s="101"/>
      <x:c r="AA121" s="101"/>
      <x:c r="AB121" s="101"/>
      <x:c r="AC121" s="101"/>
      <x:c r="AD121" s="101"/>
      <x:c r="AE121" s="101"/>
    </x:row>
    <x:row r="122">
      <x:c r="A122" s="101"/>
      <x:c r="B122" s="101"/>
      <x:c r="C122" s="101"/>
      <x:c r="D122" s="101"/>
      <x:c r="E122" s="101"/>
      <x:c r="F122" s="101"/>
      <x:c r="G122" s="101"/>
      <x:c r="H122" s="101"/>
      <x:c r="I122" s="101"/>
      <x:c r="J122" s="101"/>
      <x:c r="K122" s="101"/>
      <x:c r="L122" s="101"/>
      <x:c r="M122" s="101"/>
      <x:c r="N122" s="101"/>
      <x:c r="O122" s="101"/>
      <x:c r="P122" s="101"/>
      <x:c r="Q122" s="101"/>
      <x:c r="R122" s="101"/>
      <x:c r="S122" s="101"/>
      <x:c r="T122" s="101"/>
      <x:c r="U122" s="101"/>
      <x:c r="V122" s="101"/>
      <x:c r="W122" s="101"/>
      <x:c r="X122" s="101"/>
      <x:c r="Y122" s="101"/>
      <x:c r="Z122" s="101"/>
      <x:c r="AA122" s="101"/>
      <x:c r="AB122" s="101"/>
      <x:c r="AC122" s="101"/>
      <x:c r="AD122" s="101"/>
      <x:c r="AE122" s="101"/>
    </x:row>
    <x:row r="123">
      <x:c r="A123" s="101"/>
      <x:c r="B123" s="101"/>
      <x:c r="C123" s="101"/>
      <x:c r="D123" s="101"/>
      <x:c r="E123" s="101"/>
      <x:c r="F123" s="101"/>
      <x:c r="G123" s="101"/>
      <x:c r="H123" s="101"/>
      <x:c r="I123" s="101"/>
      <x:c r="J123" s="101"/>
      <x:c r="K123" s="101"/>
      <x:c r="L123" s="101"/>
      <x:c r="M123" s="101"/>
      <x:c r="N123" s="101"/>
      <x:c r="O123" s="101"/>
      <x:c r="P123" s="101"/>
      <x:c r="Q123" s="101"/>
      <x:c r="R123" s="101"/>
      <x:c r="S123" s="101"/>
      <x:c r="T123" s="101"/>
      <x:c r="U123" s="101"/>
      <x:c r="V123" s="101"/>
      <x:c r="W123" s="101"/>
      <x:c r="X123" s="101"/>
      <x:c r="Y123" s="101"/>
      <x:c r="Z123" s="101"/>
      <x:c r="AA123" s="101"/>
      <x:c r="AB123" s="101"/>
      <x:c r="AC123" s="101"/>
      <x:c r="AD123" s="101"/>
      <x:c r="AE123" s="101"/>
    </x:row>
    <x:row r="124">
      <x:c r="A124" s="101"/>
      <x:c r="B124" s="101"/>
      <x:c r="C124" s="101"/>
      <x:c r="D124" s="101"/>
      <x:c r="E124" s="101"/>
      <x:c r="F124" s="101"/>
      <x:c r="G124" s="101"/>
      <x:c r="H124" s="101"/>
      <x:c r="I124" s="101"/>
      <x:c r="J124" s="101"/>
      <x:c r="K124" s="101"/>
      <x:c r="L124" s="101"/>
      <x:c r="M124" s="101"/>
      <x:c r="N124" s="101"/>
      <x:c r="O124" s="101"/>
      <x:c r="P124" s="101"/>
      <x:c r="Q124" s="101"/>
      <x:c r="R124" s="101"/>
      <x:c r="S124" s="101"/>
      <x:c r="T124" s="101"/>
      <x:c r="U124" s="101"/>
      <x:c r="V124" s="101"/>
      <x:c r="W124" s="101"/>
      <x:c r="X124" s="101"/>
      <x:c r="Y124" s="101"/>
      <x:c r="Z124" s="101"/>
      <x:c r="AA124" s="101"/>
      <x:c r="AB124" s="101"/>
      <x:c r="AC124" s="101"/>
      <x:c r="AD124" s="101"/>
      <x:c r="AE124" s="101"/>
    </x:row>
    <x:row r="125">
      <x:c r="A125" s="101"/>
      <x:c r="B125" s="101"/>
      <x:c r="C125" s="101"/>
      <x:c r="D125" s="101"/>
      <x:c r="E125" s="101"/>
      <x:c r="F125" s="101"/>
      <x:c r="G125" s="101"/>
      <x:c r="H125" s="101"/>
      <x:c r="I125" s="101"/>
      <x:c r="J125" s="101"/>
      <x:c r="K125" s="101"/>
      <x:c r="L125" s="101"/>
      <x:c r="M125" s="101"/>
      <x:c r="N125" s="101"/>
      <x:c r="O125" s="101"/>
      <x:c r="P125" s="101"/>
      <x:c r="Q125" s="101"/>
      <x:c r="R125" s="101"/>
      <x:c r="S125" s="101"/>
      <x:c r="T125" s="101"/>
      <x:c r="U125" s="101"/>
      <x:c r="V125" s="101"/>
      <x:c r="W125" s="101"/>
      <x:c r="X125" s="101"/>
      <x:c r="Y125" s="101"/>
      <x:c r="Z125" s="101"/>
      <x:c r="AA125" s="101"/>
      <x:c r="AB125" s="101"/>
      <x:c r="AC125" s="101"/>
      <x:c r="AD125" s="101"/>
      <x:c r="AE125" s="101"/>
    </x:row>
    <x:row r="126">
      <x:c r="A126" s="101"/>
      <x:c r="B126" s="101"/>
      <x:c r="C126" s="101"/>
      <x:c r="D126" s="101"/>
      <x:c r="E126" s="101"/>
      <x:c r="F126" s="101"/>
      <x:c r="G126" s="101"/>
      <x:c r="H126" s="101"/>
      <x:c r="I126" s="101"/>
      <x:c r="J126" s="101"/>
      <x:c r="K126" s="101"/>
      <x:c r="L126" s="101"/>
      <x:c r="M126" s="101"/>
      <x:c r="N126" s="101"/>
      <x:c r="O126" s="101"/>
      <x:c r="P126" s="101"/>
      <x:c r="Q126" s="101"/>
      <x:c r="R126" s="101"/>
      <x:c r="S126" s="101"/>
      <x:c r="T126" s="101"/>
      <x:c r="U126" s="101"/>
      <x:c r="V126" s="101"/>
      <x:c r="W126" s="101"/>
      <x:c r="X126" s="101"/>
      <x:c r="Y126" s="101"/>
      <x:c r="Z126" s="101"/>
      <x:c r="AA126" s="101"/>
      <x:c r="AB126" s="101"/>
      <x:c r="AC126" s="101"/>
      <x:c r="AD126" s="101"/>
      <x:c r="AE126" s="101"/>
    </x:row>
    <x:row r="127">
      <x:c r="A127" s="101"/>
      <x:c r="B127" s="101"/>
      <x:c r="C127" s="101"/>
      <x:c r="D127" s="101"/>
      <x:c r="E127" s="101"/>
      <x:c r="F127" s="101"/>
      <x:c r="G127" s="101"/>
      <x:c r="H127" s="101"/>
      <x:c r="I127" s="101"/>
      <x:c r="J127" s="101"/>
      <x:c r="K127" s="101"/>
      <x:c r="L127" s="101"/>
      <x:c r="M127" s="101"/>
      <x:c r="N127" s="101"/>
      <x:c r="O127" s="101"/>
      <x:c r="P127" s="101"/>
      <x:c r="Q127" s="101"/>
      <x:c r="R127" s="101"/>
      <x:c r="S127" s="101"/>
      <x:c r="T127" s="101"/>
      <x:c r="U127" s="101"/>
      <x:c r="V127" s="101"/>
      <x:c r="W127" s="101"/>
      <x:c r="X127" s="101"/>
      <x:c r="Y127" s="101"/>
      <x:c r="Z127" s="101"/>
      <x:c r="AA127" s="101"/>
      <x:c r="AB127" s="101"/>
      <x:c r="AC127" s="101"/>
      <x:c r="AD127" s="101"/>
      <x:c r="AE127" s="101"/>
    </x:row>
    <x:row r="128">
      <x:c r="A128" s="101"/>
      <x:c r="B128" s="101"/>
      <x:c r="C128" s="101"/>
      <x:c r="D128" s="101"/>
      <x:c r="E128" s="101"/>
      <x:c r="F128" s="101"/>
      <x:c r="G128" s="101"/>
      <x:c r="H128" s="101"/>
      <x:c r="I128" s="101"/>
      <x:c r="J128" s="101"/>
      <x:c r="K128" s="101"/>
      <x:c r="L128" s="101"/>
      <x:c r="M128" s="101"/>
      <x:c r="N128" s="101"/>
      <x:c r="O128" s="101"/>
      <x:c r="P128" s="101"/>
      <x:c r="Q128" s="101"/>
      <x:c r="R128" s="101"/>
      <x:c r="S128" s="101"/>
      <x:c r="T128" s="101"/>
      <x:c r="U128" s="101"/>
      <x:c r="V128" s="101"/>
      <x:c r="W128" s="101"/>
      <x:c r="X128" s="101"/>
      <x:c r="Y128" s="101"/>
      <x:c r="Z128" s="101"/>
      <x:c r="AA128" s="101"/>
      <x:c r="AB128" s="101"/>
      <x:c r="AC128" s="101"/>
      <x:c r="AD128" s="101"/>
      <x:c r="AE128" s="101"/>
    </x:row>
    <x:row r="129">
      <x:c r="A129" s="101"/>
      <x:c r="B129" s="101"/>
      <x:c r="C129" s="101"/>
      <x:c r="D129" s="101"/>
      <x:c r="E129" s="101"/>
      <x:c r="F129" s="101"/>
      <x:c r="G129" s="101"/>
      <x:c r="H129" s="101"/>
      <x:c r="I129" s="101"/>
      <x:c r="J129" s="101"/>
      <x:c r="K129" s="101"/>
      <x:c r="L129" s="101"/>
      <x:c r="M129" s="101"/>
      <x:c r="N129" s="101"/>
      <x:c r="O129" s="101"/>
      <x:c r="P129" s="101"/>
      <x:c r="Q129" s="101"/>
      <x:c r="R129" s="101"/>
      <x:c r="S129" s="101"/>
      <x:c r="T129" s="101"/>
      <x:c r="U129" s="101"/>
      <x:c r="V129" s="101"/>
      <x:c r="W129" s="101"/>
      <x:c r="X129" s="101"/>
      <x:c r="Y129" s="101"/>
      <x:c r="Z129" s="101"/>
      <x:c r="AA129" s="101"/>
      <x:c r="AB129" s="101"/>
      <x:c r="AC129" s="101"/>
      <x:c r="AD129" s="101"/>
      <x:c r="AE129" s="101"/>
    </x:row>
    <x:row r="130">
      <x:c r="A130" s="101"/>
      <x:c r="B130" s="101"/>
      <x:c r="C130" s="101"/>
      <x:c r="D130" s="101"/>
      <x:c r="E130" s="101"/>
      <x:c r="F130" s="101"/>
      <x:c r="G130" s="101"/>
      <x:c r="H130" s="101"/>
      <x:c r="I130" s="101"/>
      <x:c r="J130" s="101"/>
      <x:c r="K130" s="101"/>
      <x:c r="L130" s="101"/>
      <x:c r="M130" s="101"/>
      <x:c r="N130" s="101"/>
      <x:c r="O130" s="101"/>
      <x:c r="P130" s="101"/>
      <x:c r="Q130" s="101"/>
      <x:c r="R130" s="101"/>
      <x:c r="S130" s="101"/>
      <x:c r="T130" s="101"/>
      <x:c r="U130" s="101"/>
      <x:c r="V130" s="101"/>
      <x:c r="W130" s="101"/>
      <x:c r="X130" s="101"/>
      <x:c r="Y130" s="101"/>
      <x:c r="Z130" s="101"/>
      <x:c r="AA130" s="101"/>
      <x:c r="AB130" s="101"/>
      <x:c r="AC130" s="101"/>
      <x:c r="AD130" s="101"/>
      <x:c r="AE130" s="101"/>
    </x:row>
    <x:row r="131">
      <x:c r="A131" s="101"/>
      <x:c r="B131" s="101"/>
      <x:c r="C131" s="101"/>
      <x:c r="D131" s="101"/>
      <x:c r="E131" s="101"/>
      <x:c r="F131" s="101"/>
      <x:c r="G131" s="101"/>
      <x:c r="H131" s="101"/>
      <x:c r="I131" s="101"/>
      <x:c r="J131" s="101"/>
      <x:c r="K131" s="101"/>
      <x:c r="L131" s="101"/>
      <x:c r="M131" s="101"/>
      <x:c r="N131" s="101"/>
      <x:c r="O131" s="101"/>
      <x:c r="P131" s="101"/>
      <x:c r="Q131" s="101"/>
      <x:c r="R131" s="101"/>
      <x:c r="S131" s="101"/>
      <x:c r="T131" s="101"/>
      <x:c r="U131" s="101"/>
      <x:c r="V131" s="101"/>
      <x:c r="W131" s="101"/>
      <x:c r="X131" s="101"/>
      <x:c r="Y131" s="101"/>
      <x:c r="Z131" s="101"/>
      <x:c r="AA131" s="101"/>
      <x:c r="AB131" s="101"/>
      <x:c r="AC131" s="101"/>
      <x:c r="AD131" s="101"/>
      <x:c r="AE131" s="101"/>
    </x:row>
    <x:row r="132">
      <x:c r="A132" s="101"/>
      <x:c r="B132" s="101"/>
      <x:c r="C132" s="101"/>
      <x:c r="D132" s="101"/>
      <x:c r="E132" s="101"/>
      <x:c r="F132" s="101"/>
      <x:c r="G132" s="101"/>
      <x:c r="H132" s="101"/>
      <x:c r="I132" s="101"/>
      <x:c r="J132" s="101"/>
      <x:c r="K132" s="101"/>
      <x:c r="L132" s="101"/>
      <x:c r="M132" s="101"/>
      <x:c r="N132" s="101"/>
      <x:c r="O132" s="101"/>
      <x:c r="P132" s="101"/>
      <x:c r="Q132" s="101"/>
      <x:c r="R132" s="101"/>
      <x:c r="S132" s="101"/>
      <x:c r="T132" s="101"/>
      <x:c r="U132" s="101"/>
      <x:c r="V132" s="101"/>
      <x:c r="W132" s="101"/>
      <x:c r="X132" s="101"/>
      <x:c r="Y132" s="101"/>
      <x:c r="Z132" s="101"/>
      <x:c r="AA132" s="101"/>
      <x:c r="AB132" s="101"/>
      <x:c r="AC132" s="101"/>
      <x:c r="AD132" s="101"/>
      <x:c r="AE132" s="101"/>
    </x:row>
    <x:row r="133">
      <x:c r="A133" s="101"/>
      <x:c r="B133" s="101"/>
      <x:c r="C133" s="101"/>
      <x:c r="D133" s="101"/>
      <x:c r="E133" s="101"/>
      <x:c r="F133" s="101"/>
      <x:c r="G133" s="101"/>
      <x:c r="H133" s="101"/>
      <x:c r="I133" s="101"/>
      <x:c r="J133" s="101"/>
      <x:c r="K133" s="101"/>
      <x:c r="L133" s="101"/>
      <x:c r="M133" s="101"/>
      <x:c r="N133" s="101"/>
      <x:c r="O133" s="101"/>
      <x:c r="P133" s="101"/>
      <x:c r="Q133" s="101"/>
      <x:c r="R133" s="101"/>
      <x:c r="S133" s="101"/>
      <x:c r="T133" s="101"/>
      <x:c r="U133" s="101"/>
      <x:c r="V133" s="101"/>
      <x:c r="W133" s="101"/>
      <x:c r="X133" s="101"/>
      <x:c r="Y133" s="101"/>
      <x:c r="Z133" s="101"/>
      <x:c r="AA133" s="101"/>
      <x:c r="AB133" s="101"/>
      <x:c r="AC133" s="101"/>
      <x:c r="AD133" s="101"/>
      <x:c r="AE133" s="101"/>
    </x:row>
    <x:row r="134">
      <x:c r="A134" s="101"/>
      <x:c r="B134" s="101"/>
      <x:c r="C134" s="101"/>
      <x:c r="D134" s="101"/>
      <x:c r="E134" s="101"/>
      <x:c r="F134" s="101"/>
      <x:c r="G134" s="101"/>
      <x:c r="H134" s="101"/>
      <x:c r="I134" s="101"/>
      <x:c r="J134" s="101"/>
      <x:c r="K134" s="101"/>
      <x:c r="L134" s="101"/>
      <x:c r="M134" s="101"/>
      <x:c r="N134" s="101"/>
      <x:c r="O134" s="101"/>
      <x:c r="P134" s="101"/>
      <x:c r="Q134" s="101"/>
      <x:c r="R134" s="101"/>
      <x:c r="S134" s="101"/>
      <x:c r="T134" s="101"/>
      <x:c r="U134" s="101"/>
      <x:c r="V134" s="101"/>
      <x:c r="W134" s="101"/>
      <x:c r="X134" s="101"/>
      <x:c r="Y134" s="101"/>
      <x:c r="Z134" s="101"/>
      <x:c r="AA134" s="101"/>
      <x:c r="AB134" s="101"/>
      <x:c r="AC134" s="101"/>
      <x:c r="AD134" s="101"/>
      <x:c r="AE134" s="101"/>
    </x:row>
    <x:row r="135">
      <x:c r="A135" s="101"/>
      <x:c r="B135" s="101"/>
      <x:c r="C135" s="101"/>
      <x:c r="D135" s="101"/>
      <x:c r="E135" s="101"/>
      <x:c r="F135" s="101"/>
      <x:c r="G135" s="101"/>
      <x:c r="H135" s="101"/>
      <x:c r="I135" s="101"/>
      <x:c r="J135" s="101"/>
      <x:c r="K135" s="101"/>
      <x:c r="L135" s="101"/>
      <x:c r="M135" s="101"/>
      <x:c r="N135" s="101"/>
      <x:c r="O135" s="101"/>
      <x:c r="P135" s="101"/>
      <x:c r="Q135" s="101"/>
      <x:c r="R135" s="101"/>
      <x:c r="S135" s="101"/>
      <x:c r="T135" s="101"/>
      <x:c r="U135" s="101"/>
      <x:c r="V135" s="101"/>
      <x:c r="W135" s="101"/>
      <x:c r="X135" s="101"/>
      <x:c r="Y135" s="101"/>
      <x:c r="Z135" s="101"/>
      <x:c r="AA135" s="101"/>
      <x:c r="AB135" s="101"/>
      <x:c r="AC135" s="101"/>
      <x:c r="AD135" s="101"/>
      <x:c r="AE135" s="101"/>
    </x:row>
    <x:row r="136">
      <x:c r="A136" s="101"/>
      <x:c r="B136" s="101"/>
      <x:c r="C136" s="101"/>
      <x:c r="D136" s="101"/>
      <x:c r="E136" s="101"/>
      <x:c r="F136" s="101"/>
      <x:c r="G136" s="101"/>
      <x:c r="H136" s="101"/>
      <x:c r="I136" s="101"/>
      <x:c r="J136" s="101"/>
      <x:c r="K136" s="101"/>
      <x:c r="L136" s="101"/>
      <x:c r="M136" s="101"/>
      <x:c r="N136" s="101"/>
      <x:c r="O136" s="101"/>
      <x:c r="P136" s="101"/>
      <x:c r="Q136" s="101"/>
      <x:c r="R136" s="101"/>
      <x:c r="S136" s="101"/>
      <x:c r="T136" s="101"/>
      <x:c r="U136" s="101"/>
      <x:c r="V136" s="101"/>
      <x:c r="W136" s="101"/>
      <x:c r="X136" s="101"/>
      <x:c r="Y136" s="101"/>
      <x:c r="Z136" s="101"/>
      <x:c r="AA136" s="101"/>
      <x:c r="AB136" s="101"/>
      <x:c r="AC136" s="101"/>
      <x:c r="AD136" s="101"/>
      <x:c r="AE136" s="101"/>
    </x:row>
    <x:row r="137">
      <x:c r="A137" s="101"/>
      <x:c r="B137" s="101"/>
      <x:c r="C137" s="101"/>
      <x:c r="D137" s="101"/>
      <x:c r="E137" s="101"/>
      <x:c r="F137" s="101"/>
      <x:c r="G137" s="101"/>
      <x:c r="H137" s="101"/>
      <x:c r="I137" s="101"/>
      <x:c r="J137" s="101"/>
      <x:c r="K137" s="101"/>
      <x:c r="L137" s="101"/>
      <x:c r="M137" s="101"/>
      <x:c r="N137" s="101"/>
      <x:c r="O137" s="101"/>
      <x:c r="P137" s="101"/>
      <x:c r="Q137" s="101"/>
      <x:c r="R137" s="101"/>
      <x:c r="S137" s="101"/>
      <x:c r="T137" s="101"/>
      <x:c r="U137" s="101"/>
      <x:c r="V137" s="101"/>
      <x:c r="W137" s="101"/>
      <x:c r="X137" s="101"/>
      <x:c r="Y137" s="101"/>
      <x:c r="Z137" s="101"/>
      <x:c r="AA137" s="101"/>
      <x:c r="AB137" s="101"/>
      <x:c r="AC137" s="101"/>
      <x:c r="AD137" s="101"/>
      <x:c r="AE137" s="101"/>
    </x:row>
    <x:row r="138">
      <x:c r="A138" s="101"/>
      <x:c r="B138" s="101"/>
      <x:c r="C138" s="101"/>
      <x:c r="D138" s="101"/>
      <x:c r="E138" s="101"/>
      <x:c r="F138" s="101"/>
      <x:c r="G138" s="101"/>
      <x:c r="H138" s="101"/>
      <x:c r="I138" s="101"/>
      <x:c r="J138" s="101"/>
      <x:c r="K138" s="101"/>
      <x:c r="L138" s="101"/>
      <x:c r="M138" s="101"/>
      <x:c r="N138" s="101"/>
      <x:c r="O138" s="101"/>
      <x:c r="P138" s="101"/>
      <x:c r="Q138" s="101"/>
      <x:c r="R138" s="101"/>
      <x:c r="S138" s="101"/>
      <x:c r="T138" s="101"/>
      <x:c r="U138" s="101"/>
      <x:c r="V138" s="101"/>
      <x:c r="W138" s="101"/>
      <x:c r="X138" s="101"/>
      <x:c r="Y138" s="101"/>
      <x:c r="Z138" s="101"/>
      <x:c r="AA138" s="101"/>
      <x:c r="AB138" s="101"/>
      <x:c r="AC138" s="101"/>
      <x:c r="AD138" s="101"/>
      <x:c r="AE138" s="101"/>
    </x:row>
    <x:row r="139">
      <x:c r="A139" s="101"/>
      <x:c r="B139" s="101"/>
      <x:c r="C139" s="101"/>
      <x:c r="D139" s="101"/>
      <x:c r="E139" s="101"/>
      <x:c r="F139" s="101"/>
      <x:c r="G139" s="101"/>
      <x:c r="H139" s="101"/>
      <x:c r="I139" s="101"/>
      <x:c r="J139" s="101"/>
      <x:c r="K139" s="101"/>
      <x:c r="L139" s="101"/>
      <x:c r="M139" s="101"/>
      <x:c r="N139" s="101"/>
      <x:c r="O139" s="101"/>
      <x:c r="P139" s="101"/>
      <x:c r="Q139" s="101"/>
      <x:c r="R139" s="101"/>
      <x:c r="S139" s="101"/>
      <x:c r="T139" s="101"/>
      <x:c r="U139" s="101"/>
      <x:c r="V139" s="101"/>
      <x:c r="W139" s="101"/>
      <x:c r="X139" s="101"/>
      <x:c r="Y139" s="101"/>
      <x:c r="Z139" s="101"/>
      <x:c r="AA139" s="101"/>
      <x:c r="AB139" s="101"/>
      <x:c r="AC139" s="101"/>
      <x:c r="AD139" s="101"/>
      <x:c r="AE139" s="101"/>
    </x:row>
    <x:row r="140">
      <x:c r="A140" s="101"/>
      <x:c r="B140" s="101"/>
      <x:c r="C140" s="101"/>
      <x:c r="D140" s="101"/>
      <x:c r="E140" s="101"/>
      <x:c r="F140" s="101"/>
      <x:c r="G140" s="101"/>
      <x:c r="H140" s="101"/>
      <x:c r="I140" s="101"/>
      <x:c r="J140" s="101"/>
      <x:c r="K140" s="101"/>
      <x:c r="L140" s="101"/>
      <x:c r="M140" s="101"/>
      <x:c r="N140" s="101"/>
      <x:c r="O140" s="101"/>
      <x:c r="P140" s="101"/>
      <x:c r="Q140" s="101"/>
      <x:c r="R140" s="101"/>
      <x:c r="S140" s="101"/>
      <x:c r="T140" s="101"/>
      <x:c r="U140" s="101"/>
      <x:c r="V140" s="101"/>
      <x:c r="W140" s="101"/>
      <x:c r="X140" s="101"/>
      <x:c r="Y140" s="101"/>
      <x:c r="Z140" s="101"/>
      <x:c r="AA140" s="101"/>
      <x:c r="AB140" s="101"/>
      <x:c r="AC140" s="101"/>
      <x:c r="AD140" s="101"/>
      <x:c r="AE140" s="101"/>
    </x:row>
    <x:row r="141">
      <x:c r="A141" s="101"/>
      <x:c r="B141" s="101"/>
      <x:c r="C141" s="101"/>
      <x:c r="D141" s="101"/>
      <x:c r="E141" s="101"/>
      <x:c r="F141" s="101"/>
      <x:c r="G141" s="101"/>
      <x:c r="H141" s="101"/>
      <x:c r="I141" s="101"/>
      <x:c r="J141" s="101"/>
      <x:c r="K141" s="101"/>
      <x:c r="L141" s="101"/>
      <x:c r="M141" s="101"/>
      <x:c r="N141" s="101"/>
      <x:c r="O141" s="101"/>
      <x:c r="P141" s="101"/>
      <x:c r="Q141" s="101"/>
      <x:c r="R141" s="101"/>
      <x:c r="S141" s="101"/>
      <x:c r="T141" s="101"/>
      <x:c r="U141" s="101"/>
      <x:c r="V141" s="101"/>
      <x:c r="W141" s="101"/>
      <x:c r="X141" s="101"/>
      <x:c r="Y141" s="101"/>
      <x:c r="Z141" s="101"/>
      <x:c r="AA141" s="101"/>
      <x:c r="AB141" s="101"/>
      <x:c r="AC141" s="101"/>
      <x:c r="AD141" s="101"/>
      <x:c r="AE141" s="101"/>
    </x:row>
    <x:row r="142">
      <x:c r="A142" s="101"/>
      <x:c r="B142" s="101"/>
      <x:c r="C142" s="101"/>
      <x:c r="D142" s="101"/>
      <x:c r="E142" s="101"/>
      <x:c r="F142" s="101"/>
      <x:c r="G142" s="101"/>
      <x:c r="H142" s="101"/>
      <x:c r="I142" s="101"/>
      <x:c r="J142" s="101"/>
      <x:c r="K142" s="101"/>
      <x:c r="L142" s="101"/>
      <x:c r="M142" s="101"/>
      <x:c r="N142" s="101"/>
      <x:c r="O142" s="101"/>
      <x:c r="P142" s="101"/>
      <x:c r="Q142" s="101"/>
      <x:c r="R142" s="101"/>
      <x:c r="S142" s="101"/>
      <x:c r="T142" s="101"/>
      <x:c r="U142" s="101"/>
      <x:c r="V142" s="101"/>
      <x:c r="W142" s="101"/>
      <x:c r="X142" s="101"/>
      <x:c r="Y142" s="101"/>
      <x:c r="Z142" s="101"/>
      <x:c r="AA142" s="101"/>
      <x:c r="AB142" s="101"/>
      <x:c r="AC142" s="101"/>
      <x:c r="AD142" s="101"/>
      <x:c r="AE142" s="101"/>
    </x:row>
    <x:row r="143">
      <x:c r="A143" s="101"/>
      <x:c r="B143" s="101"/>
      <x:c r="C143" s="101"/>
      <x:c r="D143" s="101"/>
      <x:c r="E143" s="101"/>
      <x:c r="F143" s="101"/>
      <x:c r="G143" s="101"/>
      <x:c r="H143" s="101"/>
      <x:c r="I143" s="101"/>
      <x:c r="J143" s="101"/>
      <x:c r="K143" s="101"/>
      <x:c r="L143" s="101"/>
      <x:c r="M143" s="101"/>
      <x:c r="N143" s="101"/>
      <x:c r="O143" s="101"/>
      <x:c r="P143" s="101"/>
      <x:c r="Q143" s="101"/>
      <x:c r="R143" s="101"/>
      <x:c r="S143" s="101"/>
      <x:c r="T143" s="101"/>
      <x:c r="U143" s="101"/>
      <x:c r="V143" s="101"/>
      <x:c r="W143" s="101"/>
      <x:c r="X143" s="101"/>
      <x:c r="Y143" s="101"/>
      <x:c r="Z143" s="101"/>
      <x:c r="AA143" s="101"/>
      <x:c r="AB143" s="101"/>
      <x:c r="AC143" s="101"/>
      <x:c r="AD143" s="101"/>
      <x:c r="AE143" s="101"/>
    </x:row>
    <x:row r="144">
      <x:c r="A144" s="101"/>
      <x:c r="B144" s="101"/>
      <x:c r="C144" s="101"/>
      <x:c r="D144" s="101"/>
      <x:c r="E144" s="101"/>
      <x:c r="F144" s="101"/>
      <x:c r="G144" s="101"/>
      <x:c r="H144" s="101"/>
      <x:c r="I144" s="101"/>
      <x:c r="J144" s="101"/>
      <x:c r="K144" s="101"/>
      <x:c r="L144" s="101"/>
      <x:c r="M144" s="101"/>
      <x:c r="N144" s="101"/>
      <x:c r="O144" s="101"/>
      <x:c r="P144" s="101"/>
      <x:c r="Q144" s="101"/>
      <x:c r="R144" s="101"/>
      <x:c r="S144" s="101"/>
      <x:c r="T144" s="101"/>
      <x:c r="U144" s="101"/>
      <x:c r="V144" s="101"/>
      <x:c r="W144" s="101"/>
      <x:c r="X144" s="101"/>
      <x:c r="Y144" s="101"/>
      <x:c r="Z144" s="101"/>
      <x:c r="AA144" s="101"/>
      <x:c r="AB144" s="101"/>
      <x:c r="AC144" s="101"/>
      <x:c r="AD144" s="101"/>
      <x:c r="AE144" s="101"/>
    </x:row>
    <x:row r="145">
      <x:c r="A145" s="101"/>
      <x:c r="B145" s="101"/>
      <x:c r="C145" s="101"/>
      <x:c r="D145" s="101"/>
      <x:c r="E145" s="101"/>
      <x:c r="F145" s="101"/>
      <x:c r="G145" s="101"/>
      <x:c r="H145" s="101"/>
      <x:c r="I145" s="101"/>
      <x:c r="J145" s="101"/>
      <x:c r="K145" s="101"/>
      <x:c r="L145" s="101"/>
      <x:c r="M145" s="101"/>
      <x:c r="N145" s="101"/>
      <x:c r="O145" s="101"/>
      <x:c r="P145" s="101"/>
      <x:c r="Q145" s="101"/>
      <x:c r="R145" s="101"/>
      <x:c r="S145" s="101"/>
      <x:c r="T145" s="101"/>
      <x:c r="U145" s="101"/>
      <x:c r="V145" s="101"/>
      <x:c r="W145" s="101"/>
      <x:c r="X145" s="101"/>
      <x:c r="Y145" s="101"/>
      <x:c r="Z145" s="101"/>
      <x:c r="AA145" s="101"/>
      <x:c r="AB145" s="101"/>
      <x:c r="AC145" s="101"/>
      <x:c r="AD145" s="101"/>
      <x:c r="AE145" s="101"/>
    </x:row>
    <x:row r="146">
      <x:c r="A146" s="101"/>
      <x:c r="B146" s="101"/>
      <x:c r="C146" s="101"/>
      <x:c r="D146" s="101"/>
      <x:c r="E146" s="101"/>
      <x:c r="F146" s="101"/>
      <x:c r="G146" s="101"/>
      <x:c r="H146" s="101"/>
      <x:c r="I146" s="101"/>
      <x:c r="J146" s="101"/>
      <x:c r="K146" s="101"/>
      <x:c r="L146" s="101"/>
      <x:c r="M146" s="101"/>
      <x:c r="N146" s="101"/>
      <x:c r="O146" s="101"/>
      <x:c r="P146" s="101"/>
      <x:c r="Q146" s="101"/>
      <x:c r="R146" s="101"/>
      <x:c r="S146" s="101"/>
      <x:c r="T146" s="101"/>
      <x:c r="U146" s="101"/>
      <x:c r="V146" s="101"/>
      <x:c r="W146" s="101"/>
      <x:c r="X146" s="101"/>
      <x:c r="Y146" s="101"/>
      <x:c r="Z146" s="101"/>
      <x:c r="AA146" s="101"/>
      <x:c r="AB146" s="101"/>
      <x:c r="AC146" s="101"/>
      <x:c r="AD146" s="101"/>
      <x:c r="AE146" s="101"/>
    </x:row>
    <x:row r="147">
      <x:c r="A147" s="101"/>
      <x:c r="B147" s="101"/>
      <x:c r="C147" s="101"/>
      <x:c r="D147" s="101"/>
      <x:c r="E147" s="101"/>
      <x:c r="F147" s="101"/>
      <x:c r="G147" s="101"/>
      <x:c r="H147" s="101"/>
      <x:c r="I147" s="101"/>
      <x:c r="J147" s="101"/>
      <x:c r="K147" s="101"/>
      <x:c r="L147" s="101"/>
      <x:c r="M147" s="101"/>
      <x:c r="N147" s="101"/>
      <x:c r="O147" s="101"/>
      <x:c r="P147" s="101"/>
      <x:c r="Q147" s="101"/>
      <x:c r="R147" s="101"/>
      <x:c r="S147" s="101"/>
      <x:c r="T147" s="101"/>
      <x:c r="U147" s="101"/>
      <x:c r="V147" s="101"/>
      <x:c r="W147" s="101"/>
      <x:c r="X147" s="101"/>
      <x:c r="Y147" s="101"/>
      <x:c r="Z147" s="101"/>
      <x:c r="AA147" s="101"/>
      <x:c r="AB147" s="101"/>
      <x:c r="AC147" s="101"/>
      <x:c r="AD147" s="101"/>
      <x:c r="AE147" s="101"/>
    </x:row>
    <x:row r="148">
      <x:c r="A148" s="101"/>
      <x:c r="B148" s="101"/>
      <x:c r="C148" s="101"/>
      <x:c r="D148" s="101"/>
      <x:c r="E148" s="101"/>
      <x:c r="F148" s="101"/>
      <x:c r="G148" s="101"/>
      <x:c r="H148" s="101"/>
      <x:c r="I148" s="101"/>
      <x:c r="J148" s="101"/>
      <x:c r="K148" s="101"/>
      <x:c r="L148" s="101"/>
      <x:c r="M148" s="101"/>
      <x:c r="N148" s="101"/>
      <x:c r="O148" s="101"/>
      <x:c r="P148" s="101"/>
      <x:c r="Q148" s="101"/>
      <x:c r="R148" s="101"/>
      <x:c r="S148" s="101"/>
      <x:c r="T148" s="101"/>
      <x:c r="U148" s="101"/>
      <x:c r="V148" s="101"/>
      <x:c r="W148" s="101"/>
      <x:c r="X148" s="101"/>
      <x:c r="Y148" s="101"/>
      <x:c r="Z148" s="101"/>
      <x:c r="AA148" s="101"/>
      <x:c r="AB148" s="101"/>
      <x:c r="AC148" s="101"/>
      <x:c r="AD148" s="101"/>
      <x:c r="AE148" s="101"/>
    </x:row>
    <x:row r="149">
      <x:c r="A149" s="101"/>
      <x:c r="B149" s="101"/>
      <x:c r="C149" s="101"/>
      <x:c r="D149" s="101"/>
      <x:c r="E149" s="101"/>
      <x:c r="F149" s="101"/>
      <x:c r="G149" s="101"/>
      <x:c r="H149" s="101"/>
      <x:c r="I149" s="101"/>
      <x:c r="J149" s="101"/>
      <x:c r="K149" s="101"/>
      <x:c r="L149" s="101"/>
      <x:c r="M149" s="101"/>
      <x:c r="N149" s="101"/>
      <x:c r="O149" s="101"/>
      <x:c r="P149" s="101"/>
      <x:c r="Q149" s="101"/>
      <x:c r="R149" s="101"/>
      <x:c r="S149" s="101"/>
      <x:c r="T149" s="101"/>
      <x:c r="U149" s="101"/>
      <x:c r="V149" s="101"/>
      <x:c r="W149" s="101"/>
      <x:c r="X149" s="101"/>
      <x:c r="Y149" s="101"/>
      <x:c r="Z149" s="101"/>
      <x:c r="AA149" s="101"/>
      <x:c r="AB149" s="101"/>
      <x:c r="AC149" s="101"/>
      <x:c r="AD149" s="101"/>
      <x:c r="AE149" s="101"/>
    </x:row>
    <x:row r="150">
      <x:c r="A150" s="101"/>
      <x:c r="B150" s="101"/>
      <x:c r="C150" s="101"/>
      <x:c r="D150" s="101"/>
      <x:c r="E150" s="101"/>
      <x:c r="F150" s="101"/>
      <x:c r="G150" s="101"/>
      <x:c r="H150" s="101"/>
      <x:c r="I150" s="101"/>
      <x:c r="J150" s="101"/>
      <x:c r="K150" s="101"/>
      <x:c r="L150" s="101"/>
      <x:c r="M150" s="101"/>
      <x:c r="N150" s="101"/>
      <x:c r="O150" s="101"/>
      <x:c r="P150" s="101"/>
      <x:c r="Q150" s="101"/>
      <x:c r="R150" s="101"/>
      <x:c r="S150" s="101"/>
      <x:c r="T150" s="101"/>
      <x:c r="U150" s="101"/>
      <x:c r="V150" s="101"/>
      <x:c r="W150" s="101"/>
      <x:c r="X150" s="101"/>
      <x:c r="Y150" s="101"/>
      <x:c r="Z150" s="101"/>
      <x:c r="AA150" s="101"/>
      <x:c r="AB150" s="101"/>
      <x:c r="AC150" s="101"/>
      <x:c r="AD150" s="101"/>
      <x:c r="AE150" s="101"/>
    </x:row>
    <x:row r="151">
      <x:c r="A151" s="101"/>
      <x:c r="B151" s="101"/>
      <x:c r="C151" s="101"/>
      <x:c r="D151" s="101"/>
      <x:c r="E151" s="101"/>
      <x:c r="F151" s="101"/>
      <x:c r="G151" s="101"/>
      <x:c r="H151" s="101"/>
      <x:c r="I151" s="101"/>
      <x:c r="J151" s="101"/>
      <x:c r="K151" s="101"/>
      <x:c r="L151" s="101"/>
      <x:c r="M151" s="101"/>
      <x:c r="N151" s="101"/>
      <x:c r="O151" s="101"/>
      <x:c r="P151" s="101"/>
      <x:c r="Q151" s="101"/>
      <x:c r="R151" s="101"/>
      <x:c r="S151" s="101"/>
      <x:c r="T151" s="101"/>
      <x:c r="U151" s="101"/>
      <x:c r="V151" s="101"/>
      <x:c r="W151" s="101"/>
      <x:c r="X151" s="101"/>
      <x:c r="Y151" s="101"/>
      <x:c r="Z151" s="101"/>
      <x:c r="AA151" s="101"/>
      <x:c r="AB151" s="101"/>
      <x:c r="AC151" s="101"/>
      <x:c r="AD151" s="101"/>
      <x:c r="AE151" s="101"/>
    </x:row>
    <x:row r="152">
      <x:c r="A152" s="101"/>
      <x:c r="B152" s="101"/>
      <x:c r="C152" s="101"/>
      <x:c r="D152" s="101"/>
      <x:c r="E152" s="101"/>
      <x:c r="F152" s="101"/>
      <x:c r="G152" s="101"/>
      <x:c r="H152" s="101"/>
      <x:c r="I152" s="101"/>
      <x:c r="J152" s="101"/>
      <x:c r="K152" s="101"/>
      <x:c r="L152" s="101"/>
      <x:c r="M152" s="101"/>
      <x:c r="N152" s="101"/>
      <x:c r="O152" s="101"/>
      <x:c r="P152" s="101"/>
      <x:c r="Q152" s="101"/>
      <x:c r="R152" s="101"/>
      <x:c r="S152" s="101"/>
      <x:c r="T152" s="101"/>
      <x:c r="U152" s="101"/>
      <x:c r="V152" s="101"/>
      <x:c r="W152" s="101"/>
      <x:c r="X152" s="101"/>
      <x:c r="Y152" s="101"/>
      <x:c r="Z152" s="101"/>
      <x:c r="AA152" s="101"/>
      <x:c r="AB152" s="101"/>
      <x:c r="AC152" s="101"/>
      <x:c r="AD152" s="101"/>
      <x:c r="AE152" s="101"/>
    </x:row>
    <x:row r="153">
      <x:c r="A153" s="101"/>
      <x:c r="B153" s="101"/>
      <x:c r="C153" s="101"/>
      <x:c r="D153" s="101"/>
      <x:c r="E153" s="101"/>
      <x:c r="F153" s="101"/>
      <x:c r="G153" s="101"/>
      <x:c r="H153" s="101"/>
      <x:c r="I153" s="101"/>
      <x:c r="J153" s="101"/>
      <x:c r="K153" s="101"/>
      <x:c r="L153" s="101"/>
      <x:c r="M153" s="101"/>
      <x:c r="N153" s="101"/>
      <x:c r="O153" s="101"/>
      <x:c r="P153" s="101"/>
      <x:c r="Q153" s="101"/>
      <x:c r="R153" s="101"/>
      <x:c r="S153" s="101"/>
      <x:c r="T153" s="101"/>
      <x:c r="U153" s="101"/>
      <x:c r="V153" s="101"/>
      <x:c r="W153" s="101"/>
      <x:c r="X153" s="101"/>
      <x:c r="Y153" s="101"/>
      <x:c r="Z153" s="101"/>
      <x:c r="AA153" s="101"/>
      <x:c r="AB153" s="101"/>
      <x:c r="AC153" s="101"/>
      <x:c r="AD153" s="101"/>
      <x:c r="AE153" s="101"/>
    </x:row>
    <x:row r="154">
      <x:c r="A154" s="101"/>
      <x:c r="B154" s="101"/>
      <x:c r="C154" s="101"/>
      <x:c r="D154" s="101"/>
      <x:c r="E154" s="101"/>
      <x:c r="F154" s="101"/>
      <x:c r="G154" s="101"/>
      <x:c r="H154" s="101"/>
      <x:c r="I154" s="101"/>
      <x:c r="J154" s="101"/>
      <x:c r="K154" s="101"/>
      <x:c r="L154" s="101"/>
      <x:c r="M154" s="101"/>
      <x:c r="N154" s="101"/>
      <x:c r="O154" s="101"/>
      <x:c r="P154" s="101"/>
      <x:c r="Q154" s="101"/>
      <x:c r="R154" s="101"/>
      <x:c r="S154" s="101"/>
      <x:c r="T154" s="101"/>
      <x:c r="U154" s="101"/>
      <x:c r="V154" s="101"/>
      <x:c r="W154" s="101"/>
      <x:c r="X154" s="101"/>
      <x:c r="Y154" s="101"/>
      <x:c r="Z154" s="101"/>
      <x:c r="AA154" s="101"/>
      <x:c r="AB154" s="101"/>
      <x:c r="AC154" s="101"/>
      <x:c r="AD154" s="101"/>
      <x:c r="AE154" s="101"/>
    </x:row>
    <x:row r="155">
      <x:c r="A155" s="101"/>
      <x:c r="B155" s="101"/>
      <x:c r="C155" s="101"/>
      <x:c r="D155" s="101"/>
      <x:c r="E155" s="101"/>
      <x:c r="F155" s="101"/>
      <x:c r="G155" s="101"/>
      <x:c r="H155" s="101"/>
      <x:c r="I155" s="101"/>
      <x:c r="J155" s="101"/>
      <x:c r="K155" s="101"/>
      <x:c r="L155" s="101"/>
      <x:c r="M155" s="101"/>
      <x:c r="N155" s="101"/>
      <x:c r="O155" s="101"/>
      <x:c r="P155" s="101"/>
      <x:c r="Q155" s="101"/>
      <x:c r="R155" s="101"/>
      <x:c r="S155" s="101"/>
      <x:c r="T155" s="101"/>
      <x:c r="U155" s="101"/>
      <x:c r="V155" s="101"/>
      <x:c r="W155" s="101"/>
      <x:c r="X155" s="101"/>
      <x:c r="Y155" s="101"/>
      <x:c r="Z155" s="101"/>
      <x:c r="AA155" s="101"/>
      <x:c r="AB155" s="101"/>
      <x:c r="AC155" s="101"/>
      <x:c r="AD155" s="101"/>
      <x:c r="AE155" s="101"/>
    </x:row>
    <x:row r="156">
      <x:c r="A156" s="101"/>
      <x:c r="B156" s="101"/>
      <x:c r="C156" s="101"/>
      <x:c r="D156" s="101"/>
      <x:c r="E156" s="101"/>
      <x:c r="F156" s="101"/>
      <x:c r="G156" s="101"/>
      <x:c r="H156" s="101"/>
      <x:c r="I156" s="101"/>
      <x:c r="J156" s="101"/>
      <x:c r="K156" s="101"/>
      <x:c r="L156" s="101"/>
      <x:c r="M156" s="101"/>
      <x:c r="N156" s="101"/>
      <x:c r="O156" s="101"/>
      <x:c r="P156" s="101"/>
      <x:c r="Q156" s="101"/>
      <x:c r="R156" s="101"/>
      <x:c r="S156" s="101"/>
      <x:c r="T156" s="101"/>
      <x:c r="U156" s="101"/>
      <x:c r="V156" s="101"/>
      <x:c r="W156" s="101"/>
      <x:c r="X156" s="101"/>
      <x:c r="Y156" s="101"/>
      <x:c r="Z156" s="101"/>
      <x:c r="AA156" s="101"/>
      <x:c r="AB156" s="101"/>
      <x:c r="AC156" s="101"/>
      <x:c r="AD156" s="101"/>
      <x:c r="AE156" s="101"/>
    </x:row>
    <x:row r="157">
      <x:c r="A157" s="101"/>
      <x:c r="B157" s="101"/>
      <x:c r="C157" s="101"/>
      <x:c r="D157" s="101"/>
      <x:c r="E157" s="101"/>
      <x:c r="F157" s="101"/>
      <x:c r="G157" s="101"/>
      <x:c r="H157" s="101"/>
      <x:c r="I157" s="101"/>
      <x:c r="J157" s="101"/>
      <x:c r="K157" s="101"/>
      <x:c r="L157" s="101"/>
      <x:c r="M157" s="101"/>
      <x:c r="N157" s="101"/>
      <x:c r="O157" s="101"/>
      <x:c r="P157" s="101"/>
      <x:c r="Q157" s="101"/>
      <x:c r="R157" s="101"/>
      <x:c r="S157" s="101"/>
      <x:c r="T157" s="101"/>
      <x:c r="U157" s="101"/>
      <x:c r="V157" s="101"/>
      <x:c r="W157" s="101"/>
      <x:c r="X157" s="101"/>
      <x:c r="Y157" s="101"/>
      <x:c r="Z157" s="101"/>
      <x:c r="AA157" s="101"/>
      <x:c r="AB157" s="101"/>
      <x:c r="AC157" s="101"/>
      <x:c r="AD157" s="101"/>
      <x:c r="AE157" s="101"/>
    </x:row>
    <x:row r="158">
      <x:c r="A158" s="101"/>
      <x:c r="B158" s="101"/>
      <x:c r="C158" s="101"/>
      <x:c r="D158" s="101"/>
      <x:c r="E158" s="101"/>
      <x:c r="F158" s="101"/>
      <x:c r="G158" s="101"/>
      <x:c r="H158" s="101"/>
      <x:c r="I158" s="101"/>
      <x:c r="J158" s="101"/>
      <x:c r="K158" s="101"/>
      <x:c r="L158" s="101"/>
      <x:c r="M158" s="101"/>
      <x:c r="N158" s="101"/>
      <x:c r="O158" s="101"/>
      <x:c r="P158" s="101"/>
      <x:c r="Q158" s="101"/>
      <x:c r="R158" s="101"/>
      <x:c r="S158" s="101"/>
      <x:c r="T158" s="101"/>
      <x:c r="U158" s="101"/>
      <x:c r="V158" s="101"/>
      <x:c r="W158" s="101"/>
      <x:c r="X158" s="101"/>
      <x:c r="Y158" s="101"/>
      <x:c r="Z158" s="101"/>
      <x:c r="AA158" s="101"/>
      <x:c r="AB158" s="101"/>
      <x:c r="AC158" s="101"/>
      <x:c r="AD158" s="101"/>
      <x:c r="AE158" s="101"/>
    </x:row>
    <x:row r="159">
      <x:c r="A159" s="101"/>
      <x:c r="B159" s="101"/>
      <x:c r="C159" s="101"/>
      <x:c r="D159" s="101"/>
      <x:c r="E159" s="101"/>
      <x:c r="F159" s="101"/>
      <x:c r="G159" s="101"/>
      <x:c r="H159" s="101"/>
      <x:c r="I159" s="101"/>
      <x:c r="J159" s="101"/>
      <x:c r="K159" s="101"/>
      <x:c r="L159" s="101"/>
      <x:c r="M159" s="101"/>
      <x:c r="N159" s="101"/>
      <x:c r="O159" s="101"/>
      <x:c r="P159" s="101"/>
      <x:c r="Q159" s="101"/>
      <x:c r="R159" s="101"/>
      <x:c r="S159" s="101"/>
      <x:c r="T159" s="101"/>
      <x:c r="U159" s="101"/>
      <x:c r="V159" s="101"/>
      <x:c r="W159" s="101"/>
      <x:c r="X159" s="101"/>
      <x:c r="Y159" s="101"/>
      <x:c r="Z159" s="101"/>
      <x:c r="AA159" s="101"/>
      <x:c r="AB159" s="101"/>
      <x:c r="AC159" s="101"/>
      <x:c r="AD159" s="101"/>
      <x:c r="AE159" s="101"/>
    </x:row>
    <x:row r="160">
      <x:c r="A160" s="101"/>
      <x:c r="B160" s="101"/>
      <x:c r="C160" s="101"/>
      <x:c r="D160" s="101"/>
      <x:c r="E160" s="101"/>
      <x:c r="F160" s="101"/>
      <x:c r="G160" s="101"/>
      <x:c r="H160" s="101"/>
      <x:c r="I160" s="101"/>
      <x:c r="J160" s="101"/>
      <x:c r="K160" s="101"/>
      <x:c r="L160" s="101"/>
      <x:c r="M160" s="101"/>
      <x:c r="N160" s="101"/>
      <x:c r="O160" s="101"/>
      <x:c r="P160" s="101"/>
      <x:c r="Q160" s="101"/>
      <x:c r="R160" s="101"/>
      <x:c r="S160" s="101"/>
      <x:c r="T160" s="101"/>
      <x:c r="U160" s="101"/>
      <x:c r="V160" s="101"/>
      <x:c r="W160" s="101"/>
      <x:c r="X160" s="101"/>
      <x:c r="Y160" s="101"/>
      <x:c r="Z160" s="101"/>
      <x:c r="AA160" s="101"/>
      <x:c r="AB160" s="101"/>
      <x:c r="AC160" s="101"/>
      <x:c r="AD160" s="101"/>
      <x:c r="AE160" s="101"/>
    </x:row>
    <x:row r="161">
      <x:c r="A161" s="101"/>
      <x:c r="B161" s="101"/>
      <x:c r="C161" s="101"/>
      <x:c r="D161" s="101"/>
      <x:c r="E161" s="101"/>
      <x:c r="F161" s="101"/>
      <x:c r="G161" s="101"/>
      <x:c r="H161" s="101"/>
      <x:c r="I161" s="101"/>
      <x:c r="J161" s="101"/>
      <x:c r="K161" s="101"/>
      <x:c r="L161" s="101"/>
      <x:c r="M161" s="101"/>
      <x:c r="N161" s="101"/>
      <x:c r="O161" s="101"/>
      <x:c r="P161" s="101"/>
      <x:c r="Q161" s="101"/>
      <x:c r="R161" s="101"/>
      <x:c r="S161" s="101"/>
      <x:c r="T161" s="101"/>
      <x:c r="U161" s="101"/>
      <x:c r="V161" s="101"/>
      <x:c r="W161" s="101"/>
      <x:c r="X161" s="101"/>
      <x:c r="Y161" s="101"/>
      <x:c r="Z161" s="101"/>
      <x:c r="AA161" s="101"/>
      <x:c r="AB161" s="101"/>
      <x:c r="AC161" s="101"/>
      <x:c r="AD161" s="101"/>
      <x:c r="AE161" s="101"/>
    </x:row>
    <x:row r="162">
      <x:c r="A162" s="101"/>
      <x:c r="B162" s="101"/>
      <x:c r="C162" s="101"/>
      <x:c r="D162" s="101"/>
      <x:c r="E162" s="101"/>
      <x:c r="F162" s="101"/>
      <x:c r="G162" s="101"/>
      <x:c r="H162" s="101"/>
      <x:c r="I162" s="101"/>
      <x:c r="J162" s="101"/>
      <x:c r="K162" s="101"/>
      <x:c r="L162" s="101"/>
      <x:c r="M162" s="101"/>
      <x:c r="N162" s="101"/>
      <x:c r="O162" s="101"/>
      <x:c r="P162" s="101"/>
      <x:c r="Q162" s="101"/>
      <x:c r="R162" s="101"/>
      <x:c r="S162" s="101"/>
      <x:c r="T162" s="101"/>
      <x:c r="U162" s="101"/>
      <x:c r="V162" s="101"/>
      <x:c r="W162" s="101"/>
      <x:c r="X162" s="101"/>
      <x:c r="Y162" s="101"/>
      <x:c r="Z162" s="101"/>
      <x:c r="AA162" s="101"/>
      <x:c r="AB162" s="101"/>
      <x:c r="AC162" s="101"/>
      <x:c r="AD162" s="101"/>
      <x:c r="AE162" s="101"/>
    </x:row>
    <x:row r="163">
      <x:c r="A163" s="101"/>
      <x:c r="B163" s="101"/>
      <x:c r="C163" s="101"/>
      <x:c r="D163" s="101"/>
      <x:c r="E163" s="101"/>
      <x:c r="F163" s="101"/>
      <x:c r="G163" s="101"/>
      <x:c r="H163" s="101"/>
      <x:c r="I163" s="101"/>
      <x:c r="J163" s="101"/>
      <x:c r="K163" s="101"/>
      <x:c r="L163" s="101"/>
      <x:c r="M163" s="101"/>
      <x:c r="N163" s="101"/>
      <x:c r="O163" s="101"/>
      <x:c r="P163" s="101"/>
      <x:c r="Q163" s="101"/>
      <x:c r="R163" s="101"/>
      <x:c r="S163" s="101"/>
      <x:c r="T163" s="101"/>
      <x:c r="U163" s="101"/>
      <x:c r="V163" s="101"/>
      <x:c r="W163" s="101"/>
      <x:c r="X163" s="101"/>
      <x:c r="Y163" s="101"/>
      <x:c r="Z163" s="101"/>
      <x:c r="AA163" s="101"/>
      <x:c r="AB163" s="101"/>
      <x:c r="AC163" s="101"/>
      <x:c r="AD163" s="101"/>
      <x:c r="AE163" s="101"/>
    </x:row>
    <x:row r="164">
      <x:c r="A164" s="101"/>
      <x:c r="B164" s="101"/>
      <x:c r="C164" s="101"/>
      <x:c r="D164" s="101"/>
      <x:c r="E164" s="101"/>
      <x:c r="F164" s="101"/>
      <x:c r="G164" s="101"/>
      <x:c r="H164" s="101"/>
      <x:c r="I164" s="101"/>
      <x:c r="J164" s="101"/>
      <x:c r="K164" s="101"/>
      <x:c r="L164" s="101"/>
      <x:c r="M164" s="101"/>
      <x:c r="N164" s="101"/>
      <x:c r="O164" s="101"/>
      <x:c r="P164" s="101"/>
      <x:c r="Q164" s="101"/>
      <x:c r="R164" s="101"/>
      <x:c r="S164" s="101"/>
      <x:c r="T164" s="101"/>
      <x:c r="U164" s="101"/>
      <x:c r="V164" s="101"/>
      <x:c r="W164" s="101"/>
      <x:c r="X164" s="101"/>
      <x:c r="Y164" s="101"/>
      <x:c r="Z164" s="101"/>
      <x:c r="AA164" s="101"/>
      <x:c r="AB164" s="101"/>
      <x:c r="AC164" s="101"/>
      <x:c r="AD164" s="101"/>
      <x:c r="AE164" s="101"/>
    </x:row>
    <x:row r="165">
      <x:c r="A165" s="101"/>
      <x:c r="B165" s="101"/>
      <x:c r="C165" s="101"/>
      <x:c r="D165" s="101"/>
      <x:c r="E165" s="101"/>
      <x:c r="F165" s="101"/>
      <x:c r="G165" s="101"/>
      <x:c r="H165" s="101"/>
      <x:c r="I165" s="101"/>
      <x:c r="J165" s="101"/>
      <x:c r="K165" s="101"/>
      <x:c r="L165" s="101"/>
      <x:c r="M165" s="101"/>
      <x:c r="N165" s="101"/>
      <x:c r="O165" s="101"/>
      <x:c r="P165" s="101"/>
      <x:c r="Q165" s="101"/>
      <x:c r="R165" s="101"/>
      <x:c r="S165" s="101"/>
      <x:c r="T165" s="101"/>
      <x:c r="U165" s="101"/>
      <x:c r="V165" s="101"/>
      <x:c r="W165" s="101"/>
      <x:c r="X165" s="101"/>
      <x:c r="Y165" s="101"/>
      <x:c r="Z165" s="101"/>
      <x:c r="AA165" s="101"/>
      <x:c r="AB165" s="101"/>
      <x:c r="AC165" s="101"/>
      <x:c r="AD165" s="101"/>
      <x:c r="AE165" s="101"/>
    </x:row>
    <x:row r="166">
      <x:c r="A166" s="101"/>
      <x:c r="B166" s="101"/>
      <x:c r="C166" s="101"/>
      <x:c r="D166" s="101"/>
      <x:c r="E166" s="101"/>
      <x:c r="F166" s="101"/>
      <x:c r="G166" s="101"/>
      <x:c r="H166" s="101"/>
      <x:c r="I166" s="101"/>
      <x:c r="J166" s="101"/>
      <x:c r="K166" s="101"/>
      <x:c r="L166" s="101"/>
      <x:c r="M166" s="101"/>
      <x:c r="N166" s="101"/>
      <x:c r="O166" s="101"/>
      <x:c r="P166" s="101"/>
      <x:c r="Q166" s="101"/>
      <x:c r="R166" s="101"/>
      <x:c r="S166" s="101"/>
      <x:c r="T166" s="101"/>
      <x:c r="U166" s="101"/>
      <x:c r="V166" s="101"/>
      <x:c r="W166" s="101"/>
      <x:c r="X166" s="101"/>
      <x:c r="Y166" s="101"/>
      <x:c r="Z166" s="101"/>
      <x:c r="AA166" s="101"/>
      <x:c r="AB166" s="101"/>
      <x:c r="AC166" s="101"/>
      <x:c r="AD166" s="101"/>
      <x:c r="AE166" s="101"/>
    </x:row>
    <x:row r="167">
      <x:c r="A167" s="101"/>
      <x:c r="B167" s="101"/>
      <x:c r="C167" s="101"/>
      <x:c r="D167" s="101"/>
      <x:c r="E167" s="101"/>
      <x:c r="F167" s="101"/>
      <x:c r="G167" s="101"/>
      <x:c r="H167" s="101"/>
      <x:c r="I167" s="101"/>
      <x:c r="J167" s="101"/>
      <x:c r="K167" s="101"/>
      <x:c r="L167" s="101"/>
      <x:c r="M167" s="101"/>
      <x:c r="N167" s="101"/>
      <x:c r="O167" s="101"/>
      <x:c r="P167" s="101"/>
      <x:c r="Q167" s="101"/>
      <x:c r="R167" s="101"/>
      <x:c r="S167" s="101"/>
      <x:c r="T167" s="101"/>
      <x:c r="U167" s="101"/>
      <x:c r="V167" s="101"/>
      <x:c r="W167" s="101"/>
      <x:c r="X167" s="101"/>
      <x:c r="Y167" s="101"/>
      <x:c r="Z167" s="101"/>
      <x:c r="AA167" s="101"/>
      <x:c r="AB167" s="101"/>
      <x:c r="AC167" s="101"/>
      <x:c r="AD167" s="101"/>
      <x:c r="AE167" s="101"/>
    </x:row>
    <x:row r="168">
      <x:c r="A168" s="101"/>
      <x:c r="B168" s="101"/>
      <x:c r="C168" s="101"/>
      <x:c r="D168" s="101"/>
      <x:c r="E168" s="101"/>
      <x:c r="F168" s="101"/>
      <x:c r="G168" s="101"/>
      <x:c r="H168" s="101"/>
      <x:c r="I168" s="101"/>
      <x:c r="J168" s="101"/>
      <x:c r="K168" s="101"/>
      <x:c r="L168" s="101"/>
      <x:c r="M168" s="101"/>
      <x:c r="N168" s="101"/>
      <x:c r="O168" s="101"/>
      <x:c r="P168" s="101"/>
      <x:c r="Q168" s="101"/>
      <x:c r="R168" s="101"/>
      <x:c r="S168" s="101"/>
      <x:c r="T168" s="101"/>
      <x:c r="U168" s="101"/>
      <x:c r="V168" s="101"/>
      <x:c r="W168" s="101"/>
      <x:c r="X168" s="101"/>
      <x:c r="Y168" s="101"/>
      <x:c r="Z168" s="101"/>
      <x:c r="AA168" s="101"/>
      <x:c r="AB168" s="101"/>
      <x:c r="AC168" s="101"/>
      <x:c r="AD168" s="101"/>
      <x:c r="AE168" s="101"/>
    </x:row>
    <x:row r="169">
      <x:c r="A169" s="101"/>
      <x:c r="B169" s="101"/>
      <x:c r="C169" s="101"/>
      <x:c r="D169" s="101"/>
      <x:c r="E169" s="101"/>
      <x:c r="F169" s="101"/>
      <x:c r="G169" s="101"/>
      <x:c r="H169" s="101"/>
      <x:c r="I169" s="101"/>
      <x:c r="J169" s="101"/>
      <x:c r="K169" s="101"/>
      <x:c r="L169" s="101"/>
      <x:c r="M169" s="101"/>
      <x:c r="N169" s="101"/>
      <x:c r="O169" s="101"/>
      <x:c r="P169" s="101"/>
      <x:c r="Q169" s="101"/>
      <x:c r="R169" s="101"/>
      <x:c r="S169" s="101"/>
      <x:c r="T169" s="101"/>
      <x:c r="U169" s="101"/>
      <x:c r="V169" s="101"/>
      <x:c r="W169" s="101"/>
      <x:c r="X169" s="101"/>
      <x:c r="Y169" s="101"/>
      <x:c r="Z169" s="101"/>
      <x:c r="AA169" s="101"/>
      <x:c r="AB169" s="101"/>
      <x:c r="AC169" s="101"/>
      <x:c r="AD169" s="101"/>
      <x:c r="AE169" s="101"/>
    </x:row>
    <x:row r="170">
      <x:c r="A170" s="101"/>
      <x:c r="B170" s="101"/>
      <x:c r="C170" s="101"/>
      <x:c r="D170" s="101"/>
      <x:c r="E170" s="101"/>
      <x:c r="F170" s="101"/>
      <x:c r="G170" s="101"/>
      <x:c r="H170" s="101"/>
      <x:c r="I170" s="101"/>
      <x:c r="J170" s="101"/>
      <x:c r="K170" s="101"/>
      <x:c r="L170" s="101"/>
      <x:c r="M170" s="101"/>
      <x:c r="N170" s="101"/>
      <x:c r="O170" s="101"/>
      <x:c r="P170" s="101"/>
      <x:c r="Q170" s="101"/>
      <x:c r="R170" s="101"/>
      <x:c r="S170" s="101"/>
      <x:c r="T170" s="101"/>
      <x:c r="U170" s="101"/>
      <x:c r="V170" s="101"/>
      <x:c r="W170" s="101"/>
      <x:c r="X170" s="101"/>
      <x:c r="Y170" s="101"/>
      <x:c r="Z170" s="101"/>
      <x:c r="AA170" s="101"/>
      <x:c r="AB170" s="101"/>
      <x:c r="AC170" s="101"/>
      <x:c r="AD170" s="101"/>
      <x:c r="AE170" s="101"/>
    </x:row>
    <x:row r="171">
      <x:c r="A171" s="101"/>
      <x:c r="B171" s="101"/>
      <x:c r="C171" s="101"/>
      <x:c r="D171" s="101"/>
      <x:c r="E171" s="101"/>
      <x:c r="F171" s="101"/>
      <x:c r="G171" s="101"/>
      <x:c r="H171" s="101"/>
      <x:c r="I171" s="101"/>
      <x:c r="J171" s="101"/>
      <x:c r="K171" s="101"/>
      <x:c r="L171" s="101"/>
      <x:c r="M171" s="101"/>
      <x:c r="N171" s="101"/>
      <x:c r="O171" s="101"/>
      <x:c r="P171" s="101"/>
      <x:c r="Q171" s="101"/>
      <x:c r="R171" s="101"/>
      <x:c r="S171" s="101"/>
      <x:c r="T171" s="101"/>
      <x:c r="U171" s="101"/>
      <x:c r="V171" s="101"/>
      <x:c r="W171" s="101"/>
      <x:c r="X171" s="101"/>
      <x:c r="Y171" s="101"/>
      <x:c r="Z171" s="101"/>
      <x:c r="AA171" s="101"/>
      <x:c r="AB171" s="101"/>
      <x:c r="AC171" s="101"/>
      <x:c r="AD171" s="101"/>
      <x:c r="AE171" s="101"/>
    </x:row>
    <x:row r="172">
      <x:c r="A172" s="101"/>
      <x:c r="B172" s="101"/>
      <x:c r="C172" s="101"/>
      <x:c r="D172" s="101"/>
      <x:c r="E172" s="101"/>
      <x:c r="F172" s="101"/>
      <x:c r="G172" s="101"/>
      <x:c r="H172" s="101"/>
      <x:c r="I172" s="101"/>
      <x:c r="J172" s="101"/>
      <x:c r="K172" s="101"/>
      <x:c r="L172" s="101"/>
      <x:c r="M172" s="101"/>
      <x:c r="N172" s="101"/>
      <x:c r="O172" s="101"/>
      <x:c r="P172" s="101"/>
      <x:c r="Q172" s="101"/>
      <x:c r="R172" s="101"/>
      <x:c r="S172" s="101"/>
      <x:c r="T172" s="101"/>
      <x:c r="U172" s="101"/>
      <x:c r="V172" s="101"/>
      <x:c r="W172" s="101"/>
      <x:c r="X172" s="101"/>
      <x:c r="Y172" s="101"/>
      <x:c r="Z172" s="101"/>
      <x:c r="AA172" s="101"/>
      <x:c r="AB172" s="101"/>
      <x:c r="AC172" s="101"/>
      <x:c r="AD172" s="101"/>
      <x:c r="AE172" s="101"/>
    </x:row>
    <x:row r="173">
      <x:c r="A173" s="101"/>
      <x:c r="B173" s="101"/>
      <x:c r="C173" s="101"/>
      <x:c r="D173" s="101"/>
      <x:c r="E173" s="101"/>
      <x:c r="F173" s="101"/>
      <x:c r="G173" s="101"/>
      <x:c r="H173" s="101"/>
      <x:c r="I173" s="101"/>
      <x:c r="J173" s="101"/>
      <x:c r="K173" s="101"/>
      <x:c r="L173" s="101"/>
      <x:c r="M173" s="101"/>
      <x:c r="N173" s="101"/>
      <x:c r="O173" s="101"/>
      <x:c r="P173" s="101"/>
      <x:c r="Q173" s="101"/>
      <x:c r="R173" s="101"/>
      <x:c r="S173" s="101"/>
      <x:c r="T173" s="101"/>
      <x:c r="U173" s="101"/>
      <x:c r="V173" s="101"/>
      <x:c r="W173" s="101"/>
      <x:c r="X173" s="101"/>
      <x:c r="Y173" s="101"/>
      <x:c r="Z173" s="101"/>
      <x:c r="AA173" s="101"/>
      <x:c r="AB173" s="101"/>
      <x:c r="AC173" s="101"/>
      <x:c r="AD173" s="101"/>
      <x:c r="AE173" s="101"/>
    </x:row>
    <x:row r="174">
      <x:c r="A174" s="101"/>
      <x:c r="B174" s="101"/>
      <x:c r="C174" s="101"/>
      <x:c r="D174" s="101"/>
      <x:c r="E174" s="101"/>
      <x:c r="F174" s="101"/>
      <x:c r="G174" s="101"/>
      <x:c r="H174" s="101"/>
      <x:c r="I174" s="101"/>
      <x:c r="J174" s="101"/>
      <x:c r="K174" s="101"/>
      <x:c r="L174" s="101"/>
      <x:c r="M174" s="101"/>
      <x:c r="N174" s="101"/>
      <x:c r="O174" s="101"/>
      <x:c r="P174" s="101"/>
      <x:c r="Q174" s="101"/>
      <x:c r="R174" s="101"/>
      <x:c r="S174" s="101"/>
      <x:c r="T174" s="101"/>
      <x:c r="U174" s="101"/>
      <x:c r="V174" s="101"/>
      <x:c r="W174" s="101"/>
      <x:c r="X174" s="101"/>
      <x:c r="Y174" s="101"/>
      <x:c r="Z174" s="101"/>
      <x:c r="AA174" s="101"/>
      <x:c r="AB174" s="101"/>
      <x:c r="AC174" s="101"/>
      <x:c r="AD174" s="101"/>
      <x:c r="AE174" s="101"/>
    </x:row>
    <x:row r="175">
      <x:c r="A175" s="101"/>
      <x:c r="B175" s="101"/>
      <x:c r="C175" s="101"/>
      <x:c r="D175" s="101"/>
      <x:c r="E175" s="101"/>
      <x:c r="F175" s="101"/>
      <x:c r="G175" s="101"/>
      <x:c r="H175" s="101"/>
      <x:c r="I175" s="101"/>
      <x:c r="J175" s="101"/>
      <x:c r="K175" s="101"/>
      <x:c r="L175" s="101"/>
      <x:c r="M175" s="101"/>
      <x:c r="N175" s="101"/>
      <x:c r="O175" s="101"/>
      <x:c r="P175" s="101"/>
      <x:c r="Q175" s="101"/>
      <x:c r="R175" s="101"/>
      <x:c r="S175" s="101"/>
      <x:c r="T175" s="101"/>
      <x:c r="U175" s="101"/>
      <x:c r="V175" s="101"/>
      <x:c r="W175" s="101"/>
      <x:c r="X175" s="101"/>
      <x:c r="Y175" s="101"/>
      <x:c r="Z175" s="101"/>
      <x:c r="AA175" s="101"/>
      <x:c r="AB175" s="101"/>
      <x:c r="AC175" s="101"/>
      <x:c r="AD175" s="101"/>
      <x:c r="AE175" s="101"/>
    </x:row>
    <x:row r="176">
      <x:c r="A176" s="101"/>
      <x:c r="B176" s="101"/>
      <x:c r="C176" s="101"/>
      <x:c r="D176" s="101"/>
      <x:c r="E176" s="101"/>
      <x:c r="F176" s="101"/>
      <x:c r="G176" s="101"/>
      <x:c r="H176" s="101"/>
      <x:c r="I176" s="101"/>
      <x:c r="J176" s="101"/>
      <x:c r="K176" s="101"/>
      <x:c r="L176" s="101"/>
      <x:c r="M176" s="101"/>
      <x:c r="N176" s="101"/>
      <x:c r="O176" s="101"/>
      <x:c r="P176" s="101"/>
      <x:c r="Q176" s="101"/>
      <x:c r="R176" s="101"/>
      <x:c r="S176" s="101"/>
      <x:c r="T176" s="101"/>
      <x:c r="U176" s="101"/>
      <x:c r="V176" s="101"/>
      <x:c r="W176" s="101"/>
      <x:c r="X176" s="101"/>
      <x:c r="Y176" s="101"/>
      <x:c r="Z176" s="101"/>
      <x:c r="AA176" s="101"/>
      <x:c r="AB176" s="101"/>
      <x:c r="AC176" s="101"/>
      <x:c r="AD176" s="101"/>
      <x:c r="AE176" s="101"/>
    </x:row>
    <x:row r="177">
      <x:c r="A177" s="101"/>
      <x:c r="B177" s="101"/>
      <x:c r="C177" s="101"/>
      <x:c r="D177" s="101"/>
      <x:c r="E177" s="101"/>
      <x:c r="F177" s="101"/>
      <x:c r="G177" s="101"/>
      <x:c r="H177" s="101"/>
      <x:c r="I177" s="101"/>
      <x:c r="J177" s="101"/>
      <x:c r="K177" s="101"/>
      <x:c r="L177" s="101"/>
      <x:c r="M177" s="101"/>
      <x:c r="N177" s="101"/>
      <x:c r="O177" s="101"/>
      <x:c r="P177" s="101"/>
      <x:c r="Q177" s="101"/>
      <x:c r="R177" s="101"/>
      <x:c r="S177" s="101"/>
      <x:c r="T177" s="101"/>
      <x:c r="U177" s="101"/>
      <x:c r="V177" s="101"/>
      <x:c r="W177" s="101"/>
      <x:c r="X177" s="101"/>
      <x:c r="Y177" s="101"/>
      <x:c r="Z177" s="101"/>
      <x:c r="AA177" s="101"/>
      <x:c r="AB177" s="101"/>
      <x:c r="AC177" s="101"/>
      <x:c r="AD177" s="101"/>
      <x:c r="AE177" s="101"/>
    </x:row>
    <x:row r="178">
      <x:c r="A178" s="101"/>
      <x:c r="B178" s="101"/>
      <x:c r="C178" s="101"/>
      <x:c r="D178" s="101"/>
      <x:c r="E178" s="101"/>
      <x:c r="F178" s="101"/>
      <x:c r="G178" s="101"/>
      <x:c r="H178" s="101"/>
      <x:c r="I178" s="101"/>
      <x:c r="J178" s="101"/>
      <x:c r="K178" s="101"/>
      <x:c r="L178" s="101"/>
      <x:c r="M178" s="101"/>
      <x:c r="N178" s="101"/>
      <x:c r="O178" s="101"/>
      <x:c r="P178" s="101"/>
      <x:c r="Q178" s="101"/>
      <x:c r="R178" s="101"/>
      <x:c r="S178" s="101"/>
      <x:c r="T178" s="101"/>
      <x:c r="U178" s="101"/>
      <x:c r="V178" s="101"/>
      <x:c r="W178" s="101"/>
      <x:c r="X178" s="101"/>
      <x:c r="Y178" s="101"/>
      <x:c r="Z178" s="101"/>
      <x:c r="AA178" s="101"/>
      <x:c r="AB178" s="101"/>
      <x:c r="AC178" s="101"/>
      <x:c r="AD178" s="101"/>
      <x:c r="AE178" s="101"/>
    </x:row>
    <x:row r="179">
      <x:c r="A179" s="101"/>
      <x:c r="B179" s="101"/>
      <x:c r="C179" s="101"/>
      <x:c r="D179" s="101"/>
      <x:c r="E179" s="101"/>
      <x:c r="F179" s="101"/>
      <x:c r="G179" s="101"/>
      <x:c r="H179" s="101"/>
      <x:c r="I179" s="101"/>
      <x:c r="J179" s="101"/>
      <x:c r="K179" s="101"/>
      <x:c r="L179" s="101"/>
      <x:c r="M179" s="101"/>
      <x:c r="N179" s="101"/>
      <x:c r="O179" s="101"/>
      <x:c r="P179" s="101"/>
      <x:c r="Q179" s="101"/>
      <x:c r="R179" s="101"/>
      <x:c r="S179" s="101"/>
      <x:c r="T179" s="101"/>
      <x:c r="U179" s="101"/>
      <x:c r="V179" s="101"/>
      <x:c r="W179" s="101"/>
      <x:c r="X179" s="101"/>
      <x:c r="Y179" s="101"/>
      <x:c r="Z179" s="101"/>
      <x:c r="AA179" s="101"/>
      <x:c r="AB179" s="101"/>
      <x:c r="AC179" s="101"/>
      <x:c r="AD179" s="101"/>
      <x:c r="AE179" s="101"/>
    </x:row>
    <x:row r="180">
      <x:c r="A180" s="101"/>
      <x:c r="B180" s="101"/>
      <x:c r="C180" s="101"/>
      <x:c r="D180" s="101"/>
      <x:c r="E180" s="101"/>
      <x:c r="F180" s="101"/>
      <x:c r="G180" s="101"/>
      <x:c r="H180" s="101"/>
      <x:c r="I180" s="101"/>
      <x:c r="J180" s="101"/>
      <x:c r="K180" s="101"/>
      <x:c r="L180" s="101"/>
      <x:c r="M180" s="101"/>
      <x:c r="N180" s="101"/>
      <x:c r="O180" s="101"/>
      <x:c r="P180" s="101"/>
      <x:c r="Q180" s="101"/>
      <x:c r="R180" s="101"/>
      <x:c r="S180" s="101"/>
      <x:c r="T180" s="101"/>
      <x:c r="U180" s="101"/>
      <x:c r="V180" s="101"/>
      <x:c r="W180" s="101"/>
      <x:c r="X180" s="101"/>
      <x:c r="Y180" s="101"/>
      <x:c r="Z180" s="101"/>
      <x:c r="AA180" s="101"/>
      <x:c r="AB180" s="101"/>
      <x:c r="AC180" s="101"/>
      <x:c r="AD180" s="101"/>
      <x:c r="AE180" s="101"/>
    </x:row>
    <x:row r="181">
      <x:c r="A181" s="101"/>
      <x:c r="B181" s="101"/>
      <x:c r="C181" s="101"/>
      <x:c r="D181" s="101"/>
      <x:c r="E181" s="101"/>
      <x:c r="F181" s="101"/>
      <x:c r="G181" s="101"/>
      <x:c r="H181" s="101"/>
      <x:c r="I181" s="101"/>
      <x:c r="J181" s="101"/>
      <x:c r="K181" s="101"/>
      <x:c r="L181" s="101"/>
      <x:c r="M181" s="101"/>
      <x:c r="N181" s="101"/>
      <x:c r="O181" s="101"/>
      <x:c r="P181" s="101"/>
      <x:c r="Q181" s="101"/>
      <x:c r="R181" s="101"/>
      <x:c r="S181" s="101"/>
      <x:c r="T181" s="101"/>
      <x:c r="U181" s="101"/>
      <x:c r="V181" s="101"/>
      <x:c r="W181" s="101"/>
      <x:c r="X181" s="101"/>
      <x:c r="Y181" s="101"/>
      <x:c r="Z181" s="101"/>
      <x:c r="AA181" s="101"/>
      <x:c r="AB181" s="101"/>
      <x:c r="AC181" s="101"/>
      <x:c r="AD181" s="101"/>
      <x:c r="AE181" s="101"/>
    </x:row>
    <x:row r="182">
      <x:c r="A182" s="101"/>
      <x:c r="B182" s="101"/>
      <x:c r="C182" s="101"/>
      <x:c r="D182" s="101"/>
      <x:c r="E182" s="101"/>
      <x:c r="F182" s="101"/>
      <x:c r="G182" s="101"/>
      <x:c r="H182" s="101"/>
      <x:c r="I182" s="101"/>
      <x:c r="J182" s="101"/>
      <x:c r="K182" s="101"/>
      <x:c r="L182" s="101"/>
      <x:c r="M182" s="101"/>
      <x:c r="N182" s="101"/>
      <x:c r="O182" s="101"/>
      <x:c r="P182" s="101"/>
      <x:c r="Q182" s="101"/>
      <x:c r="R182" s="101"/>
      <x:c r="S182" s="101"/>
      <x:c r="T182" s="101"/>
      <x:c r="U182" s="101"/>
      <x:c r="V182" s="101"/>
      <x:c r="W182" s="101"/>
      <x:c r="X182" s="101"/>
      <x:c r="Y182" s="101"/>
      <x:c r="Z182" s="101"/>
      <x:c r="AA182" s="101"/>
      <x:c r="AB182" s="101"/>
      <x:c r="AC182" s="101"/>
      <x:c r="AD182" s="101"/>
      <x:c r="AE182" s="101"/>
    </x:row>
    <x:row r="183">
      <x:c r="A183" s="101"/>
      <x:c r="B183" s="101"/>
      <x:c r="C183" s="101"/>
      <x:c r="D183" s="101"/>
      <x:c r="E183" s="101"/>
      <x:c r="F183" s="101"/>
      <x:c r="G183" s="101"/>
      <x:c r="H183" s="101"/>
      <x:c r="I183" s="101"/>
      <x:c r="J183" s="101"/>
      <x:c r="K183" s="101"/>
      <x:c r="L183" s="101"/>
      <x:c r="M183" s="101"/>
      <x:c r="N183" s="101"/>
      <x:c r="O183" s="101"/>
      <x:c r="P183" s="101"/>
      <x:c r="Q183" s="101"/>
      <x:c r="R183" s="101"/>
      <x:c r="S183" s="101"/>
      <x:c r="T183" s="101"/>
      <x:c r="U183" s="101"/>
      <x:c r="V183" s="101"/>
      <x:c r="W183" s="101"/>
      <x:c r="X183" s="101"/>
      <x:c r="Y183" s="101"/>
      <x:c r="Z183" s="101"/>
      <x:c r="AA183" s="101"/>
      <x:c r="AB183" s="101"/>
      <x:c r="AC183" s="101"/>
      <x:c r="AD183" s="101"/>
      <x:c r="AE183" s="101"/>
    </x:row>
    <x:row r="184">
      <x:c r="A184" s="101"/>
      <x:c r="B184" s="101"/>
      <x:c r="C184" s="101"/>
      <x:c r="D184" s="101"/>
      <x:c r="E184" s="101"/>
      <x:c r="F184" s="101"/>
      <x:c r="G184" s="101"/>
      <x:c r="H184" s="101"/>
      <x:c r="I184" s="101"/>
      <x:c r="J184" s="101"/>
      <x:c r="K184" s="101"/>
      <x:c r="L184" s="101"/>
      <x:c r="M184" s="101"/>
      <x:c r="N184" s="101"/>
      <x:c r="O184" s="101"/>
      <x:c r="P184" s="101"/>
      <x:c r="Q184" s="101"/>
      <x:c r="R184" s="101"/>
      <x:c r="S184" s="101"/>
      <x:c r="T184" s="101"/>
      <x:c r="U184" s="101"/>
      <x:c r="V184" s="101"/>
      <x:c r="W184" s="101"/>
      <x:c r="X184" s="101"/>
      <x:c r="Y184" s="101"/>
      <x:c r="Z184" s="101"/>
      <x:c r="AA184" s="101"/>
      <x:c r="AB184" s="101"/>
      <x:c r="AC184" s="101"/>
      <x:c r="AD184" s="101"/>
      <x:c r="AE184" s="101"/>
    </x:row>
    <x:row r="185">
      <x:c r="A185" s="101"/>
      <x:c r="B185" s="101"/>
      <x:c r="C185" s="101"/>
      <x:c r="D185" s="101"/>
      <x:c r="E185" s="101"/>
      <x:c r="F185" s="101"/>
      <x:c r="G185" s="101"/>
      <x:c r="H185" s="101"/>
      <x:c r="I185" s="101"/>
      <x:c r="J185" s="101"/>
      <x:c r="K185" s="101"/>
      <x:c r="L185" s="101"/>
      <x:c r="M185" s="101"/>
      <x:c r="N185" s="101"/>
      <x:c r="O185" s="101"/>
      <x:c r="P185" s="101"/>
      <x:c r="Q185" s="101"/>
      <x:c r="R185" s="101"/>
      <x:c r="S185" s="101"/>
      <x:c r="T185" s="101"/>
      <x:c r="U185" s="101"/>
      <x:c r="V185" s="101"/>
      <x:c r="W185" s="101"/>
      <x:c r="X185" s="101"/>
      <x:c r="Y185" s="101"/>
      <x:c r="Z185" s="101"/>
      <x:c r="AA185" s="101"/>
      <x:c r="AB185" s="101"/>
      <x:c r="AC185" s="101"/>
      <x:c r="AD185" s="101"/>
      <x:c r="AE185" s="101"/>
    </x:row>
    <x:row r="186">
      <x:c r="A186" s="101"/>
      <x:c r="B186" s="101"/>
      <x:c r="C186" s="101"/>
      <x:c r="D186" s="101"/>
      <x:c r="E186" s="101"/>
      <x:c r="F186" s="101"/>
      <x:c r="G186" s="101"/>
      <x:c r="H186" s="101"/>
      <x:c r="I186" s="101"/>
      <x:c r="J186" s="101"/>
      <x:c r="K186" s="101"/>
      <x:c r="L186" s="101"/>
      <x:c r="M186" s="101"/>
      <x:c r="N186" s="101"/>
      <x:c r="O186" s="101"/>
      <x:c r="P186" s="101"/>
      <x:c r="Q186" s="101"/>
      <x:c r="R186" s="101"/>
      <x:c r="S186" s="101"/>
      <x:c r="T186" s="101"/>
      <x:c r="U186" s="101"/>
      <x:c r="V186" s="101"/>
      <x:c r="W186" s="101"/>
      <x:c r="X186" s="101"/>
      <x:c r="Y186" s="101"/>
      <x:c r="Z186" s="101"/>
      <x:c r="AA186" s="101"/>
      <x:c r="AB186" s="101"/>
      <x:c r="AC186" s="101"/>
      <x:c r="AD186" s="101"/>
      <x:c r="AE186" s="101"/>
    </x:row>
    <x:row r="187">
      <x:c r="A187" s="101"/>
      <x:c r="B187" s="101"/>
      <x:c r="C187" s="101"/>
      <x:c r="D187" s="101"/>
      <x:c r="E187" s="101"/>
      <x:c r="F187" s="101"/>
      <x:c r="G187" s="101"/>
      <x:c r="H187" s="101"/>
      <x:c r="I187" s="101"/>
      <x:c r="J187" s="101"/>
      <x:c r="K187" s="101"/>
      <x:c r="L187" s="101"/>
      <x:c r="M187" s="101"/>
      <x:c r="N187" s="101"/>
      <x:c r="O187" s="101"/>
      <x:c r="P187" s="101"/>
      <x:c r="Q187" s="101"/>
      <x:c r="R187" s="101"/>
      <x:c r="S187" s="101"/>
      <x:c r="T187" s="101"/>
      <x:c r="U187" s="101"/>
      <x:c r="V187" s="101"/>
      <x:c r="W187" s="101"/>
      <x:c r="X187" s="101"/>
      <x:c r="Y187" s="101"/>
      <x:c r="Z187" s="101"/>
      <x:c r="AA187" s="101"/>
      <x:c r="AB187" s="101"/>
      <x:c r="AC187" s="101"/>
      <x:c r="AD187" s="101"/>
      <x:c r="AE187" s="101"/>
    </x:row>
    <x:row r="188">
      <x:c r="A188" s="101"/>
      <x:c r="B188" s="101"/>
      <x:c r="C188" s="101"/>
      <x:c r="D188" s="101"/>
      <x:c r="E188" s="101"/>
      <x:c r="F188" s="101"/>
      <x:c r="G188" s="101"/>
      <x:c r="H188" s="101"/>
      <x:c r="I188" s="101"/>
      <x:c r="J188" s="101"/>
      <x:c r="K188" s="101"/>
      <x:c r="L188" s="101"/>
      <x:c r="M188" s="101"/>
      <x:c r="N188" s="101"/>
      <x:c r="O188" s="101"/>
      <x:c r="P188" s="101"/>
      <x:c r="Q188" s="101"/>
      <x:c r="R188" s="101"/>
      <x:c r="S188" s="101"/>
      <x:c r="T188" s="101"/>
      <x:c r="U188" s="101"/>
      <x:c r="V188" s="101"/>
      <x:c r="W188" s="101"/>
      <x:c r="X188" s="101"/>
      <x:c r="Y188" s="101"/>
      <x:c r="Z188" s="101"/>
      <x:c r="AA188" s="101"/>
      <x:c r="AB188" s="101"/>
      <x:c r="AC188" s="101"/>
      <x:c r="AD188" s="101"/>
      <x:c r="AE188" s="101"/>
    </x:row>
    <x:row r="189">
      <x:c r="A189" s="101"/>
      <x:c r="B189" s="101"/>
      <x:c r="C189" s="101"/>
      <x:c r="D189" s="101"/>
      <x:c r="E189" s="101"/>
      <x:c r="F189" s="101"/>
      <x:c r="G189" s="101"/>
      <x:c r="H189" s="101"/>
      <x:c r="I189" s="101"/>
      <x:c r="J189" s="101"/>
      <x:c r="K189" s="101"/>
      <x:c r="L189" s="101"/>
      <x:c r="M189" s="101"/>
      <x:c r="N189" s="101"/>
      <x:c r="O189" s="101"/>
      <x:c r="P189" s="101"/>
      <x:c r="Q189" s="101"/>
      <x:c r="R189" s="101"/>
      <x:c r="S189" s="101"/>
      <x:c r="T189" s="101"/>
      <x:c r="U189" s="101"/>
      <x:c r="V189" s="101"/>
      <x:c r="W189" s="101"/>
      <x:c r="X189" s="101"/>
      <x:c r="Y189" s="101"/>
      <x:c r="Z189" s="101"/>
      <x:c r="AA189" s="101"/>
      <x:c r="AB189" s="101"/>
      <x:c r="AC189" s="101"/>
      <x:c r="AD189" s="101"/>
      <x:c r="AE189" s="101"/>
    </x:row>
    <x:row r="190">
      <x:c r="A190" s="101"/>
      <x:c r="B190" s="101"/>
      <x:c r="C190" s="101"/>
      <x:c r="D190" s="101"/>
      <x:c r="E190" s="101"/>
      <x:c r="F190" s="101"/>
      <x:c r="G190" s="101"/>
      <x:c r="H190" s="101"/>
      <x:c r="I190" s="101"/>
      <x:c r="J190" s="101"/>
      <x:c r="K190" s="101"/>
      <x:c r="L190" s="101"/>
      <x:c r="M190" s="101"/>
      <x:c r="N190" s="101"/>
      <x:c r="O190" s="101"/>
      <x:c r="P190" s="101"/>
      <x:c r="Q190" s="101"/>
      <x:c r="R190" s="101"/>
      <x:c r="S190" s="101"/>
      <x:c r="T190" s="101"/>
      <x:c r="U190" s="101"/>
      <x:c r="V190" s="101"/>
      <x:c r="W190" s="101"/>
      <x:c r="X190" s="101"/>
      <x:c r="Y190" s="101"/>
      <x:c r="Z190" s="101"/>
      <x:c r="AA190" s="101"/>
      <x:c r="AB190" s="101"/>
      <x:c r="AC190" s="101"/>
      <x:c r="AD190" s="101"/>
      <x:c r="AE190" s="101"/>
    </x:row>
    <x:row r="191">
      <x:c r="A191" s="101"/>
      <x:c r="B191" s="101"/>
      <x:c r="C191" s="101"/>
      <x:c r="D191" s="101"/>
      <x:c r="E191" s="101"/>
      <x:c r="F191" s="101"/>
      <x:c r="G191" s="101"/>
      <x:c r="H191" s="101"/>
      <x:c r="I191" s="101"/>
      <x:c r="J191" s="101"/>
      <x:c r="K191" s="101"/>
      <x:c r="L191" s="101"/>
      <x:c r="M191" s="101"/>
      <x:c r="N191" s="101"/>
      <x:c r="O191" s="101"/>
      <x:c r="P191" s="101"/>
      <x:c r="Q191" s="101"/>
      <x:c r="R191" s="101"/>
      <x:c r="S191" s="101"/>
      <x:c r="T191" s="101"/>
      <x:c r="U191" s="101"/>
      <x:c r="V191" s="101"/>
      <x:c r="W191" s="101"/>
      <x:c r="X191" s="101"/>
      <x:c r="Y191" s="101"/>
      <x:c r="Z191" s="101"/>
      <x:c r="AA191" s="101"/>
      <x:c r="AB191" s="101"/>
      <x:c r="AC191" s="101"/>
      <x:c r="AD191" s="101"/>
      <x:c r="AE191" s="101"/>
    </x:row>
    <x:row r="192">
      <x:c r="A192" s="101"/>
      <x:c r="B192" s="101"/>
      <x:c r="C192" s="101"/>
      <x:c r="D192" s="101"/>
      <x:c r="E192" s="101"/>
      <x:c r="F192" s="101"/>
      <x:c r="G192" s="101"/>
      <x:c r="H192" s="101"/>
      <x:c r="I192" s="101"/>
      <x:c r="J192" s="101"/>
      <x:c r="K192" s="101"/>
      <x:c r="L192" s="101"/>
      <x:c r="M192" s="101"/>
      <x:c r="N192" s="101"/>
      <x:c r="O192" s="101"/>
      <x:c r="P192" s="101"/>
      <x:c r="Q192" s="101"/>
      <x:c r="R192" s="101"/>
      <x:c r="S192" s="101"/>
      <x:c r="T192" s="101"/>
      <x:c r="U192" s="101"/>
      <x:c r="V192" s="101"/>
      <x:c r="W192" s="101"/>
      <x:c r="X192" s="101"/>
      <x:c r="Y192" s="101"/>
      <x:c r="Z192" s="101"/>
      <x:c r="AA192" s="101"/>
      <x:c r="AB192" s="101"/>
      <x:c r="AC192" s="101"/>
      <x:c r="AD192" s="101"/>
      <x:c r="AE192" s="101"/>
    </x:row>
    <x:row r="193">
      <x:c r="A193" s="101"/>
      <x:c r="B193" s="101"/>
      <x:c r="C193" s="101"/>
      <x:c r="D193" s="101"/>
      <x:c r="E193" s="101"/>
      <x:c r="F193" s="101"/>
      <x:c r="G193" s="101"/>
      <x:c r="H193" s="101"/>
      <x:c r="I193" s="101"/>
      <x:c r="J193" s="101"/>
      <x:c r="K193" s="101"/>
      <x:c r="L193" s="101"/>
      <x:c r="M193" s="101"/>
      <x:c r="N193" s="101"/>
      <x:c r="O193" s="101"/>
      <x:c r="P193" s="101"/>
      <x:c r="Q193" s="101"/>
      <x:c r="R193" s="101"/>
      <x:c r="S193" s="101"/>
      <x:c r="T193" s="101"/>
      <x:c r="U193" s="101"/>
      <x:c r="V193" s="101"/>
      <x:c r="W193" s="101"/>
      <x:c r="X193" s="101"/>
      <x:c r="Y193" s="101"/>
      <x:c r="Z193" s="101"/>
      <x:c r="AA193" s="101"/>
      <x:c r="AB193" s="101"/>
      <x:c r="AC193" s="101"/>
      <x:c r="AD193" s="101"/>
      <x:c r="AE193" s="101"/>
    </x:row>
    <x:row r="194">
      <x:c r="A194" s="101"/>
      <x:c r="B194" s="101"/>
      <x:c r="C194" s="101"/>
      <x:c r="D194" s="101"/>
      <x:c r="E194" s="101"/>
      <x:c r="F194" s="101"/>
      <x:c r="G194" s="101"/>
      <x:c r="H194" s="101"/>
      <x:c r="I194" s="101"/>
      <x:c r="J194" s="101"/>
      <x:c r="K194" s="101"/>
      <x:c r="L194" s="101"/>
      <x:c r="M194" s="101"/>
      <x:c r="N194" s="101"/>
      <x:c r="O194" s="101"/>
      <x:c r="P194" s="101"/>
      <x:c r="Q194" s="101"/>
      <x:c r="R194" s="101"/>
      <x:c r="S194" s="101"/>
      <x:c r="T194" s="101"/>
      <x:c r="U194" s="101"/>
      <x:c r="V194" s="101"/>
      <x:c r="W194" s="101"/>
      <x:c r="X194" s="101"/>
      <x:c r="Y194" s="101"/>
      <x:c r="Z194" s="101"/>
      <x:c r="AA194" s="101"/>
      <x:c r="AB194" s="101"/>
      <x:c r="AC194" s="101"/>
      <x:c r="AD194" s="101"/>
      <x:c r="AE194" s="101"/>
    </x:row>
    <x:row r="195">
      <x:c r="A195" s="101"/>
      <x:c r="B195" s="101"/>
      <x:c r="C195" s="101"/>
      <x:c r="D195" s="101"/>
      <x:c r="E195" s="101"/>
      <x:c r="F195" s="101"/>
      <x:c r="G195" s="101"/>
      <x:c r="H195" s="101"/>
      <x:c r="I195" s="101"/>
      <x:c r="J195" s="101"/>
      <x:c r="K195" s="101"/>
      <x:c r="L195" s="101"/>
      <x:c r="M195" s="101"/>
      <x:c r="N195" s="101"/>
      <x:c r="O195" s="101"/>
      <x:c r="P195" s="101"/>
      <x:c r="Q195" s="101"/>
      <x:c r="R195" s="101"/>
      <x:c r="S195" s="101"/>
      <x:c r="T195" s="101"/>
      <x:c r="U195" s="101"/>
      <x:c r="V195" s="101"/>
      <x:c r="W195" s="101"/>
      <x:c r="X195" s="101"/>
      <x:c r="Y195" s="101"/>
      <x:c r="Z195" s="101"/>
      <x:c r="AA195" s="101"/>
      <x:c r="AB195" s="101"/>
      <x:c r="AC195" s="101"/>
      <x:c r="AD195" s="101"/>
      <x:c r="AE195" s="101"/>
    </x:row>
    <x:row r="196">
      <x:c r="A196" s="101"/>
      <x:c r="B196" s="101"/>
      <x:c r="C196" s="101"/>
      <x:c r="D196" s="101"/>
      <x:c r="E196" s="101"/>
      <x:c r="F196" s="101"/>
      <x:c r="G196" s="101"/>
      <x:c r="H196" s="101"/>
      <x:c r="I196" s="101"/>
      <x:c r="J196" s="101"/>
      <x:c r="K196" s="101"/>
      <x:c r="L196" s="101"/>
      <x:c r="M196" s="101"/>
      <x:c r="N196" s="101"/>
      <x:c r="O196" s="101"/>
      <x:c r="P196" s="101"/>
      <x:c r="Q196" s="101"/>
      <x:c r="R196" s="101"/>
      <x:c r="S196" s="101"/>
      <x:c r="T196" s="101"/>
      <x:c r="U196" s="101"/>
      <x:c r="V196" s="101"/>
      <x:c r="W196" s="101"/>
      <x:c r="X196" s="101"/>
      <x:c r="Y196" s="101"/>
      <x:c r="Z196" s="101"/>
      <x:c r="AA196" s="101"/>
      <x:c r="AB196" s="101"/>
      <x:c r="AC196" s="101"/>
      <x:c r="AD196" s="101"/>
      <x:c r="AE196" s="101"/>
    </x:row>
    <x:row r="197">
      <x:c r="A197" s="101"/>
      <x:c r="B197" s="101"/>
      <x:c r="C197" s="101"/>
      <x:c r="D197" s="101"/>
      <x:c r="E197" s="101"/>
      <x:c r="F197" s="101"/>
      <x:c r="G197" s="101"/>
      <x:c r="H197" s="101"/>
      <x:c r="I197" s="101"/>
      <x:c r="J197" s="101"/>
      <x:c r="K197" s="101"/>
      <x:c r="L197" s="101"/>
      <x:c r="M197" s="101"/>
      <x:c r="N197" s="101"/>
      <x:c r="O197" s="101"/>
      <x:c r="P197" s="101"/>
      <x:c r="Q197" s="101"/>
      <x:c r="R197" s="101"/>
      <x:c r="S197" s="101"/>
      <x:c r="T197" s="101"/>
      <x:c r="U197" s="101"/>
      <x:c r="V197" s="101"/>
      <x:c r="W197" s="101"/>
      <x:c r="X197" s="101"/>
      <x:c r="Y197" s="101"/>
      <x:c r="Z197" s="101"/>
      <x:c r="AA197" s="101"/>
      <x:c r="AB197" s="101"/>
      <x:c r="AC197" s="101"/>
      <x:c r="AD197" s="101"/>
      <x:c r="AE197" s="101"/>
    </x:row>
    <x:row r="198">
      <x:c r="A198" s="101"/>
      <x:c r="B198" s="101"/>
      <x:c r="C198" s="101"/>
      <x:c r="D198" s="101"/>
      <x:c r="E198" s="101"/>
      <x:c r="F198" s="101"/>
      <x:c r="G198" s="101"/>
      <x:c r="H198" s="101"/>
      <x:c r="I198" s="101"/>
      <x:c r="J198" s="101"/>
      <x:c r="K198" s="101"/>
      <x:c r="L198" s="101"/>
      <x:c r="M198" s="101"/>
      <x:c r="N198" s="101"/>
      <x:c r="O198" s="101"/>
      <x:c r="P198" s="101"/>
      <x:c r="Q198" s="101"/>
      <x:c r="R198" s="101"/>
      <x:c r="S198" s="101"/>
      <x:c r="T198" s="101"/>
      <x:c r="U198" s="101"/>
      <x:c r="V198" s="101"/>
      <x:c r="W198" s="101"/>
      <x:c r="X198" s="101"/>
      <x:c r="Y198" s="101"/>
      <x:c r="Z198" s="101"/>
      <x:c r="AA198" s="101"/>
      <x:c r="AB198" s="101"/>
      <x:c r="AC198" s="101"/>
      <x:c r="AD198" s="101"/>
      <x:c r="AE198" s="101"/>
    </x:row>
    <x:row r="199">
      <x:c r="A199" s="101"/>
      <x:c r="B199" s="101"/>
      <x:c r="C199" s="101"/>
      <x:c r="D199" s="101"/>
      <x:c r="E199" s="101"/>
      <x:c r="F199" s="101"/>
      <x:c r="G199" s="101"/>
      <x:c r="H199" s="101"/>
      <x:c r="I199" s="101"/>
      <x:c r="J199" s="101"/>
      <x:c r="K199" s="101"/>
      <x:c r="L199" s="101"/>
      <x:c r="M199" s="101"/>
      <x:c r="N199" s="101"/>
      <x:c r="O199" s="101"/>
      <x:c r="P199" s="101"/>
      <x:c r="Q199" s="101"/>
      <x:c r="R199" s="101"/>
      <x:c r="S199" s="101"/>
      <x:c r="T199" s="101"/>
      <x:c r="U199" s="101"/>
      <x:c r="V199" s="101"/>
      <x:c r="W199" s="101"/>
      <x:c r="X199" s="101"/>
      <x:c r="Y199" s="101"/>
      <x:c r="Z199" s="101"/>
      <x:c r="AA199" s="101"/>
      <x:c r="AB199" s="101"/>
      <x:c r="AC199" s="101"/>
      <x:c r="AD199" s="101"/>
      <x:c r="AE199" s="101"/>
    </x:row>
    <x:row r="200">
      <x:c r="A200" s="101"/>
      <x:c r="B200" s="101"/>
      <x:c r="C200" s="101"/>
      <x:c r="D200" s="101"/>
      <x:c r="E200" s="101"/>
      <x:c r="F200" s="101"/>
      <x:c r="G200" s="101"/>
      <x:c r="H200" s="101"/>
      <x:c r="I200" s="101"/>
      <x:c r="J200" s="101"/>
      <x:c r="K200" s="101"/>
      <x:c r="L200" s="101"/>
      <x:c r="M200" s="101"/>
      <x:c r="N200" s="101"/>
      <x:c r="O200" s="101"/>
      <x:c r="P200" s="101"/>
      <x:c r="Q200" s="101"/>
      <x:c r="R200" s="101"/>
      <x:c r="S200" s="101"/>
      <x:c r="T200" s="101"/>
      <x:c r="U200" s="101"/>
      <x:c r="V200" s="101"/>
      <x:c r="W200" s="101"/>
      <x:c r="X200" s="101"/>
      <x:c r="Y200" s="101"/>
      <x:c r="Z200" s="101"/>
      <x:c r="AA200" s="101"/>
      <x:c r="AB200" s="101"/>
      <x:c r="AC200" s="101"/>
      <x:c r="AD200" s="101"/>
      <x:c r="AE200" s="101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d3fe129914b444e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8" hidden="0" customWidth="1"/>
    <x:col min="4" max="4" width="44" hidden="0" customWidth="1"/>
    <x:col min="5" max="5" width="22" hidden="0" customWidth="1"/>
    <x:col min="6" max="6" width="12" hidden="0" customWidth="1"/>
    <x:col min="7" max="7" width="15" hidden="0" customWidth="1"/>
    <x:col min="8" max="8" width="20" hidden="0" customWidth="1"/>
  </x:cols>
  <x:sheetData>
    <x:row r="1">
      <x:c r="A1" s="130" t="str">
        <x:v>PACKING LIST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</x:row>
    <x:row r="2">
      <x:c r="A2" s="101"/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  <x:c r="AE2" s="101"/>
    </x:row>
    <x:row r="3">
      <x:c r="A3" s="103" t="str">
        <x:v>Customer / Contact Company</x:v>
      </x:c>
      <x:c r="B3" s="131" t="n">
        <x:f>'START HERE'!B5</x:f>
        <x:v>0</x:v>
      </x:c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  <x:c r="AA3" s="101"/>
      <x:c r="AB3" s="101"/>
      <x:c r="AC3" s="101"/>
      <x:c r="AD3" s="101"/>
      <x:c r="AE3" s="101"/>
    </x:row>
    <x:row r="4">
      <x:c r="A4" s="103" t="str">
        <x:v>Project Name</x:v>
      </x:c>
      <x:c r="B4" s="131" t="n">
        <x:f>'START HERE'!B6</x:f>
        <x:v>0</x:v>
      </x:c>
      <x:c r="C4" s="101"/>
      <x:c r="D4" s="101"/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  <x:c r="AA4" s="101"/>
      <x:c r="AB4" s="101"/>
      <x:c r="AC4" s="101"/>
      <x:c r="AD4" s="101"/>
      <x:c r="AE4" s="101"/>
    </x:row>
    <x:row r="5">
      <x:c r="A5" s="103" t="str">
        <x:v>Project / PO</x:v>
      </x:c>
      <x:c r="B5" s="131" t="n">
        <x:f>'START HERE'!B7</x:f>
        <x:v>0</x:v>
      </x:c>
      <x:c r="C5" s="101"/>
      <x:c r="D5" s="101"/>
      <x:c r="E5" s="101"/>
      <x:c r="F5" s="101"/>
      <x:c r="G5" s="101"/>
      <x:c r="H5" s="101"/>
      <x:c r="I5" s="101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  <x:c r="AA5" s="101"/>
      <x:c r="AB5" s="101"/>
      <x:c r="AC5" s="101"/>
      <x:c r="AD5" s="101"/>
      <x:c r="AE5" s="101"/>
    </x:row>
    <x:row r="6">
      <x:c r="A6" s="103" t="str">
        <x:v>Quote / Order Ref</x:v>
      </x:c>
      <x:c r="B6" s="131" t="n">
        <x:f>'START HERE'!B8</x:f>
        <x:v>0</x:v>
      </x:c>
      <x:c r="C6" s="101"/>
      <x:c r="D6" s="101"/>
      <x:c r="E6" s="101"/>
      <x:c r="F6" s="101"/>
      <x:c r="G6" s="101"/>
      <x:c r="H6" s="101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  <x:c r="AA6" s="101"/>
      <x:c r="AB6" s="101"/>
      <x:c r="AC6" s="101"/>
      <x:c r="AD6" s="101"/>
      <x:c r="AE6" s="101"/>
    </x:row>
    <x:row r="7">
      <x:c r="A7" s="103" t="str">
        <x:v>Contact Name</x:v>
      </x:c>
      <x:c r="B7" s="131" t="n">
        <x:f>'START HERE'!B9</x:f>
        <x:v>0</x:v>
      </x:c>
      <x:c r="C7" s="101"/>
      <x:c r="D7" s="101"/>
      <x:c r="E7" s="101"/>
      <x:c r="F7" s="101"/>
      <x:c r="G7" s="101"/>
      <x:c r="H7" s="101"/>
      <x:c r="I7" s="101"/>
      <x:c r="J7" s="101"/>
      <x:c r="K7" s="101"/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  <x:c r="AA7" s="101"/>
      <x:c r="AB7" s="101"/>
      <x:c r="AC7" s="101"/>
      <x:c r="AD7" s="101"/>
      <x:c r="AE7" s="101"/>
    </x:row>
    <x:row r="8">
      <x:c r="A8" s="103" t="str">
        <x:v>Contact Number</x:v>
      </x:c>
      <x:c r="B8" s="131" t="n">
        <x:f>'START HERE'!B10</x:f>
        <x:v>0</x:v>
      </x:c>
      <x:c r="C8" s="101"/>
      <x:c r="D8" s="101"/>
      <x:c r="E8" s="101"/>
      <x:c r="F8" s="101"/>
      <x:c r="G8" s="101"/>
      <x:c r="H8" s="101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  <x:c r="AA8" s="101"/>
      <x:c r="AB8" s="101"/>
      <x:c r="AC8" s="101"/>
      <x:c r="AD8" s="101"/>
      <x:c r="AE8" s="101"/>
    </x:row>
    <x:row r="9">
      <x:c r="A9" s="103" t="str">
        <x:v>Delivery / Collection Address</x:v>
      </x:c>
      <x:c r="B9" s="131" t="n">
        <x:f>'START HERE'!B11</x:f>
        <x:v>0</x:v>
      </x:c>
      <x:c r="C9" s="101"/>
      <x:c r="D9" s="101"/>
      <x:c r="E9" s="101"/>
      <x:c r="F9" s="101"/>
      <x:c r="G9" s="101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  <x:c r="AA9" s="101"/>
      <x:c r="AB9" s="101"/>
      <x:c r="AC9" s="101"/>
      <x:c r="AD9" s="101"/>
      <x:c r="AE9" s="101"/>
    </x:row>
    <x:row r="10">
      <x:c r="A10" s="103" t="str">
        <x:v>Dispatch Basis</x:v>
      </x:c>
      <x:c r="B10" s="131" t="str">
        <x:f>'START HERE'!B12</x:f>
        <x:v>Collection / EX Works Leicester</x:v>
      </x:c>
      <x:c r="C10" s="101"/>
      <x:c r="D10" s="101"/>
      <x:c r="E10" s="101"/>
      <x:c r="F10" s="101"/>
      <x:c r="G10" s="101"/>
      <x:c r="H10" s="101"/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  <x:c r="AA10" s="101"/>
      <x:c r="AB10" s="101"/>
      <x:c r="AC10" s="101"/>
      <x:c r="AD10" s="101"/>
      <x:c r="AE10" s="101"/>
    </x:row>
    <x:row r="11">
      <x:c r="A11" s="103" t="str">
        <x:v>Date Issued</x:v>
      </x:c>
      <x:c r="B11" s="131" t="n">
        <x:f>'START HERE'!B13</x:f>
        <x:v>0</x:v>
      </x:c>
      <x:c r="C11" s="101"/>
      <x:c r="D11" s="101"/>
      <x:c r="E11" s="101"/>
      <x:c r="F11" s="101"/>
      <x:c r="G11" s="101"/>
      <x:c r="H11" s="101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  <x:c r="AA11" s="101"/>
      <x:c r="AB11" s="101"/>
      <x:c r="AC11" s="101"/>
      <x:c r="AD11" s="101"/>
      <x:c r="AE11" s="101"/>
    </x:row>
    <x:row r="12">
      <x:c r="A12" s="103" t="str">
        <x:v>Required / Collection Date</x:v>
      </x:c>
      <x:c r="B12" s="131" t="n">
        <x:f>'START HERE'!B14</x:f>
        <x:v>0</x:v>
      </x:c>
      <x:c r="C12" s="101"/>
      <x:c r="D12" s="101"/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  <x:c r="AA12" s="101"/>
      <x:c r="AB12" s="101"/>
      <x:c r="AC12" s="101"/>
      <x:c r="AD12" s="101"/>
      <x:c r="AE12" s="101"/>
    </x:row>
    <x:row r="13">
      <x:c r="A13" s="101"/>
      <x:c r="B13" s="101"/>
      <x:c r="C13" s="101"/>
      <x:c r="D13" s="101"/>
      <x:c r="E13" s="101"/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  <x:c r="AA13" s="101"/>
      <x:c r="AB13" s="101"/>
      <x:c r="AC13" s="101"/>
      <x:c r="AD13" s="101"/>
      <x:c r="AE13" s="101"/>
    </x:row>
    <x:row r="14">
      <x:c r="A14" s="132" t="str">
        <x:v>Pallet Packing Summary</x:v>
      </x:c>
      <x:c r="B14" s="101"/>
      <x:c r="C14" s="101"/>
      <x:c r="D14" s="101"/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  <x:c r="AA14" s="101"/>
      <x:c r="AB14" s="101"/>
      <x:c r="AC14" s="101"/>
      <x:c r="AD14" s="101"/>
      <x:c r="AE14" s="101"/>
    </x:row>
    <x:row r="15">
      <x:c r="A15" s="96" t="str">
        <x:v>Pallet</x:v>
      </x:c>
      <x:c r="B15" s="96" t="str">
        <x:v>Curtains</x:v>
      </x:c>
      <x:c r="C15" s="96" t="str">
        <x:v>Kits</x:v>
      </x:c>
      <x:c r="D15" s="96" t="str">
        <x:v>Contents</x:v>
      </x:c>
      <x:c r="E15" s="96" t="str">
        <x:v>Dimensions L x W x H mm</x:v>
      </x:c>
      <x:c r="F15" s="96" t="str">
        <x:v>Gross kg</x:v>
      </x:c>
      <x:c r="G15" s="96" t="str">
        <x:v>Safe Booking kg</x:v>
      </x:c>
      <x:c r="H15" s="96" t="str">
        <x:v>Notes</x:v>
      </x:c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  <x:c r="AA15" s="101"/>
      <x:c r="AB15" s="101"/>
      <x:c r="AC15" s="101"/>
      <x:c r="AD15" s="101"/>
      <x:c r="AE15" s="101"/>
    </x:row>
    <x:row r="16">
      <x:c r="A16" s="100" t="str">
        <x:f>IF('Pallet Plan'!C3=0,"",'Pallet Plan'!A3)</x:f>
      </x:c>
      <x:c r="B16" s="100" t="str">
        <x:f>IF('Pallet Plan'!C3=0,"",'Pallet Plan'!B3)</x:f>
      </x:c>
      <x:c r="C16" s="100" t="str">
        <x:f>IF('Pallet Plan'!C3=0,"",'Pallet Plan'!C3)</x:f>
      </x:c>
      <x:c r="D16" s="100" t="str">
        <x:f>IF('Pallet Plan'!C3=0,"",'Pallet Plan'!L3)</x:f>
      </x:c>
      <x:c r="E16" s="100" t="str">
        <x:f>IF('Pallet Plan'!C3=0,"",'Pallet Plan'!I3&amp;" x "&amp;'Pallet Plan'!J3&amp;" x "&amp;'Pallet Plan'!K3)</x:f>
      </x:c>
      <x:c r="F16" s="100" t="str">
        <x:f>IF('Pallet Plan'!C3=0,"",ROUND('Pallet Plan'!G3,0))</x:f>
      </x:c>
      <x:c r="G16" s="100" t="str">
        <x:f>IF('Pallet Plan'!C3=0,"",ROUND('Pallet Plan'!H3,0))</x:f>
      </x:c>
      <x:c r="H16" s="100" t="str">
        <x:f>IF('Pallet Plan'!C3=0,"",'Pallet Plan'!M3)</x:f>
      </x:c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  <x:c r="AA16" s="101"/>
      <x:c r="AB16" s="101"/>
      <x:c r="AC16" s="101"/>
      <x:c r="AD16" s="101"/>
      <x:c r="AE16" s="101"/>
    </x:row>
    <x:row r="17">
      <x:c r="A17" s="100" t="str">
        <x:f>IF('Pallet Plan'!C4=0,"",'Pallet Plan'!A4)</x:f>
      </x:c>
      <x:c r="B17" s="100" t="str">
        <x:f>IF('Pallet Plan'!C4=0,"",'Pallet Plan'!B4)</x:f>
      </x:c>
      <x:c r="C17" s="100" t="str">
        <x:f>IF('Pallet Plan'!C4=0,"",'Pallet Plan'!C4)</x:f>
      </x:c>
      <x:c r="D17" s="100" t="str">
        <x:f>IF('Pallet Plan'!C4=0,"",'Pallet Plan'!L4)</x:f>
      </x:c>
      <x:c r="E17" s="100" t="str">
        <x:f>IF('Pallet Plan'!C4=0,"",'Pallet Plan'!I4&amp;" x "&amp;'Pallet Plan'!J4&amp;" x "&amp;'Pallet Plan'!K4)</x:f>
      </x:c>
      <x:c r="F17" s="100" t="str">
        <x:f>IF('Pallet Plan'!C4=0,"",ROUND('Pallet Plan'!G4,0))</x:f>
      </x:c>
      <x:c r="G17" s="100" t="str">
        <x:f>IF('Pallet Plan'!C4=0,"",ROUND('Pallet Plan'!H4,0))</x:f>
      </x:c>
      <x:c r="H17" s="100" t="str">
        <x:f>IF('Pallet Plan'!C4=0,"",'Pallet Plan'!M4)</x:f>
      </x:c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  <x:c r="AA17" s="101"/>
      <x:c r="AB17" s="101"/>
      <x:c r="AC17" s="101"/>
      <x:c r="AD17" s="101"/>
      <x:c r="AE17" s="101"/>
    </x:row>
    <x:row r="18">
      <x:c r="A18" s="100" t="str">
        <x:f>IF('Pallet Plan'!C5=0,"",'Pallet Plan'!A5)</x:f>
      </x:c>
      <x:c r="B18" s="100" t="str">
        <x:f>IF('Pallet Plan'!C5=0,"",'Pallet Plan'!B5)</x:f>
      </x:c>
      <x:c r="C18" s="100" t="str">
        <x:f>IF('Pallet Plan'!C5=0,"",'Pallet Plan'!C5)</x:f>
      </x:c>
      <x:c r="D18" s="100" t="str">
        <x:f>IF('Pallet Plan'!C5=0,"",'Pallet Plan'!L5)</x:f>
      </x:c>
      <x:c r="E18" s="100" t="str">
        <x:f>IF('Pallet Plan'!C5=0,"",'Pallet Plan'!I5&amp;" x "&amp;'Pallet Plan'!J5&amp;" x "&amp;'Pallet Plan'!K5)</x:f>
      </x:c>
      <x:c r="F18" s="100" t="str">
        <x:f>IF('Pallet Plan'!C5=0,"",ROUND('Pallet Plan'!G5,0))</x:f>
      </x:c>
      <x:c r="G18" s="100" t="str">
        <x:f>IF('Pallet Plan'!C5=0,"",ROUND('Pallet Plan'!H5,0))</x:f>
      </x:c>
      <x:c r="H18" s="100" t="str">
        <x:f>IF('Pallet Plan'!C5=0,"",'Pallet Plan'!M5)</x:f>
      </x:c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  <x:c r="AA18" s="101"/>
      <x:c r="AB18" s="101"/>
      <x:c r="AC18" s="101"/>
      <x:c r="AD18" s="101"/>
      <x:c r="AE18" s="101"/>
    </x:row>
    <x:row r="19">
      <x:c r="A19" s="100" t="str">
        <x:f>IF('Pallet Plan'!C6=0,"",'Pallet Plan'!A6)</x:f>
      </x:c>
      <x:c r="B19" s="100" t="str">
        <x:f>IF('Pallet Plan'!C6=0,"",'Pallet Plan'!B6)</x:f>
      </x:c>
      <x:c r="C19" s="100" t="str">
        <x:f>IF('Pallet Plan'!C6=0,"",'Pallet Plan'!C6)</x:f>
      </x:c>
      <x:c r="D19" s="100" t="str">
        <x:f>IF('Pallet Plan'!C6=0,"",'Pallet Plan'!L6)</x:f>
      </x:c>
      <x:c r="E19" s="100" t="str">
        <x:f>IF('Pallet Plan'!C6=0,"",'Pallet Plan'!I6&amp;" x "&amp;'Pallet Plan'!J6&amp;" x "&amp;'Pallet Plan'!K6)</x:f>
      </x:c>
      <x:c r="F19" s="100" t="str">
        <x:f>IF('Pallet Plan'!C6=0,"",ROUND('Pallet Plan'!G6,0))</x:f>
      </x:c>
      <x:c r="G19" s="100" t="str">
        <x:f>IF('Pallet Plan'!C6=0,"",ROUND('Pallet Plan'!H6,0))</x:f>
      </x:c>
      <x:c r="H19" s="100" t="str">
        <x:f>IF('Pallet Plan'!C6=0,"",'Pallet Plan'!M6)</x:f>
      </x:c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  <x:c r="AA19" s="101"/>
      <x:c r="AB19" s="101"/>
      <x:c r="AC19" s="101"/>
      <x:c r="AD19" s="101"/>
      <x:c r="AE19" s="101"/>
    </x:row>
    <x:row r="20">
      <x:c r="A20" s="100" t="str">
        <x:f>IF('Pallet Plan'!C7=0,"",'Pallet Plan'!A7)</x:f>
      </x:c>
      <x:c r="B20" s="100" t="str">
        <x:f>IF('Pallet Plan'!C7=0,"",'Pallet Plan'!B7)</x:f>
      </x:c>
      <x:c r="C20" s="100" t="str">
        <x:f>IF('Pallet Plan'!C7=0,"",'Pallet Plan'!C7)</x:f>
      </x:c>
      <x:c r="D20" s="100" t="str">
        <x:f>IF('Pallet Plan'!C7=0,"",'Pallet Plan'!L7)</x:f>
      </x:c>
      <x:c r="E20" s="100" t="str">
        <x:f>IF('Pallet Plan'!C7=0,"",'Pallet Plan'!I7&amp;" x "&amp;'Pallet Plan'!J7&amp;" x "&amp;'Pallet Plan'!K7)</x:f>
      </x:c>
      <x:c r="F20" s="100" t="str">
        <x:f>IF('Pallet Plan'!C7=0,"",ROUND('Pallet Plan'!G7,0))</x:f>
      </x:c>
      <x:c r="G20" s="100" t="str">
        <x:f>IF('Pallet Plan'!C7=0,"",ROUND('Pallet Plan'!H7,0))</x:f>
      </x:c>
      <x:c r="H20" s="100" t="str">
        <x:f>IF('Pallet Plan'!C7=0,"",'Pallet Plan'!M7)</x:f>
      </x:c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  <x:c r="AA20" s="101"/>
      <x:c r="AB20" s="101"/>
      <x:c r="AC20" s="101"/>
      <x:c r="AD20" s="101"/>
      <x:c r="AE20" s="101"/>
    </x:row>
    <x:row r="21">
      <x:c r="A21" s="100" t="str">
        <x:f>IF('Pallet Plan'!C8=0,"",'Pallet Plan'!A8)</x:f>
      </x:c>
      <x:c r="B21" s="100" t="str">
        <x:f>IF('Pallet Plan'!C8=0,"",'Pallet Plan'!B8)</x:f>
      </x:c>
      <x:c r="C21" s="100" t="str">
        <x:f>IF('Pallet Plan'!C8=0,"",'Pallet Plan'!C8)</x:f>
      </x:c>
      <x:c r="D21" s="100" t="str">
        <x:f>IF('Pallet Plan'!C8=0,"",'Pallet Plan'!L8)</x:f>
      </x:c>
      <x:c r="E21" s="100" t="str">
        <x:f>IF('Pallet Plan'!C8=0,"",'Pallet Plan'!I8&amp;" x "&amp;'Pallet Plan'!J8&amp;" x "&amp;'Pallet Plan'!K8)</x:f>
      </x:c>
      <x:c r="F21" s="100" t="str">
        <x:f>IF('Pallet Plan'!C8=0,"",ROUND('Pallet Plan'!G8,0))</x:f>
      </x:c>
      <x:c r="G21" s="100" t="str">
        <x:f>IF('Pallet Plan'!C8=0,"",ROUND('Pallet Plan'!H8,0))</x:f>
      </x:c>
      <x:c r="H21" s="100" t="str">
        <x:f>IF('Pallet Plan'!C8=0,"",'Pallet Plan'!M8)</x:f>
      </x:c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  <x:c r="AA21" s="101"/>
      <x:c r="AB21" s="101"/>
      <x:c r="AC21" s="101"/>
      <x:c r="AD21" s="101"/>
      <x:c r="AE21" s="101"/>
    </x:row>
    <x:row r="22">
      <x:c r="A22" s="100" t="str">
        <x:f>IF('Pallet Plan'!C9=0,"",'Pallet Plan'!A9)</x:f>
      </x:c>
      <x:c r="B22" s="100" t="str">
        <x:f>IF('Pallet Plan'!C9=0,"",'Pallet Plan'!B9)</x:f>
      </x:c>
      <x:c r="C22" s="100" t="str">
        <x:f>IF('Pallet Plan'!C9=0,"",'Pallet Plan'!C9)</x:f>
      </x:c>
      <x:c r="D22" s="100" t="str">
        <x:f>IF('Pallet Plan'!C9=0,"",'Pallet Plan'!L9)</x:f>
      </x:c>
      <x:c r="E22" s="100" t="str">
        <x:f>IF('Pallet Plan'!C9=0,"",'Pallet Plan'!I9&amp;" x "&amp;'Pallet Plan'!J9&amp;" x "&amp;'Pallet Plan'!K9)</x:f>
      </x:c>
      <x:c r="F22" s="100" t="str">
        <x:f>IF('Pallet Plan'!C9=0,"",ROUND('Pallet Plan'!G9,0))</x:f>
      </x:c>
      <x:c r="G22" s="100" t="str">
        <x:f>IF('Pallet Plan'!C9=0,"",ROUND('Pallet Plan'!H9,0))</x:f>
      </x:c>
      <x:c r="H22" s="100" t="str">
        <x:f>IF('Pallet Plan'!C9=0,"",'Pallet Plan'!M9)</x:f>
      </x:c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  <x:c r="AA22" s="101"/>
      <x:c r="AB22" s="101"/>
      <x:c r="AC22" s="101"/>
      <x:c r="AD22" s="101"/>
      <x:c r="AE22" s="101"/>
    </x:row>
    <x:row r="23">
      <x:c r="A23" s="100" t="str">
        <x:f>IF('Pallet Plan'!C10=0,"",'Pallet Plan'!A10)</x:f>
      </x:c>
      <x:c r="B23" s="100" t="str">
        <x:f>IF('Pallet Plan'!C10=0,"",'Pallet Plan'!B10)</x:f>
      </x:c>
      <x:c r="C23" s="100" t="str">
        <x:f>IF('Pallet Plan'!C10=0,"",'Pallet Plan'!C10)</x:f>
      </x:c>
      <x:c r="D23" s="100" t="str">
        <x:f>IF('Pallet Plan'!C10=0,"",'Pallet Plan'!L10)</x:f>
      </x:c>
      <x:c r="E23" s="100" t="str">
        <x:f>IF('Pallet Plan'!C10=0,"",'Pallet Plan'!I10&amp;" x "&amp;'Pallet Plan'!J10&amp;" x "&amp;'Pallet Plan'!K10)</x:f>
      </x:c>
      <x:c r="F23" s="100" t="str">
        <x:f>IF('Pallet Plan'!C10=0,"",ROUND('Pallet Plan'!G10,0))</x:f>
      </x:c>
      <x:c r="G23" s="100" t="str">
        <x:f>IF('Pallet Plan'!C10=0,"",ROUND('Pallet Plan'!H10,0))</x:f>
      </x:c>
      <x:c r="H23" s="100" t="str">
        <x:f>IF('Pallet Plan'!C10=0,"",'Pallet Plan'!M10)</x:f>
      </x:c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  <x:c r="AA23" s="101"/>
      <x:c r="AB23" s="101"/>
      <x:c r="AC23" s="101"/>
      <x:c r="AD23" s="101"/>
      <x:c r="AE23" s="101"/>
    </x:row>
    <x:row r="24">
      <x:c r="A24" s="100" t="str">
        <x:f>IF('Pallet Plan'!C11=0,"",'Pallet Plan'!A11)</x:f>
      </x:c>
      <x:c r="B24" s="100" t="str">
        <x:f>IF('Pallet Plan'!C11=0,"",'Pallet Plan'!B11)</x:f>
      </x:c>
      <x:c r="C24" s="100" t="str">
        <x:f>IF('Pallet Plan'!C11=0,"",'Pallet Plan'!C11)</x:f>
      </x:c>
      <x:c r="D24" s="100" t="str">
        <x:f>IF('Pallet Plan'!C11=0,"",'Pallet Plan'!L11)</x:f>
      </x:c>
      <x:c r="E24" s="100" t="str">
        <x:f>IF('Pallet Plan'!C11=0,"",'Pallet Plan'!I11&amp;" x "&amp;'Pallet Plan'!J11&amp;" x "&amp;'Pallet Plan'!K11)</x:f>
      </x:c>
      <x:c r="F24" s="100" t="str">
        <x:f>IF('Pallet Plan'!C11=0,"",ROUND('Pallet Plan'!G11,0))</x:f>
      </x:c>
      <x:c r="G24" s="100" t="str">
        <x:f>IF('Pallet Plan'!C11=0,"",ROUND('Pallet Plan'!H11,0))</x:f>
      </x:c>
      <x:c r="H24" s="100" t="str">
        <x:f>IF('Pallet Plan'!C11=0,"",'Pallet Plan'!M11)</x:f>
      </x:c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  <x:c r="AA24" s="101"/>
      <x:c r="AB24" s="101"/>
      <x:c r="AC24" s="101"/>
      <x:c r="AD24" s="101"/>
      <x:c r="AE24" s="101"/>
    </x:row>
    <x:row r="25">
      <x:c r="A25" s="100" t="str">
        <x:f>IF('Pallet Plan'!C12=0,"",'Pallet Plan'!A12)</x:f>
      </x:c>
      <x:c r="B25" s="100" t="str">
        <x:f>IF('Pallet Plan'!C12=0,"",'Pallet Plan'!B12)</x:f>
      </x:c>
      <x:c r="C25" s="100" t="str">
        <x:f>IF('Pallet Plan'!C12=0,"",'Pallet Plan'!C12)</x:f>
      </x:c>
      <x:c r="D25" s="100" t="str">
        <x:f>IF('Pallet Plan'!C12=0,"",'Pallet Plan'!L12)</x:f>
      </x:c>
      <x:c r="E25" s="100" t="str">
        <x:f>IF('Pallet Plan'!C12=0,"",'Pallet Plan'!I12&amp;" x "&amp;'Pallet Plan'!J12&amp;" x "&amp;'Pallet Plan'!K12)</x:f>
      </x:c>
      <x:c r="F25" s="100" t="str">
        <x:f>IF('Pallet Plan'!C12=0,"",ROUND('Pallet Plan'!G12,0))</x:f>
      </x:c>
      <x:c r="G25" s="100" t="str">
        <x:f>IF('Pallet Plan'!C12=0,"",ROUND('Pallet Plan'!H12,0))</x:f>
      </x:c>
      <x:c r="H25" s="100" t="str">
        <x:f>IF('Pallet Plan'!C12=0,"",'Pallet Plan'!M12)</x:f>
      </x:c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  <x:c r="AA25" s="101"/>
      <x:c r="AB25" s="101"/>
      <x:c r="AC25" s="101"/>
      <x:c r="AD25" s="101"/>
      <x:c r="AE25" s="101"/>
    </x:row>
    <x:row r="26">
      <x:c r="A26" s="100" t="str">
        <x:f>IF('Pallet Plan'!C13=0,"",'Pallet Plan'!A13)</x:f>
      </x:c>
      <x:c r="B26" s="100" t="str">
        <x:f>IF('Pallet Plan'!C13=0,"",'Pallet Plan'!B13)</x:f>
      </x:c>
      <x:c r="C26" s="100" t="str">
        <x:f>IF('Pallet Plan'!C13=0,"",'Pallet Plan'!C13)</x:f>
      </x:c>
      <x:c r="D26" s="100" t="str">
        <x:f>IF('Pallet Plan'!C13=0,"",'Pallet Plan'!L13)</x:f>
      </x:c>
      <x:c r="E26" s="100" t="str">
        <x:f>IF('Pallet Plan'!C13=0,"",'Pallet Plan'!I13&amp;" x "&amp;'Pallet Plan'!J13&amp;" x "&amp;'Pallet Plan'!K13)</x:f>
      </x:c>
      <x:c r="F26" s="100" t="str">
        <x:f>IF('Pallet Plan'!C13=0,"",ROUND('Pallet Plan'!G13,0))</x:f>
      </x:c>
      <x:c r="G26" s="100" t="str">
        <x:f>IF('Pallet Plan'!C13=0,"",ROUND('Pallet Plan'!H13,0))</x:f>
      </x:c>
      <x:c r="H26" s="100" t="str">
        <x:f>IF('Pallet Plan'!C13=0,"",'Pallet Plan'!M13)</x:f>
      </x:c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  <x:c r="AA26" s="101"/>
      <x:c r="AB26" s="101"/>
      <x:c r="AC26" s="101"/>
      <x:c r="AD26" s="101"/>
      <x:c r="AE26" s="101"/>
    </x:row>
    <x:row r="27">
      <x:c r="A27" s="100" t="str">
        <x:f>IF('Pallet Plan'!C14=0,"",'Pallet Plan'!A14)</x:f>
      </x:c>
      <x:c r="B27" s="100" t="str">
        <x:f>IF('Pallet Plan'!C14=0,"",'Pallet Plan'!B14)</x:f>
      </x:c>
      <x:c r="C27" s="100" t="str">
        <x:f>IF('Pallet Plan'!C14=0,"",'Pallet Plan'!C14)</x:f>
      </x:c>
      <x:c r="D27" s="100" t="str">
        <x:f>IF('Pallet Plan'!C14=0,"",'Pallet Plan'!L14)</x:f>
      </x:c>
      <x:c r="E27" s="100" t="str">
        <x:f>IF('Pallet Plan'!C14=0,"",'Pallet Plan'!I14&amp;" x "&amp;'Pallet Plan'!J14&amp;" x "&amp;'Pallet Plan'!K14)</x:f>
      </x:c>
      <x:c r="F27" s="100" t="str">
        <x:f>IF('Pallet Plan'!C14=0,"",ROUND('Pallet Plan'!G14,0))</x:f>
      </x:c>
      <x:c r="G27" s="100" t="str">
        <x:f>IF('Pallet Plan'!C14=0,"",ROUND('Pallet Plan'!H14,0))</x:f>
      </x:c>
      <x:c r="H27" s="100" t="str">
        <x:f>IF('Pallet Plan'!C14=0,"",'Pallet Plan'!M14)</x:f>
      </x:c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  <x:c r="AA27" s="101"/>
      <x:c r="AB27" s="101"/>
      <x:c r="AC27" s="101"/>
      <x:c r="AD27" s="101"/>
      <x:c r="AE27" s="101"/>
    </x:row>
    <x:row r="28">
      <x:c r="A28" s="133" t="str">
        <x:v>TOTAL</x:v>
      </x:c>
      <x:c r="B28" s="100"/>
      <x:c r="C28" s="100"/>
      <x:c r="D28" s="100"/>
      <x:c r="E28" s="100"/>
      <x:c r="F28" s="108" t="n">
        <x:f>ROUND(SUM('Pallet Plan'!G3:G14),0)</x:f>
        <x:v>0</x:v>
      </x:c>
      <x:c r="G28" s="108" t="n">
        <x:f>CEILING(MAX(0,SUM('Pallet Plan'!G3:G14)),'START HERE'!B18)</x:f>
        <x:v>0</x:v>
      </x:c>
      <x:c r="H28" s="100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  <x:c r="AA28" s="101"/>
      <x:c r="AB28" s="101"/>
      <x:c r="AC28" s="101"/>
      <x:c r="AD28" s="101"/>
      <x:c r="AE28" s="101"/>
    </x:row>
    <x:row r="29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  <x:c r="AA29" s="101"/>
      <x:c r="AB29" s="101"/>
      <x:c r="AC29" s="101"/>
      <x:c r="AD29" s="101"/>
      <x:c r="AE29" s="101"/>
    </x:row>
    <x:row r="30">
      <x:c r="A30" s="134" t="str">
        <x:v>IMPORTANT: Weights and dimensions are packing/shipping estimates only. Warehouse/production must confirm final packed weight and dimensions once pallets are strapped/wrapped.</x:v>
      </x:c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  <x:c r="AA30" s="101"/>
      <x:c r="AB30" s="101"/>
      <x:c r="AC30" s="101"/>
      <x:c r="AD30" s="101"/>
      <x:c r="AE30" s="101"/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  <x:c r="AA31" s="101"/>
      <x:c r="AB31" s="101"/>
      <x:c r="AC31" s="101"/>
      <x:c r="AD31" s="101"/>
      <x:c r="AE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  <x:c r="AA32" s="101"/>
      <x:c r="AB32" s="101"/>
      <x:c r="AC32" s="101"/>
      <x:c r="AD32" s="101"/>
      <x:c r="AE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  <x:c r="AA33" s="101"/>
      <x:c r="AB33" s="101"/>
      <x:c r="AC33" s="101"/>
      <x:c r="AD33" s="101"/>
      <x:c r="AE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  <x:c r="AA34" s="101"/>
      <x:c r="AB34" s="101"/>
      <x:c r="AC34" s="101"/>
      <x:c r="AD34" s="101"/>
      <x:c r="AE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  <x:c r="AA35" s="101"/>
      <x:c r="AB35" s="101"/>
      <x:c r="AC35" s="101"/>
      <x:c r="AD35" s="101"/>
      <x:c r="AE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  <x:c r="AA36" s="101"/>
      <x:c r="AB36" s="101"/>
      <x:c r="AC36" s="101"/>
      <x:c r="AD36" s="101"/>
      <x:c r="AE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  <x:c r="AA37" s="101"/>
      <x:c r="AB37" s="101"/>
      <x:c r="AC37" s="101"/>
      <x:c r="AD37" s="101"/>
      <x:c r="AE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  <x:c r="AA38" s="101"/>
      <x:c r="AB38" s="101"/>
      <x:c r="AC38" s="101"/>
      <x:c r="AD38" s="101"/>
      <x:c r="AE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  <x:c r="AA39" s="101"/>
      <x:c r="AB39" s="101"/>
      <x:c r="AC39" s="101"/>
      <x:c r="AD39" s="101"/>
      <x:c r="AE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  <x:c r="AA40" s="101"/>
      <x:c r="AB40" s="101"/>
      <x:c r="AC40" s="101"/>
      <x:c r="AD40" s="101"/>
      <x:c r="AE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  <x:c r="AA41" s="101"/>
      <x:c r="AB41" s="101"/>
      <x:c r="AC41" s="101"/>
      <x:c r="AD41" s="101"/>
      <x:c r="AE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  <x:c r="AA42" s="101"/>
      <x:c r="AB42" s="101"/>
      <x:c r="AC42" s="101"/>
      <x:c r="AD42" s="101"/>
      <x:c r="AE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  <x:c r="AA43" s="101"/>
      <x:c r="AB43" s="101"/>
      <x:c r="AC43" s="101"/>
      <x:c r="AD43" s="101"/>
      <x:c r="AE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  <x:c r="AA44" s="101"/>
      <x:c r="AB44" s="101"/>
      <x:c r="AC44" s="101"/>
      <x:c r="AD44" s="101"/>
      <x:c r="AE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  <x:c r="AA45" s="101"/>
      <x:c r="AB45" s="101"/>
      <x:c r="AC45" s="101"/>
      <x:c r="AD45" s="101"/>
      <x:c r="AE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  <x:c r="AA46" s="101"/>
      <x:c r="AB46" s="101"/>
      <x:c r="AC46" s="101"/>
      <x:c r="AD46" s="101"/>
      <x:c r="AE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  <x:c r="AA47" s="101"/>
      <x:c r="AB47" s="101"/>
      <x:c r="AC47" s="101"/>
      <x:c r="AD47" s="101"/>
      <x:c r="AE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  <x:c r="AA48" s="101"/>
      <x:c r="AB48" s="101"/>
      <x:c r="AC48" s="101"/>
      <x:c r="AD48" s="101"/>
      <x:c r="AE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  <x:c r="AA49" s="101"/>
      <x:c r="AB49" s="101"/>
      <x:c r="AC49" s="101"/>
      <x:c r="AD49" s="101"/>
      <x:c r="AE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  <x:c r="AA50" s="101"/>
      <x:c r="AB50" s="101"/>
      <x:c r="AC50" s="101"/>
      <x:c r="AD50" s="101"/>
      <x:c r="AE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  <x:c r="AA51" s="101"/>
      <x:c r="AB51" s="101"/>
      <x:c r="AC51" s="101"/>
      <x:c r="AD51" s="101"/>
      <x:c r="AE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  <x:c r="AA52" s="101"/>
      <x:c r="AB52" s="101"/>
      <x:c r="AC52" s="101"/>
      <x:c r="AD52" s="101"/>
      <x:c r="AE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  <x:c r="AA53" s="101"/>
      <x:c r="AB53" s="101"/>
      <x:c r="AC53" s="101"/>
      <x:c r="AD53" s="101"/>
      <x:c r="AE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  <x:c r="AA54" s="101"/>
      <x:c r="AB54" s="101"/>
      <x:c r="AC54" s="101"/>
      <x:c r="AD54" s="101"/>
      <x:c r="AE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  <x:c r="AA55" s="101"/>
      <x:c r="AB55" s="101"/>
      <x:c r="AC55" s="101"/>
      <x:c r="AD55" s="101"/>
      <x:c r="AE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  <x:c r="AA56" s="101"/>
      <x:c r="AB56" s="101"/>
      <x:c r="AC56" s="101"/>
      <x:c r="AD56" s="101"/>
      <x:c r="AE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  <x:c r="AA57" s="101"/>
      <x:c r="AB57" s="101"/>
      <x:c r="AC57" s="101"/>
      <x:c r="AD57" s="101"/>
      <x:c r="AE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  <x:c r="AA58" s="101"/>
      <x:c r="AB58" s="101"/>
      <x:c r="AC58" s="101"/>
      <x:c r="AD58" s="101"/>
      <x:c r="AE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  <x:c r="AA59" s="101"/>
      <x:c r="AB59" s="101"/>
      <x:c r="AC59" s="101"/>
      <x:c r="AD59" s="101"/>
      <x:c r="AE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  <x:c r="AA60" s="101"/>
      <x:c r="AB60" s="101"/>
      <x:c r="AC60" s="101"/>
      <x:c r="AD60" s="101"/>
      <x:c r="AE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  <x:c r="AA61" s="101"/>
      <x:c r="AB61" s="101"/>
      <x:c r="AC61" s="101"/>
      <x:c r="AD61" s="101"/>
      <x:c r="AE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  <x:c r="AA62" s="101"/>
      <x:c r="AB62" s="101"/>
      <x:c r="AC62" s="101"/>
      <x:c r="AD62" s="101"/>
      <x:c r="AE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  <x:c r="AA63" s="101"/>
      <x:c r="AB63" s="101"/>
      <x:c r="AC63" s="101"/>
      <x:c r="AD63" s="101"/>
      <x:c r="AE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  <x:c r="AA64" s="101"/>
      <x:c r="AB64" s="101"/>
      <x:c r="AC64" s="101"/>
      <x:c r="AD64" s="101"/>
      <x:c r="AE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  <x:c r="AA65" s="101"/>
      <x:c r="AB65" s="101"/>
      <x:c r="AC65" s="101"/>
      <x:c r="AD65" s="101"/>
      <x:c r="AE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  <x:c r="AA66" s="101"/>
      <x:c r="AB66" s="101"/>
      <x:c r="AC66" s="101"/>
      <x:c r="AD66" s="101"/>
      <x:c r="AE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  <x:c r="AA67" s="101"/>
      <x:c r="AB67" s="101"/>
      <x:c r="AC67" s="101"/>
      <x:c r="AD67" s="101"/>
      <x:c r="AE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  <x:c r="AA68" s="101"/>
      <x:c r="AB68" s="101"/>
      <x:c r="AC68" s="101"/>
      <x:c r="AD68" s="101"/>
      <x:c r="AE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  <x:c r="AA69" s="101"/>
      <x:c r="AB69" s="101"/>
      <x:c r="AC69" s="101"/>
      <x:c r="AD69" s="101"/>
      <x:c r="AE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  <x:c r="AA70" s="101"/>
      <x:c r="AB70" s="101"/>
      <x:c r="AC70" s="101"/>
      <x:c r="AD70" s="101"/>
      <x:c r="AE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  <x:c r="AA71" s="101"/>
      <x:c r="AB71" s="101"/>
      <x:c r="AC71" s="101"/>
      <x:c r="AD71" s="101"/>
      <x:c r="AE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  <x:c r="AA72" s="101"/>
      <x:c r="AB72" s="101"/>
      <x:c r="AC72" s="101"/>
      <x:c r="AD72" s="101"/>
      <x:c r="AE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  <x:c r="AA73" s="101"/>
      <x:c r="AB73" s="101"/>
      <x:c r="AC73" s="101"/>
      <x:c r="AD73" s="101"/>
      <x:c r="AE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  <x:c r="AA74" s="101"/>
      <x:c r="AB74" s="101"/>
      <x:c r="AC74" s="101"/>
      <x:c r="AD74" s="101"/>
      <x:c r="AE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  <x:c r="AA75" s="101"/>
      <x:c r="AB75" s="101"/>
      <x:c r="AC75" s="101"/>
      <x:c r="AD75" s="101"/>
      <x:c r="AE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  <x:c r="AA76" s="101"/>
      <x:c r="AB76" s="101"/>
      <x:c r="AC76" s="101"/>
      <x:c r="AD76" s="101"/>
      <x:c r="AE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  <x:c r="AA77" s="101"/>
      <x:c r="AB77" s="101"/>
      <x:c r="AC77" s="101"/>
      <x:c r="AD77" s="101"/>
      <x:c r="AE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  <x:c r="AA78" s="101"/>
      <x:c r="AB78" s="101"/>
      <x:c r="AC78" s="101"/>
      <x:c r="AD78" s="101"/>
      <x:c r="AE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  <x:c r="AA79" s="101"/>
      <x:c r="AB79" s="101"/>
      <x:c r="AC79" s="101"/>
      <x:c r="AD79" s="101"/>
      <x:c r="AE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  <x:c r="AA80" s="101"/>
      <x:c r="AB80" s="101"/>
      <x:c r="AC80" s="101"/>
      <x:c r="AD80" s="101"/>
      <x:c r="AE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  <x:c r="AA81" s="101"/>
      <x:c r="AB81" s="101"/>
      <x:c r="AC81" s="101"/>
      <x:c r="AD81" s="101"/>
      <x:c r="AE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  <x:c r="AA82" s="101"/>
      <x:c r="AB82" s="101"/>
      <x:c r="AC82" s="101"/>
      <x:c r="AD82" s="101"/>
      <x:c r="AE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  <x:c r="AA83" s="101"/>
      <x:c r="AB83" s="101"/>
      <x:c r="AC83" s="101"/>
      <x:c r="AD83" s="101"/>
      <x:c r="AE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  <x:c r="AA84" s="101"/>
      <x:c r="AB84" s="101"/>
      <x:c r="AC84" s="101"/>
      <x:c r="AD84" s="101"/>
      <x:c r="AE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  <x:c r="AA85" s="101"/>
      <x:c r="AB85" s="101"/>
      <x:c r="AC85" s="101"/>
      <x:c r="AD85" s="101"/>
      <x:c r="AE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  <x:c r="AA86" s="101"/>
      <x:c r="AB86" s="101"/>
      <x:c r="AC86" s="101"/>
      <x:c r="AD86" s="101"/>
      <x:c r="AE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  <x:c r="AA87" s="101"/>
      <x:c r="AB87" s="101"/>
      <x:c r="AC87" s="101"/>
      <x:c r="AD87" s="101"/>
      <x:c r="AE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  <x:c r="AA88" s="101"/>
      <x:c r="AB88" s="101"/>
      <x:c r="AC88" s="101"/>
      <x:c r="AD88" s="101"/>
      <x:c r="AE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  <x:c r="AA89" s="101"/>
      <x:c r="AB89" s="101"/>
      <x:c r="AC89" s="101"/>
      <x:c r="AD89" s="101"/>
      <x:c r="AE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  <x:c r="AA90" s="101"/>
      <x:c r="AB90" s="101"/>
      <x:c r="AC90" s="101"/>
      <x:c r="AD90" s="101"/>
      <x:c r="AE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  <x:c r="AA91" s="101"/>
      <x:c r="AB91" s="101"/>
      <x:c r="AC91" s="101"/>
      <x:c r="AD91" s="101"/>
      <x:c r="AE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  <x:c r="AA92" s="101"/>
      <x:c r="AB92" s="101"/>
      <x:c r="AC92" s="101"/>
      <x:c r="AD92" s="101"/>
      <x:c r="AE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  <x:c r="AA93" s="101"/>
      <x:c r="AB93" s="101"/>
      <x:c r="AC93" s="101"/>
      <x:c r="AD93" s="101"/>
      <x:c r="AE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  <x:c r="AA94" s="101"/>
      <x:c r="AB94" s="101"/>
      <x:c r="AC94" s="101"/>
      <x:c r="AD94" s="101"/>
      <x:c r="AE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  <x:c r="AA95" s="101"/>
      <x:c r="AB95" s="101"/>
      <x:c r="AC95" s="101"/>
      <x:c r="AD95" s="101"/>
      <x:c r="AE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  <x:c r="AA96" s="101"/>
      <x:c r="AB96" s="101"/>
      <x:c r="AC96" s="101"/>
      <x:c r="AD96" s="101"/>
      <x:c r="AE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  <x:c r="AA97" s="101"/>
      <x:c r="AB97" s="101"/>
      <x:c r="AC97" s="101"/>
      <x:c r="AD97" s="101"/>
      <x:c r="AE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  <x:c r="AA98" s="101"/>
      <x:c r="AB98" s="101"/>
      <x:c r="AC98" s="101"/>
      <x:c r="AD98" s="101"/>
      <x:c r="AE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  <x:c r="AA99" s="101"/>
      <x:c r="AB99" s="101"/>
      <x:c r="AC99" s="101"/>
      <x:c r="AD99" s="101"/>
      <x:c r="AE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  <x:c r="AA100" s="101"/>
      <x:c r="AB100" s="101"/>
      <x:c r="AC100" s="101"/>
      <x:c r="AD100" s="101"/>
      <x:c r="AE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  <x:c r="AA101" s="101"/>
      <x:c r="AB101" s="101"/>
      <x:c r="AC101" s="101"/>
      <x:c r="AD101" s="101"/>
      <x:c r="AE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  <x:c r="AA102" s="101"/>
      <x:c r="AB102" s="101"/>
      <x:c r="AC102" s="101"/>
      <x:c r="AD102" s="101"/>
      <x:c r="AE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  <x:c r="AA103" s="101"/>
      <x:c r="AB103" s="101"/>
      <x:c r="AC103" s="101"/>
      <x:c r="AD103" s="101"/>
      <x:c r="AE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  <x:c r="AA104" s="101"/>
      <x:c r="AB104" s="101"/>
      <x:c r="AC104" s="101"/>
      <x:c r="AD104" s="101"/>
      <x:c r="AE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  <x:c r="AA105" s="101"/>
      <x:c r="AB105" s="101"/>
      <x:c r="AC105" s="101"/>
      <x:c r="AD105" s="101"/>
      <x:c r="AE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  <x:c r="AA106" s="101"/>
      <x:c r="AB106" s="101"/>
      <x:c r="AC106" s="101"/>
      <x:c r="AD106" s="101"/>
      <x:c r="AE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  <x:c r="AA107" s="101"/>
      <x:c r="AB107" s="101"/>
      <x:c r="AC107" s="101"/>
      <x:c r="AD107" s="101"/>
      <x:c r="AE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  <x:c r="AA108" s="101"/>
      <x:c r="AB108" s="101"/>
      <x:c r="AC108" s="101"/>
      <x:c r="AD108" s="101"/>
      <x:c r="AE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  <x:c r="AA109" s="101"/>
      <x:c r="AB109" s="101"/>
      <x:c r="AC109" s="101"/>
      <x:c r="AD109" s="101"/>
      <x:c r="AE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  <x:c r="AA110" s="101"/>
      <x:c r="AB110" s="101"/>
      <x:c r="AC110" s="101"/>
      <x:c r="AD110" s="101"/>
      <x:c r="AE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  <x:c r="AA111" s="101"/>
      <x:c r="AB111" s="101"/>
      <x:c r="AC111" s="101"/>
      <x:c r="AD111" s="101"/>
      <x:c r="AE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  <x:c r="AA112" s="101"/>
      <x:c r="AB112" s="101"/>
      <x:c r="AC112" s="101"/>
      <x:c r="AD112" s="101"/>
      <x:c r="AE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  <x:c r="AA113" s="101"/>
      <x:c r="AB113" s="101"/>
      <x:c r="AC113" s="101"/>
      <x:c r="AD113" s="101"/>
      <x:c r="AE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  <x:c r="AA114" s="101"/>
      <x:c r="AB114" s="101"/>
      <x:c r="AC114" s="101"/>
      <x:c r="AD114" s="101"/>
      <x:c r="AE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  <x:c r="AA115" s="101"/>
      <x:c r="AB115" s="101"/>
      <x:c r="AC115" s="101"/>
      <x:c r="AD115" s="101"/>
      <x:c r="AE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  <x:c r="AA116" s="101"/>
      <x:c r="AB116" s="101"/>
      <x:c r="AC116" s="101"/>
      <x:c r="AD116" s="101"/>
      <x:c r="AE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  <x:c r="AA117" s="101"/>
      <x:c r="AB117" s="101"/>
      <x:c r="AC117" s="101"/>
      <x:c r="AD117" s="101"/>
      <x:c r="AE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  <x:c r="AA118" s="101"/>
      <x:c r="AB118" s="101"/>
      <x:c r="AC118" s="101"/>
      <x:c r="AD118" s="101"/>
      <x:c r="AE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  <x:c r="AA119" s="101"/>
      <x:c r="AB119" s="101"/>
      <x:c r="AC119" s="101"/>
      <x:c r="AD119" s="101"/>
      <x:c r="AE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  <x:c r="AA120" s="101"/>
      <x:c r="AB120" s="101"/>
      <x:c r="AC120" s="101"/>
      <x:c r="AD120" s="101"/>
      <x:c r="AE120" s="101"/>
    </x:row>
    <x:row r="121">
      <x:c r="A121" s="101"/>
      <x:c r="B121" s="101"/>
      <x:c r="C121" s="101"/>
      <x:c r="D121" s="101"/>
      <x:c r="E121" s="101"/>
      <x:c r="F121" s="101"/>
      <x:c r="G121" s="101"/>
      <x:c r="H121" s="101"/>
      <x:c r="I121" s="101"/>
      <x:c r="J121" s="101"/>
      <x:c r="K121" s="101"/>
      <x:c r="L121" s="101"/>
      <x:c r="M121" s="101"/>
      <x:c r="N121" s="101"/>
      <x:c r="O121" s="101"/>
      <x:c r="P121" s="101"/>
      <x:c r="Q121" s="101"/>
      <x:c r="R121" s="101"/>
      <x:c r="S121" s="101"/>
      <x:c r="T121" s="101"/>
      <x:c r="U121" s="101"/>
      <x:c r="V121" s="101"/>
      <x:c r="W121" s="101"/>
      <x:c r="X121" s="101"/>
      <x:c r="Y121" s="101"/>
      <x:c r="Z121" s="101"/>
      <x:c r="AA121" s="101"/>
      <x:c r="AB121" s="101"/>
      <x:c r="AC121" s="101"/>
      <x:c r="AD121" s="101"/>
      <x:c r="AE121" s="101"/>
    </x:row>
    <x:row r="122">
      <x:c r="A122" s="101"/>
      <x:c r="B122" s="101"/>
      <x:c r="C122" s="101"/>
      <x:c r="D122" s="101"/>
      <x:c r="E122" s="101"/>
      <x:c r="F122" s="101"/>
      <x:c r="G122" s="101"/>
      <x:c r="H122" s="101"/>
      <x:c r="I122" s="101"/>
      <x:c r="J122" s="101"/>
      <x:c r="K122" s="101"/>
      <x:c r="L122" s="101"/>
      <x:c r="M122" s="101"/>
      <x:c r="N122" s="101"/>
      <x:c r="O122" s="101"/>
      <x:c r="P122" s="101"/>
      <x:c r="Q122" s="101"/>
      <x:c r="R122" s="101"/>
      <x:c r="S122" s="101"/>
      <x:c r="T122" s="101"/>
      <x:c r="U122" s="101"/>
      <x:c r="V122" s="101"/>
      <x:c r="W122" s="101"/>
      <x:c r="X122" s="101"/>
      <x:c r="Y122" s="101"/>
      <x:c r="Z122" s="101"/>
      <x:c r="AA122" s="101"/>
      <x:c r="AB122" s="101"/>
      <x:c r="AC122" s="101"/>
      <x:c r="AD122" s="101"/>
      <x:c r="AE122" s="101"/>
    </x:row>
    <x:row r="123">
      <x:c r="A123" s="101"/>
      <x:c r="B123" s="101"/>
      <x:c r="C123" s="101"/>
      <x:c r="D123" s="101"/>
      <x:c r="E123" s="101"/>
      <x:c r="F123" s="101"/>
      <x:c r="G123" s="101"/>
      <x:c r="H123" s="101"/>
      <x:c r="I123" s="101"/>
      <x:c r="J123" s="101"/>
      <x:c r="K123" s="101"/>
      <x:c r="L123" s="101"/>
      <x:c r="M123" s="101"/>
      <x:c r="N123" s="101"/>
      <x:c r="O123" s="101"/>
      <x:c r="P123" s="101"/>
      <x:c r="Q123" s="101"/>
      <x:c r="R123" s="101"/>
      <x:c r="S123" s="101"/>
      <x:c r="T123" s="101"/>
      <x:c r="U123" s="101"/>
      <x:c r="V123" s="101"/>
      <x:c r="W123" s="101"/>
      <x:c r="X123" s="101"/>
      <x:c r="Y123" s="101"/>
      <x:c r="Z123" s="101"/>
      <x:c r="AA123" s="101"/>
      <x:c r="AB123" s="101"/>
      <x:c r="AC123" s="101"/>
      <x:c r="AD123" s="101"/>
      <x:c r="AE123" s="101"/>
    </x:row>
    <x:row r="124">
      <x:c r="A124" s="101"/>
      <x:c r="B124" s="101"/>
      <x:c r="C124" s="101"/>
      <x:c r="D124" s="101"/>
      <x:c r="E124" s="101"/>
      <x:c r="F124" s="101"/>
      <x:c r="G124" s="101"/>
      <x:c r="H124" s="101"/>
      <x:c r="I124" s="101"/>
      <x:c r="J124" s="101"/>
      <x:c r="K124" s="101"/>
      <x:c r="L124" s="101"/>
      <x:c r="M124" s="101"/>
      <x:c r="N124" s="101"/>
      <x:c r="O124" s="101"/>
      <x:c r="P124" s="101"/>
      <x:c r="Q124" s="101"/>
      <x:c r="R124" s="101"/>
      <x:c r="S124" s="101"/>
      <x:c r="T124" s="101"/>
      <x:c r="U124" s="101"/>
      <x:c r="V124" s="101"/>
      <x:c r="W124" s="101"/>
      <x:c r="X124" s="101"/>
      <x:c r="Y124" s="101"/>
      <x:c r="Z124" s="101"/>
      <x:c r="AA124" s="101"/>
      <x:c r="AB124" s="101"/>
      <x:c r="AC124" s="101"/>
      <x:c r="AD124" s="101"/>
      <x:c r="AE124" s="101"/>
    </x:row>
    <x:row r="125">
      <x:c r="A125" s="101"/>
      <x:c r="B125" s="101"/>
      <x:c r="C125" s="101"/>
      <x:c r="D125" s="101"/>
      <x:c r="E125" s="101"/>
      <x:c r="F125" s="101"/>
      <x:c r="G125" s="101"/>
      <x:c r="H125" s="101"/>
      <x:c r="I125" s="101"/>
      <x:c r="J125" s="101"/>
      <x:c r="K125" s="101"/>
      <x:c r="L125" s="101"/>
      <x:c r="M125" s="101"/>
      <x:c r="N125" s="101"/>
      <x:c r="O125" s="101"/>
      <x:c r="P125" s="101"/>
      <x:c r="Q125" s="101"/>
      <x:c r="R125" s="101"/>
      <x:c r="S125" s="101"/>
      <x:c r="T125" s="101"/>
      <x:c r="U125" s="101"/>
      <x:c r="V125" s="101"/>
      <x:c r="W125" s="101"/>
      <x:c r="X125" s="101"/>
      <x:c r="Y125" s="101"/>
      <x:c r="Z125" s="101"/>
      <x:c r="AA125" s="101"/>
      <x:c r="AB125" s="101"/>
      <x:c r="AC125" s="101"/>
      <x:c r="AD125" s="101"/>
      <x:c r="AE125" s="101"/>
    </x:row>
    <x:row r="126">
      <x:c r="A126" s="101"/>
      <x:c r="B126" s="101"/>
      <x:c r="C126" s="101"/>
      <x:c r="D126" s="101"/>
      <x:c r="E126" s="101"/>
      <x:c r="F126" s="101"/>
      <x:c r="G126" s="101"/>
      <x:c r="H126" s="101"/>
      <x:c r="I126" s="101"/>
      <x:c r="J126" s="101"/>
      <x:c r="K126" s="101"/>
      <x:c r="L126" s="101"/>
      <x:c r="M126" s="101"/>
      <x:c r="N126" s="101"/>
      <x:c r="O126" s="101"/>
      <x:c r="P126" s="101"/>
      <x:c r="Q126" s="101"/>
      <x:c r="R126" s="101"/>
      <x:c r="S126" s="101"/>
      <x:c r="T126" s="101"/>
      <x:c r="U126" s="101"/>
      <x:c r="V126" s="101"/>
      <x:c r="W126" s="101"/>
      <x:c r="X126" s="101"/>
      <x:c r="Y126" s="101"/>
      <x:c r="Z126" s="101"/>
      <x:c r="AA126" s="101"/>
      <x:c r="AB126" s="101"/>
      <x:c r="AC126" s="101"/>
      <x:c r="AD126" s="101"/>
      <x:c r="AE126" s="101"/>
    </x:row>
    <x:row r="127">
      <x:c r="A127" s="101"/>
      <x:c r="B127" s="101"/>
      <x:c r="C127" s="101"/>
      <x:c r="D127" s="101"/>
      <x:c r="E127" s="101"/>
      <x:c r="F127" s="101"/>
      <x:c r="G127" s="101"/>
      <x:c r="H127" s="101"/>
      <x:c r="I127" s="101"/>
      <x:c r="J127" s="101"/>
      <x:c r="K127" s="101"/>
      <x:c r="L127" s="101"/>
      <x:c r="M127" s="101"/>
      <x:c r="N127" s="101"/>
      <x:c r="O127" s="101"/>
      <x:c r="P127" s="101"/>
      <x:c r="Q127" s="101"/>
      <x:c r="R127" s="101"/>
      <x:c r="S127" s="101"/>
      <x:c r="T127" s="101"/>
      <x:c r="U127" s="101"/>
      <x:c r="V127" s="101"/>
      <x:c r="W127" s="101"/>
      <x:c r="X127" s="101"/>
      <x:c r="Y127" s="101"/>
      <x:c r="Z127" s="101"/>
      <x:c r="AA127" s="101"/>
      <x:c r="AB127" s="101"/>
      <x:c r="AC127" s="101"/>
      <x:c r="AD127" s="101"/>
      <x:c r="AE127" s="101"/>
    </x:row>
    <x:row r="128">
      <x:c r="A128" s="101"/>
      <x:c r="B128" s="101"/>
      <x:c r="C128" s="101"/>
      <x:c r="D128" s="101"/>
      <x:c r="E128" s="101"/>
      <x:c r="F128" s="101"/>
      <x:c r="G128" s="101"/>
      <x:c r="H128" s="101"/>
      <x:c r="I128" s="101"/>
      <x:c r="J128" s="101"/>
      <x:c r="K128" s="101"/>
      <x:c r="L128" s="101"/>
      <x:c r="M128" s="101"/>
      <x:c r="N128" s="101"/>
      <x:c r="O128" s="101"/>
      <x:c r="P128" s="101"/>
      <x:c r="Q128" s="101"/>
      <x:c r="R128" s="101"/>
      <x:c r="S128" s="101"/>
      <x:c r="T128" s="101"/>
      <x:c r="U128" s="101"/>
      <x:c r="V128" s="101"/>
      <x:c r="W128" s="101"/>
      <x:c r="X128" s="101"/>
      <x:c r="Y128" s="101"/>
      <x:c r="Z128" s="101"/>
      <x:c r="AA128" s="101"/>
      <x:c r="AB128" s="101"/>
      <x:c r="AC128" s="101"/>
      <x:c r="AD128" s="101"/>
      <x:c r="AE128" s="101"/>
    </x:row>
    <x:row r="129">
      <x:c r="A129" s="101"/>
      <x:c r="B129" s="101"/>
      <x:c r="C129" s="101"/>
      <x:c r="D129" s="101"/>
      <x:c r="E129" s="101"/>
      <x:c r="F129" s="101"/>
      <x:c r="G129" s="101"/>
      <x:c r="H129" s="101"/>
      <x:c r="I129" s="101"/>
      <x:c r="J129" s="101"/>
      <x:c r="K129" s="101"/>
      <x:c r="L129" s="101"/>
      <x:c r="M129" s="101"/>
      <x:c r="N129" s="101"/>
      <x:c r="O129" s="101"/>
      <x:c r="P129" s="101"/>
      <x:c r="Q129" s="101"/>
      <x:c r="R129" s="101"/>
      <x:c r="S129" s="101"/>
      <x:c r="T129" s="101"/>
      <x:c r="U129" s="101"/>
      <x:c r="V129" s="101"/>
      <x:c r="W129" s="101"/>
      <x:c r="X129" s="101"/>
      <x:c r="Y129" s="101"/>
      <x:c r="Z129" s="101"/>
      <x:c r="AA129" s="101"/>
      <x:c r="AB129" s="101"/>
      <x:c r="AC129" s="101"/>
      <x:c r="AD129" s="101"/>
      <x:c r="AE129" s="101"/>
    </x:row>
    <x:row r="130">
      <x:c r="A130" s="101"/>
      <x:c r="B130" s="101"/>
      <x:c r="C130" s="101"/>
      <x:c r="D130" s="101"/>
      <x:c r="E130" s="101"/>
      <x:c r="F130" s="101"/>
      <x:c r="G130" s="101"/>
      <x:c r="H130" s="101"/>
      <x:c r="I130" s="101"/>
      <x:c r="J130" s="101"/>
      <x:c r="K130" s="101"/>
      <x:c r="L130" s="101"/>
      <x:c r="M130" s="101"/>
      <x:c r="N130" s="101"/>
      <x:c r="O130" s="101"/>
      <x:c r="P130" s="101"/>
      <x:c r="Q130" s="101"/>
      <x:c r="R130" s="101"/>
      <x:c r="S130" s="101"/>
      <x:c r="T130" s="101"/>
      <x:c r="U130" s="101"/>
      <x:c r="V130" s="101"/>
      <x:c r="W130" s="101"/>
      <x:c r="X130" s="101"/>
      <x:c r="Y130" s="101"/>
      <x:c r="Z130" s="101"/>
      <x:c r="AA130" s="101"/>
      <x:c r="AB130" s="101"/>
      <x:c r="AC130" s="101"/>
      <x:c r="AD130" s="101"/>
      <x:c r="AE130" s="101"/>
    </x:row>
    <x:row r="131">
      <x:c r="A131" s="101"/>
      <x:c r="B131" s="101"/>
      <x:c r="C131" s="101"/>
      <x:c r="D131" s="101"/>
      <x:c r="E131" s="101"/>
      <x:c r="F131" s="101"/>
      <x:c r="G131" s="101"/>
      <x:c r="H131" s="101"/>
      <x:c r="I131" s="101"/>
      <x:c r="J131" s="101"/>
      <x:c r="K131" s="101"/>
      <x:c r="L131" s="101"/>
      <x:c r="M131" s="101"/>
      <x:c r="N131" s="101"/>
      <x:c r="O131" s="101"/>
      <x:c r="P131" s="101"/>
      <x:c r="Q131" s="101"/>
      <x:c r="R131" s="101"/>
      <x:c r="S131" s="101"/>
      <x:c r="T131" s="101"/>
      <x:c r="U131" s="101"/>
      <x:c r="V131" s="101"/>
      <x:c r="W131" s="101"/>
      <x:c r="X131" s="101"/>
      <x:c r="Y131" s="101"/>
      <x:c r="Z131" s="101"/>
      <x:c r="AA131" s="101"/>
      <x:c r="AB131" s="101"/>
      <x:c r="AC131" s="101"/>
      <x:c r="AD131" s="101"/>
      <x:c r="AE131" s="101"/>
    </x:row>
    <x:row r="132">
      <x:c r="A132" s="101"/>
      <x:c r="B132" s="101"/>
      <x:c r="C132" s="101"/>
      <x:c r="D132" s="101"/>
      <x:c r="E132" s="101"/>
      <x:c r="F132" s="101"/>
      <x:c r="G132" s="101"/>
      <x:c r="H132" s="101"/>
      <x:c r="I132" s="101"/>
      <x:c r="J132" s="101"/>
      <x:c r="K132" s="101"/>
      <x:c r="L132" s="101"/>
      <x:c r="M132" s="101"/>
      <x:c r="N132" s="101"/>
      <x:c r="O132" s="101"/>
      <x:c r="P132" s="101"/>
      <x:c r="Q132" s="101"/>
      <x:c r="R132" s="101"/>
      <x:c r="S132" s="101"/>
      <x:c r="T132" s="101"/>
      <x:c r="U132" s="101"/>
      <x:c r="V132" s="101"/>
      <x:c r="W132" s="101"/>
      <x:c r="X132" s="101"/>
      <x:c r="Y132" s="101"/>
      <x:c r="Z132" s="101"/>
      <x:c r="AA132" s="101"/>
      <x:c r="AB132" s="101"/>
      <x:c r="AC132" s="101"/>
      <x:c r="AD132" s="101"/>
      <x:c r="AE132" s="101"/>
    </x:row>
    <x:row r="133">
      <x:c r="A133" s="101"/>
      <x:c r="B133" s="101"/>
      <x:c r="C133" s="101"/>
      <x:c r="D133" s="101"/>
      <x:c r="E133" s="101"/>
      <x:c r="F133" s="101"/>
      <x:c r="G133" s="101"/>
      <x:c r="H133" s="101"/>
      <x:c r="I133" s="101"/>
      <x:c r="J133" s="101"/>
      <x:c r="K133" s="101"/>
      <x:c r="L133" s="101"/>
      <x:c r="M133" s="101"/>
      <x:c r="N133" s="101"/>
      <x:c r="O133" s="101"/>
      <x:c r="P133" s="101"/>
      <x:c r="Q133" s="101"/>
      <x:c r="R133" s="101"/>
      <x:c r="S133" s="101"/>
      <x:c r="T133" s="101"/>
      <x:c r="U133" s="101"/>
      <x:c r="V133" s="101"/>
      <x:c r="W133" s="101"/>
      <x:c r="X133" s="101"/>
      <x:c r="Y133" s="101"/>
      <x:c r="Z133" s="101"/>
      <x:c r="AA133" s="101"/>
      <x:c r="AB133" s="101"/>
      <x:c r="AC133" s="101"/>
      <x:c r="AD133" s="101"/>
      <x:c r="AE133" s="101"/>
    </x:row>
    <x:row r="134">
      <x:c r="A134" s="101"/>
      <x:c r="B134" s="101"/>
      <x:c r="C134" s="101"/>
      <x:c r="D134" s="101"/>
      <x:c r="E134" s="101"/>
      <x:c r="F134" s="101"/>
      <x:c r="G134" s="101"/>
      <x:c r="H134" s="101"/>
      <x:c r="I134" s="101"/>
      <x:c r="J134" s="101"/>
      <x:c r="K134" s="101"/>
      <x:c r="L134" s="101"/>
      <x:c r="M134" s="101"/>
      <x:c r="N134" s="101"/>
      <x:c r="O134" s="101"/>
      <x:c r="P134" s="101"/>
      <x:c r="Q134" s="101"/>
      <x:c r="R134" s="101"/>
      <x:c r="S134" s="101"/>
      <x:c r="T134" s="101"/>
      <x:c r="U134" s="101"/>
      <x:c r="V134" s="101"/>
      <x:c r="W134" s="101"/>
      <x:c r="X134" s="101"/>
      <x:c r="Y134" s="101"/>
      <x:c r="Z134" s="101"/>
      <x:c r="AA134" s="101"/>
      <x:c r="AB134" s="101"/>
      <x:c r="AC134" s="101"/>
      <x:c r="AD134" s="101"/>
      <x:c r="AE134" s="101"/>
    </x:row>
    <x:row r="135">
      <x:c r="A135" s="101"/>
      <x:c r="B135" s="101"/>
      <x:c r="C135" s="101"/>
      <x:c r="D135" s="101"/>
      <x:c r="E135" s="101"/>
      <x:c r="F135" s="101"/>
      <x:c r="G135" s="101"/>
      <x:c r="H135" s="101"/>
      <x:c r="I135" s="101"/>
      <x:c r="J135" s="101"/>
      <x:c r="K135" s="101"/>
      <x:c r="L135" s="101"/>
      <x:c r="M135" s="101"/>
      <x:c r="N135" s="101"/>
      <x:c r="O135" s="101"/>
      <x:c r="P135" s="101"/>
      <x:c r="Q135" s="101"/>
      <x:c r="R135" s="101"/>
      <x:c r="S135" s="101"/>
      <x:c r="T135" s="101"/>
      <x:c r="U135" s="101"/>
      <x:c r="V135" s="101"/>
      <x:c r="W135" s="101"/>
      <x:c r="X135" s="101"/>
      <x:c r="Y135" s="101"/>
      <x:c r="Z135" s="101"/>
      <x:c r="AA135" s="101"/>
      <x:c r="AB135" s="101"/>
      <x:c r="AC135" s="101"/>
      <x:c r="AD135" s="101"/>
      <x:c r="AE135" s="101"/>
    </x:row>
    <x:row r="136">
      <x:c r="A136" s="101"/>
      <x:c r="B136" s="101"/>
      <x:c r="C136" s="101"/>
      <x:c r="D136" s="101"/>
      <x:c r="E136" s="101"/>
      <x:c r="F136" s="101"/>
      <x:c r="G136" s="101"/>
      <x:c r="H136" s="101"/>
      <x:c r="I136" s="101"/>
      <x:c r="J136" s="101"/>
      <x:c r="K136" s="101"/>
      <x:c r="L136" s="101"/>
      <x:c r="M136" s="101"/>
      <x:c r="N136" s="101"/>
      <x:c r="O136" s="101"/>
      <x:c r="P136" s="101"/>
      <x:c r="Q136" s="101"/>
      <x:c r="R136" s="101"/>
      <x:c r="S136" s="101"/>
      <x:c r="T136" s="101"/>
      <x:c r="U136" s="101"/>
      <x:c r="V136" s="101"/>
      <x:c r="W136" s="101"/>
      <x:c r="X136" s="101"/>
      <x:c r="Y136" s="101"/>
      <x:c r="Z136" s="101"/>
      <x:c r="AA136" s="101"/>
      <x:c r="AB136" s="101"/>
      <x:c r="AC136" s="101"/>
      <x:c r="AD136" s="101"/>
      <x:c r="AE136" s="101"/>
    </x:row>
    <x:row r="137">
      <x:c r="A137" s="101"/>
      <x:c r="B137" s="101"/>
      <x:c r="C137" s="101"/>
      <x:c r="D137" s="101"/>
      <x:c r="E137" s="101"/>
      <x:c r="F137" s="101"/>
      <x:c r="G137" s="101"/>
      <x:c r="H137" s="101"/>
      <x:c r="I137" s="101"/>
      <x:c r="J137" s="101"/>
      <x:c r="K137" s="101"/>
      <x:c r="L137" s="101"/>
      <x:c r="M137" s="101"/>
      <x:c r="N137" s="101"/>
      <x:c r="O137" s="101"/>
      <x:c r="P137" s="101"/>
      <x:c r="Q137" s="101"/>
      <x:c r="R137" s="101"/>
      <x:c r="S137" s="101"/>
      <x:c r="T137" s="101"/>
      <x:c r="U137" s="101"/>
      <x:c r="V137" s="101"/>
      <x:c r="W137" s="101"/>
      <x:c r="X137" s="101"/>
      <x:c r="Y137" s="101"/>
      <x:c r="Z137" s="101"/>
      <x:c r="AA137" s="101"/>
      <x:c r="AB137" s="101"/>
      <x:c r="AC137" s="101"/>
      <x:c r="AD137" s="101"/>
      <x:c r="AE137" s="101"/>
    </x:row>
    <x:row r="138">
      <x:c r="A138" s="101"/>
      <x:c r="B138" s="101"/>
      <x:c r="C138" s="101"/>
      <x:c r="D138" s="101"/>
      <x:c r="E138" s="101"/>
      <x:c r="F138" s="101"/>
      <x:c r="G138" s="101"/>
      <x:c r="H138" s="101"/>
      <x:c r="I138" s="101"/>
      <x:c r="J138" s="101"/>
      <x:c r="K138" s="101"/>
      <x:c r="L138" s="101"/>
      <x:c r="M138" s="101"/>
      <x:c r="N138" s="101"/>
      <x:c r="O138" s="101"/>
      <x:c r="P138" s="101"/>
      <x:c r="Q138" s="101"/>
      <x:c r="R138" s="101"/>
      <x:c r="S138" s="101"/>
      <x:c r="T138" s="101"/>
      <x:c r="U138" s="101"/>
      <x:c r="V138" s="101"/>
      <x:c r="W138" s="101"/>
      <x:c r="X138" s="101"/>
      <x:c r="Y138" s="101"/>
      <x:c r="Z138" s="101"/>
      <x:c r="AA138" s="101"/>
      <x:c r="AB138" s="101"/>
      <x:c r="AC138" s="101"/>
      <x:c r="AD138" s="101"/>
      <x:c r="AE138" s="101"/>
    </x:row>
    <x:row r="139">
      <x:c r="A139" s="101"/>
      <x:c r="B139" s="101"/>
      <x:c r="C139" s="101"/>
      <x:c r="D139" s="101"/>
      <x:c r="E139" s="101"/>
      <x:c r="F139" s="101"/>
      <x:c r="G139" s="101"/>
      <x:c r="H139" s="101"/>
      <x:c r="I139" s="101"/>
      <x:c r="J139" s="101"/>
      <x:c r="K139" s="101"/>
      <x:c r="L139" s="101"/>
      <x:c r="M139" s="101"/>
      <x:c r="N139" s="101"/>
      <x:c r="O139" s="101"/>
      <x:c r="P139" s="101"/>
      <x:c r="Q139" s="101"/>
      <x:c r="R139" s="101"/>
      <x:c r="S139" s="101"/>
      <x:c r="T139" s="101"/>
      <x:c r="U139" s="101"/>
      <x:c r="V139" s="101"/>
      <x:c r="W139" s="101"/>
      <x:c r="X139" s="101"/>
      <x:c r="Y139" s="101"/>
      <x:c r="Z139" s="101"/>
      <x:c r="AA139" s="101"/>
      <x:c r="AB139" s="101"/>
      <x:c r="AC139" s="101"/>
      <x:c r="AD139" s="101"/>
      <x:c r="AE139" s="101"/>
    </x:row>
    <x:row r="140">
      <x:c r="A140" s="101"/>
      <x:c r="B140" s="101"/>
      <x:c r="C140" s="101"/>
      <x:c r="D140" s="101"/>
      <x:c r="E140" s="101"/>
      <x:c r="F140" s="101"/>
      <x:c r="G140" s="101"/>
      <x:c r="H140" s="101"/>
      <x:c r="I140" s="101"/>
      <x:c r="J140" s="101"/>
      <x:c r="K140" s="101"/>
      <x:c r="L140" s="101"/>
      <x:c r="M140" s="101"/>
      <x:c r="N140" s="101"/>
      <x:c r="O140" s="101"/>
      <x:c r="P140" s="101"/>
      <x:c r="Q140" s="101"/>
      <x:c r="R140" s="101"/>
      <x:c r="S140" s="101"/>
      <x:c r="T140" s="101"/>
      <x:c r="U140" s="101"/>
      <x:c r="V140" s="101"/>
      <x:c r="W140" s="101"/>
      <x:c r="X140" s="101"/>
      <x:c r="Y140" s="101"/>
      <x:c r="Z140" s="101"/>
      <x:c r="AA140" s="101"/>
      <x:c r="AB140" s="101"/>
      <x:c r="AC140" s="101"/>
      <x:c r="AD140" s="101"/>
      <x:c r="AE140" s="101"/>
    </x:row>
    <x:row r="141">
      <x:c r="A141" s="101"/>
      <x:c r="B141" s="101"/>
      <x:c r="C141" s="101"/>
      <x:c r="D141" s="101"/>
      <x:c r="E141" s="101"/>
      <x:c r="F141" s="101"/>
      <x:c r="G141" s="101"/>
      <x:c r="H141" s="101"/>
      <x:c r="I141" s="101"/>
      <x:c r="J141" s="101"/>
      <x:c r="K141" s="101"/>
      <x:c r="L141" s="101"/>
      <x:c r="M141" s="101"/>
      <x:c r="N141" s="101"/>
      <x:c r="O141" s="101"/>
      <x:c r="P141" s="101"/>
      <x:c r="Q141" s="101"/>
      <x:c r="R141" s="101"/>
      <x:c r="S141" s="101"/>
      <x:c r="T141" s="101"/>
      <x:c r="U141" s="101"/>
      <x:c r="V141" s="101"/>
      <x:c r="W141" s="101"/>
      <x:c r="X141" s="101"/>
      <x:c r="Y141" s="101"/>
      <x:c r="Z141" s="101"/>
      <x:c r="AA141" s="101"/>
      <x:c r="AB141" s="101"/>
      <x:c r="AC141" s="101"/>
      <x:c r="AD141" s="101"/>
      <x:c r="AE141" s="101"/>
    </x:row>
    <x:row r="142">
      <x:c r="A142" s="101"/>
      <x:c r="B142" s="101"/>
      <x:c r="C142" s="101"/>
      <x:c r="D142" s="101"/>
      <x:c r="E142" s="101"/>
      <x:c r="F142" s="101"/>
      <x:c r="G142" s="101"/>
      <x:c r="H142" s="101"/>
      <x:c r="I142" s="101"/>
      <x:c r="J142" s="101"/>
      <x:c r="K142" s="101"/>
      <x:c r="L142" s="101"/>
      <x:c r="M142" s="101"/>
      <x:c r="N142" s="101"/>
      <x:c r="O142" s="101"/>
      <x:c r="P142" s="101"/>
      <x:c r="Q142" s="101"/>
      <x:c r="R142" s="101"/>
      <x:c r="S142" s="101"/>
      <x:c r="T142" s="101"/>
      <x:c r="U142" s="101"/>
      <x:c r="V142" s="101"/>
      <x:c r="W142" s="101"/>
      <x:c r="X142" s="101"/>
      <x:c r="Y142" s="101"/>
      <x:c r="Z142" s="101"/>
      <x:c r="AA142" s="101"/>
      <x:c r="AB142" s="101"/>
      <x:c r="AC142" s="101"/>
      <x:c r="AD142" s="101"/>
      <x:c r="AE142" s="101"/>
    </x:row>
    <x:row r="143">
      <x:c r="A143" s="101"/>
      <x:c r="B143" s="101"/>
      <x:c r="C143" s="101"/>
      <x:c r="D143" s="101"/>
      <x:c r="E143" s="101"/>
      <x:c r="F143" s="101"/>
      <x:c r="G143" s="101"/>
      <x:c r="H143" s="101"/>
      <x:c r="I143" s="101"/>
      <x:c r="J143" s="101"/>
      <x:c r="K143" s="101"/>
      <x:c r="L143" s="101"/>
      <x:c r="M143" s="101"/>
      <x:c r="N143" s="101"/>
      <x:c r="O143" s="101"/>
      <x:c r="P143" s="101"/>
      <x:c r="Q143" s="101"/>
      <x:c r="R143" s="101"/>
      <x:c r="S143" s="101"/>
      <x:c r="T143" s="101"/>
      <x:c r="U143" s="101"/>
      <x:c r="V143" s="101"/>
      <x:c r="W143" s="101"/>
      <x:c r="X143" s="101"/>
      <x:c r="Y143" s="101"/>
      <x:c r="Z143" s="101"/>
      <x:c r="AA143" s="101"/>
      <x:c r="AB143" s="101"/>
      <x:c r="AC143" s="101"/>
      <x:c r="AD143" s="101"/>
      <x:c r="AE143" s="101"/>
    </x:row>
    <x:row r="144">
      <x:c r="A144" s="101"/>
      <x:c r="B144" s="101"/>
      <x:c r="C144" s="101"/>
      <x:c r="D144" s="101"/>
      <x:c r="E144" s="101"/>
      <x:c r="F144" s="101"/>
      <x:c r="G144" s="101"/>
      <x:c r="H144" s="101"/>
      <x:c r="I144" s="101"/>
      <x:c r="J144" s="101"/>
      <x:c r="K144" s="101"/>
      <x:c r="L144" s="101"/>
      <x:c r="M144" s="101"/>
      <x:c r="N144" s="101"/>
      <x:c r="O144" s="101"/>
      <x:c r="P144" s="101"/>
      <x:c r="Q144" s="101"/>
      <x:c r="R144" s="101"/>
      <x:c r="S144" s="101"/>
      <x:c r="T144" s="101"/>
      <x:c r="U144" s="101"/>
      <x:c r="V144" s="101"/>
      <x:c r="W144" s="101"/>
      <x:c r="X144" s="101"/>
      <x:c r="Y144" s="101"/>
      <x:c r="Z144" s="101"/>
      <x:c r="AA144" s="101"/>
      <x:c r="AB144" s="101"/>
      <x:c r="AC144" s="101"/>
      <x:c r="AD144" s="101"/>
      <x:c r="AE144" s="101"/>
    </x:row>
    <x:row r="145">
      <x:c r="A145" s="101"/>
      <x:c r="B145" s="101"/>
      <x:c r="C145" s="101"/>
      <x:c r="D145" s="101"/>
      <x:c r="E145" s="101"/>
      <x:c r="F145" s="101"/>
      <x:c r="G145" s="101"/>
      <x:c r="H145" s="101"/>
      <x:c r="I145" s="101"/>
      <x:c r="J145" s="101"/>
      <x:c r="K145" s="101"/>
      <x:c r="L145" s="101"/>
      <x:c r="M145" s="101"/>
      <x:c r="N145" s="101"/>
      <x:c r="O145" s="101"/>
      <x:c r="P145" s="101"/>
      <x:c r="Q145" s="101"/>
      <x:c r="R145" s="101"/>
      <x:c r="S145" s="101"/>
      <x:c r="T145" s="101"/>
      <x:c r="U145" s="101"/>
      <x:c r="V145" s="101"/>
      <x:c r="W145" s="101"/>
      <x:c r="X145" s="101"/>
      <x:c r="Y145" s="101"/>
      <x:c r="Z145" s="101"/>
      <x:c r="AA145" s="101"/>
      <x:c r="AB145" s="101"/>
      <x:c r="AC145" s="101"/>
      <x:c r="AD145" s="101"/>
      <x:c r="AE145" s="101"/>
    </x:row>
    <x:row r="146">
      <x:c r="A146" s="101"/>
      <x:c r="B146" s="101"/>
      <x:c r="C146" s="101"/>
      <x:c r="D146" s="101"/>
      <x:c r="E146" s="101"/>
      <x:c r="F146" s="101"/>
      <x:c r="G146" s="101"/>
      <x:c r="H146" s="101"/>
      <x:c r="I146" s="101"/>
      <x:c r="J146" s="101"/>
      <x:c r="K146" s="101"/>
      <x:c r="L146" s="101"/>
      <x:c r="M146" s="101"/>
      <x:c r="N146" s="101"/>
      <x:c r="O146" s="101"/>
      <x:c r="P146" s="101"/>
      <x:c r="Q146" s="101"/>
      <x:c r="R146" s="101"/>
      <x:c r="S146" s="101"/>
      <x:c r="T146" s="101"/>
      <x:c r="U146" s="101"/>
      <x:c r="V146" s="101"/>
      <x:c r="W146" s="101"/>
      <x:c r="X146" s="101"/>
      <x:c r="Y146" s="101"/>
      <x:c r="Z146" s="101"/>
      <x:c r="AA146" s="101"/>
      <x:c r="AB146" s="101"/>
      <x:c r="AC146" s="101"/>
      <x:c r="AD146" s="101"/>
      <x:c r="AE146" s="101"/>
    </x:row>
    <x:row r="147">
      <x:c r="A147" s="101"/>
      <x:c r="B147" s="101"/>
      <x:c r="C147" s="101"/>
      <x:c r="D147" s="101"/>
      <x:c r="E147" s="101"/>
      <x:c r="F147" s="101"/>
      <x:c r="G147" s="101"/>
      <x:c r="H147" s="101"/>
      <x:c r="I147" s="101"/>
      <x:c r="J147" s="101"/>
      <x:c r="K147" s="101"/>
      <x:c r="L147" s="101"/>
      <x:c r="M147" s="101"/>
      <x:c r="N147" s="101"/>
      <x:c r="O147" s="101"/>
      <x:c r="P147" s="101"/>
      <x:c r="Q147" s="101"/>
      <x:c r="R147" s="101"/>
      <x:c r="S147" s="101"/>
      <x:c r="T147" s="101"/>
      <x:c r="U147" s="101"/>
      <x:c r="V147" s="101"/>
      <x:c r="W147" s="101"/>
      <x:c r="X147" s="101"/>
      <x:c r="Y147" s="101"/>
      <x:c r="Z147" s="101"/>
      <x:c r="AA147" s="101"/>
      <x:c r="AB147" s="101"/>
      <x:c r="AC147" s="101"/>
      <x:c r="AD147" s="101"/>
      <x:c r="AE147" s="101"/>
    </x:row>
    <x:row r="148">
      <x:c r="A148" s="101"/>
      <x:c r="B148" s="101"/>
      <x:c r="C148" s="101"/>
      <x:c r="D148" s="101"/>
      <x:c r="E148" s="101"/>
      <x:c r="F148" s="101"/>
      <x:c r="G148" s="101"/>
      <x:c r="H148" s="101"/>
      <x:c r="I148" s="101"/>
      <x:c r="J148" s="101"/>
      <x:c r="K148" s="101"/>
      <x:c r="L148" s="101"/>
      <x:c r="M148" s="101"/>
      <x:c r="N148" s="101"/>
      <x:c r="O148" s="101"/>
      <x:c r="P148" s="101"/>
      <x:c r="Q148" s="101"/>
      <x:c r="R148" s="101"/>
      <x:c r="S148" s="101"/>
      <x:c r="T148" s="101"/>
      <x:c r="U148" s="101"/>
      <x:c r="V148" s="101"/>
      <x:c r="W148" s="101"/>
      <x:c r="X148" s="101"/>
      <x:c r="Y148" s="101"/>
      <x:c r="Z148" s="101"/>
      <x:c r="AA148" s="101"/>
      <x:c r="AB148" s="101"/>
      <x:c r="AC148" s="101"/>
      <x:c r="AD148" s="101"/>
      <x:c r="AE148" s="101"/>
    </x:row>
    <x:row r="149">
      <x:c r="A149" s="101"/>
      <x:c r="B149" s="101"/>
      <x:c r="C149" s="101"/>
      <x:c r="D149" s="101"/>
      <x:c r="E149" s="101"/>
      <x:c r="F149" s="101"/>
      <x:c r="G149" s="101"/>
      <x:c r="H149" s="101"/>
      <x:c r="I149" s="101"/>
      <x:c r="J149" s="101"/>
      <x:c r="K149" s="101"/>
      <x:c r="L149" s="101"/>
      <x:c r="M149" s="101"/>
      <x:c r="N149" s="101"/>
      <x:c r="O149" s="101"/>
      <x:c r="P149" s="101"/>
      <x:c r="Q149" s="101"/>
      <x:c r="R149" s="101"/>
      <x:c r="S149" s="101"/>
      <x:c r="T149" s="101"/>
      <x:c r="U149" s="101"/>
      <x:c r="V149" s="101"/>
      <x:c r="W149" s="101"/>
      <x:c r="X149" s="101"/>
      <x:c r="Y149" s="101"/>
      <x:c r="Z149" s="101"/>
      <x:c r="AA149" s="101"/>
      <x:c r="AB149" s="101"/>
      <x:c r="AC149" s="101"/>
      <x:c r="AD149" s="101"/>
      <x:c r="AE149" s="101"/>
    </x:row>
    <x:row r="150">
      <x:c r="A150" s="101"/>
      <x:c r="B150" s="101"/>
      <x:c r="C150" s="101"/>
      <x:c r="D150" s="101"/>
      <x:c r="E150" s="101"/>
      <x:c r="F150" s="101"/>
      <x:c r="G150" s="101"/>
      <x:c r="H150" s="101"/>
      <x:c r="I150" s="101"/>
      <x:c r="J150" s="101"/>
      <x:c r="K150" s="101"/>
      <x:c r="L150" s="101"/>
      <x:c r="M150" s="101"/>
      <x:c r="N150" s="101"/>
      <x:c r="O150" s="101"/>
      <x:c r="P150" s="101"/>
      <x:c r="Q150" s="101"/>
      <x:c r="R150" s="101"/>
      <x:c r="S150" s="101"/>
      <x:c r="T150" s="101"/>
      <x:c r="U150" s="101"/>
      <x:c r="V150" s="101"/>
      <x:c r="W150" s="101"/>
      <x:c r="X150" s="101"/>
      <x:c r="Y150" s="101"/>
      <x:c r="Z150" s="101"/>
      <x:c r="AA150" s="101"/>
      <x:c r="AB150" s="101"/>
      <x:c r="AC150" s="101"/>
      <x:c r="AD150" s="101"/>
      <x:c r="AE150" s="101"/>
    </x:row>
    <x:row r="151">
      <x:c r="A151" s="101"/>
      <x:c r="B151" s="101"/>
      <x:c r="C151" s="101"/>
      <x:c r="D151" s="101"/>
      <x:c r="E151" s="101"/>
      <x:c r="F151" s="101"/>
      <x:c r="G151" s="101"/>
      <x:c r="H151" s="101"/>
      <x:c r="I151" s="101"/>
      <x:c r="J151" s="101"/>
      <x:c r="K151" s="101"/>
      <x:c r="L151" s="101"/>
      <x:c r="M151" s="101"/>
      <x:c r="N151" s="101"/>
      <x:c r="O151" s="101"/>
      <x:c r="P151" s="101"/>
      <x:c r="Q151" s="101"/>
      <x:c r="R151" s="101"/>
      <x:c r="S151" s="101"/>
      <x:c r="T151" s="101"/>
      <x:c r="U151" s="101"/>
      <x:c r="V151" s="101"/>
      <x:c r="W151" s="101"/>
      <x:c r="X151" s="101"/>
      <x:c r="Y151" s="101"/>
      <x:c r="Z151" s="101"/>
      <x:c r="AA151" s="101"/>
      <x:c r="AB151" s="101"/>
      <x:c r="AC151" s="101"/>
      <x:c r="AD151" s="101"/>
      <x:c r="AE151" s="101"/>
    </x:row>
    <x:row r="152">
      <x:c r="A152" s="101"/>
      <x:c r="B152" s="101"/>
      <x:c r="C152" s="101"/>
      <x:c r="D152" s="101"/>
      <x:c r="E152" s="101"/>
      <x:c r="F152" s="101"/>
      <x:c r="G152" s="101"/>
      <x:c r="H152" s="101"/>
      <x:c r="I152" s="101"/>
      <x:c r="J152" s="101"/>
      <x:c r="K152" s="101"/>
      <x:c r="L152" s="101"/>
      <x:c r="M152" s="101"/>
      <x:c r="N152" s="101"/>
      <x:c r="O152" s="101"/>
      <x:c r="P152" s="101"/>
      <x:c r="Q152" s="101"/>
      <x:c r="R152" s="101"/>
      <x:c r="S152" s="101"/>
      <x:c r="T152" s="101"/>
      <x:c r="U152" s="101"/>
      <x:c r="V152" s="101"/>
      <x:c r="W152" s="101"/>
      <x:c r="X152" s="101"/>
      <x:c r="Y152" s="101"/>
      <x:c r="Z152" s="101"/>
      <x:c r="AA152" s="101"/>
      <x:c r="AB152" s="101"/>
      <x:c r="AC152" s="101"/>
      <x:c r="AD152" s="101"/>
      <x:c r="AE152" s="101"/>
    </x:row>
    <x:row r="153">
      <x:c r="A153" s="101"/>
      <x:c r="B153" s="101"/>
      <x:c r="C153" s="101"/>
      <x:c r="D153" s="101"/>
      <x:c r="E153" s="101"/>
      <x:c r="F153" s="101"/>
      <x:c r="G153" s="101"/>
      <x:c r="H153" s="101"/>
      <x:c r="I153" s="101"/>
      <x:c r="J153" s="101"/>
      <x:c r="K153" s="101"/>
      <x:c r="L153" s="101"/>
      <x:c r="M153" s="101"/>
      <x:c r="N153" s="101"/>
      <x:c r="O153" s="101"/>
      <x:c r="P153" s="101"/>
      <x:c r="Q153" s="101"/>
      <x:c r="R153" s="101"/>
      <x:c r="S153" s="101"/>
      <x:c r="T153" s="101"/>
      <x:c r="U153" s="101"/>
      <x:c r="V153" s="101"/>
      <x:c r="W153" s="101"/>
      <x:c r="X153" s="101"/>
      <x:c r="Y153" s="101"/>
      <x:c r="Z153" s="101"/>
      <x:c r="AA153" s="101"/>
      <x:c r="AB153" s="101"/>
      <x:c r="AC153" s="101"/>
      <x:c r="AD153" s="101"/>
      <x:c r="AE153" s="101"/>
    </x:row>
    <x:row r="154">
      <x:c r="A154" s="101"/>
      <x:c r="B154" s="101"/>
      <x:c r="C154" s="101"/>
      <x:c r="D154" s="101"/>
      <x:c r="E154" s="101"/>
      <x:c r="F154" s="101"/>
      <x:c r="G154" s="101"/>
      <x:c r="H154" s="101"/>
      <x:c r="I154" s="101"/>
      <x:c r="J154" s="101"/>
      <x:c r="K154" s="101"/>
      <x:c r="L154" s="101"/>
      <x:c r="M154" s="101"/>
      <x:c r="N154" s="101"/>
      <x:c r="O154" s="101"/>
      <x:c r="P154" s="101"/>
      <x:c r="Q154" s="101"/>
      <x:c r="R154" s="101"/>
      <x:c r="S154" s="101"/>
      <x:c r="T154" s="101"/>
      <x:c r="U154" s="101"/>
      <x:c r="V154" s="101"/>
      <x:c r="W154" s="101"/>
      <x:c r="X154" s="101"/>
      <x:c r="Y154" s="101"/>
      <x:c r="Z154" s="101"/>
      <x:c r="AA154" s="101"/>
      <x:c r="AB154" s="101"/>
      <x:c r="AC154" s="101"/>
      <x:c r="AD154" s="101"/>
      <x:c r="AE154" s="101"/>
    </x:row>
    <x:row r="155">
      <x:c r="A155" s="101"/>
      <x:c r="B155" s="101"/>
      <x:c r="C155" s="101"/>
      <x:c r="D155" s="101"/>
      <x:c r="E155" s="101"/>
      <x:c r="F155" s="101"/>
      <x:c r="G155" s="101"/>
      <x:c r="H155" s="101"/>
      <x:c r="I155" s="101"/>
      <x:c r="J155" s="101"/>
      <x:c r="K155" s="101"/>
      <x:c r="L155" s="101"/>
      <x:c r="M155" s="101"/>
      <x:c r="N155" s="101"/>
      <x:c r="O155" s="101"/>
      <x:c r="P155" s="101"/>
      <x:c r="Q155" s="101"/>
      <x:c r="R155" s="101"/>
      <x:c r="S155" s="101"/>
      <x:c r="T155" s="101"/>
      <x:c r="U155" s="101"/>
      <x:c r="V155" s="101"/>
      <x:c r="W155" s="101"/>
      <x:c r="X155" s="101"/>
      <x:c r="Y155" s="101"/>
      <x:c r="Z155" s="101"/>
      <x:c r="AA155" s="101"/>
      <x:c r="AB155" s="101"/>
      <x:c r="AC155" s="101"/>
      <x:c r="AD155" s="101"/>
      <x:c r="AE155" s="101"/>
    </x:row>
    <x:row r="156">
      <x:c r="A156" s="101"/>
      <x:c r="B156" s="101"/>
      <x:c r="C156" s="101"/>
      <x:c r="D156" s="101"/>
      <x:c r="E156" s="101"/>
      <x:c r="F156" s="101"/>
      <x:c r="G156" s="101"/>
      <x:c r="H156" s="101"/>
      <x:c r="I156" s="101"/>
      <x:c r="J156" s="101"/>
      <x:c r="K156" s="101"/>
      <x:c r="L156" s="101"/>
      <x:c r="M156" s="101"/>
      <x:c r="N156" s="101"/>
      <x:c r="O156" s="101"/>
      <x:c r="P156" s="101"/>
      <x:c r="Q156" s="101"/>
      <x:c r="R156" s="101"/>
      <x:c r="S156" s="101"/>
      <x:c r="T156" s="101"/>
      <x:c r="U156" s="101"/>
      <x:c r="V156" s="101"/>
      <x:c r="W156" s="101"/>
      <x:c r="X156" s="101"/>
      <x:c r="Y156" s="101"/>
      <x:c r="Z156" s="101"/>
      <x:c r="AA156" s="101"/>
      <x:c r="AB156" s="101"/>
      <x:c r="AC156" s="101"/>
      <x:c r="AD156" s="101"/>
      <x:c r="AE156" s="101"/>
    </x:row>
    <x:row r="157">
      <x:c r="A157" s="101"/>
      <x:c r="B157" s="101"/>
      <x:c r="C157" s="101"/>
      <x:c r="D157" s="101"/>
      <x:c r="E157" s="101"/>
      <x:c r="F157" s="101"/>
      <x:c r="G157" s="101"/>
      <x:c r="H157" s="101"/>
      <x:c r="I157" s="101"/>
      <x:c r="J157" s="101"/>
      <x:c r="K157" s="101"/>
      <x:c r="L157" s="101"/>
      <x:c r="M157" s="101"/>
      <x:c r="N157" s="101"/>
      <x:c r="O157" s="101"/>
      <x:c r="P157" s="101"/>
      <x:c r="Q157" s="101"/>
      <x:c r="R157" s="101"/>
      <x:c r="S157" s="101"/>
      <x:c r="T157" s="101"/>
      <x:c r="U157" s="101"/>
      <x:c r="V157" s="101"/>
      <x:c r="W157" s="101"/>
      <x:c r="X157" s="101"/>
      <x:c r="Y157" s="101"/>
      <x:c r="Z157" s="101"/>
      <x:c r="AA157" s="101"/>
      <x:c r="AB157" s="101"/>
      <x:c r="AC157" s="101"/>
      <x:c r="AD157" s="101"/>
      <x:c r="AE157" s="101"/>
    </x:row>
    <x:row r="158">
      <x:c r="A158" s="101"/>
      <x:c r="B158" s="101"/>
      <x:c r="C158" s="101"/>
      <x:c r="D158" s="101"/>
      <x:c r="E158" s="101"/>
      <x:c r="F158" s="101"/>
      <x:c r="G158" s="101"/>
      <x:c r="H158" s="101"/>
      <x:c r="I158" s="101"/>
      <x:c r="J158" s="101"/>
      <x:c r="K158" s="101"/>
      <x:c r="L158" s="101"/>
      <x:c r="M158" s="101"/>
      <x:c r="N158" s="101"/>
      <x:c r="O158" s="101"/>
      <x:c r="P158" s="101"/>
      <x:c r="Q158" s="101"/>
      <x:c r="R158" s="101"/>
      <x:c r="S158" s="101"/>
      <x:c r="T158" s="101"/>
      <x:c r="U158" s="101"/>
      <x:c r="V158" s="101"/>
      <x:c r="W158" s="101"/>
      <x:c r="X158" s="101"/>
      <x:c r="Y158" s="101"/>
      <x:c r="Z158" s="101"/>
      <x:c r="AA158" s="101"/>
      <x:c r="AB158" s="101"/>
      <x:c r="AC158" s="101"/>
      <x:c r="AD158" s="101"/>
      <x:c r="AE158" s="101"/>
    </x:row>
    <x:row r="159">
      <x:c r="A159" s="101"/>
      <x:c r="B159" s="101"/>
      <x:c r="C159" s="101"/>
      <x:c r="D159" s="101"/>
      <x:c r="E159" s="101"/>
      <x:c r="F159" s="101"/>
      <x:c r="G159" s="101"/>
      <x:c r="H159" s="101"/>
      <x:c r="I159" s="101"/>
      <x:c r="J159" s="101"/>
      <x:c r="K159" s="101"/>
      <x:c r="L159" s="101"/>
      <x:c r="M159" s="101"/>
      <x:c r="N159" s="101"/>
      <x:c r="O159" s="101"/>
      <x:c r="P159" s="101"/>
      <x:c r="Q159" s="101"/>
      <x:c r="R159" s="101"/>
      <x:c r="S159" s="101"/>
      <x:c r="T159" s="101"/>
      <x:c r="U159" s="101"/>
      <x:c r="V159" s="101"/>
      <x:c r="W159" s="101"/>
      <x:c r="X159" s="101"/>
      <x:c r="Y159" s="101"/>
      <x:c r="Z159" s="101"/>
      <x:c r="AA159" s="101"/>
      <x:c r="AB159" s="101"/>
      <x:c r="AC159" s="101"/>
      <x:c r="AD159" s="101"/>
      <x:c r="AE159" s="101"/>
    </x:row>
    <x:row r="160">
      <x:c r="A160" s="101"/>
      <x:c r="B160" s="101"/>
      <x:c r="C160" s="101"/>
      <x:c r="D160" s="101"/>
      <x:c r="E160" s="101"/>
      <x:c r="F160" s="101"/>
      <x:c r="G160" s="101"/>
      <x:c r="H160" s="101"/>
      <x:c r="I160" s="101"/>
      <x:c r="J160" s="101"/>
      <x:c r="K160" s="101"/>
      <x:c r="L160" s="101"/>
      <x:c r="M160" s="101"/>
      <x:c r="N160" s="101"/>
      <x:c r="O160" s="101"/>
      <x:c r="P160" s="101"/>
      <x:c r="Q160" s="101"/>
      <x:c r="R160" s="101"/>
      <x:c r="S160" s="101"/>
      <x:c r="T160" s="101"/>
      <x:c r="U160" s="101"/>
      <x:c r="V160" s="101"/>
      <x:c r="W160" s="101"/>
      <x:c r="X160" s="101"/>
      <x:c r="Y160" s="101"/>
      <x:c r="Z160" s="101"/>
      <x:c r="AA160" s="101"/>
      <x:c r="AB160" s="101"/>
      <x:c r="AC160" s="101"/>
      <x:c r="AD160" s="101"/>
      <x:c r="AE160" s="101"/>
    </x:row>
    <x:row r="161">
      <x:c r="A161" s="101"/>
      <x:c r="B161" s="101"/>
      <x:c r="C161" s="101"/>
      <x:c r="D161" s="101"/>
      <x:c r="E161" s="101"/>
      <x:c r="F161" s="101"/>
      <x:c r="G161" s="101"/>
      <x:c r="H161" s="101"/>
      <x:c r="I161" s="101"/>
      <x:c r="J161" s="101"/>
      <x:c r="K161" s="101"/>
      <x:c r="L161" s="101"/>
      <x:c r="M161" s="101"/>
      <x:c r="N161" s="101"/>
      <x:c r="O161" s="101"/>
      <x:c r="P161" s="101"/>
      <x:c r="Q161" s="101"/>
      <x:c r="R161" s="101"/>
      <x:c r="S161" s="101"/>
      <x:c r="T161" s="101"/>
      <x:c r="U161" s="101"/>
      <x:c r="V161" s="101"/>
      <x:c r="W161" s="101"/>
      <x:c r="X161" s="101"/>
      <x:c r="Y161" s="101"/>
      <x:c r="Z161" s="101"/>
      <x:c r="AA161" s="101"/>
      <x:c r="AB161" s="101"/>
      <x:c r="AC161" s="101"/>
      <x:c r="AD161" s="101"/>
      <x:c r="AE161" s="101"/>
    </x:row>
    <x:row r="162">
      <x:c r="A162" s="101"/>
      <x:c r="B162" s="101"/>
      <x:c r="C162" s="101"/>
      <x:c r="D162" s="101"/>
      <x:c r="E162" s="101"/>
      <x:c r="F162" s="101"/>
      <x:c r="G162" s="101"/>
      <x:c r="H162" s="101"/>
      <x:c r="I162" s="101"/>
      <x:c r="J162" s="101"/>
      <x:c r="K162" s="101"/>
      <x:c r="L162" s="101"/>
      <x:c r="M162" s="101"/>
      <x:c r="N162" s="101"/>
      <x:c r="O162" s="101"/>
      <x:c r="P162" s="101"/>
      <x:c r="Q162" s="101"/>
      <x:c r="R162" s="101"/>
      <x:c r="S162" s="101"/>
      <x:c r="T162" s="101"/>
      <x:c r="U162" s="101"/>
      <x:c r="V162" s="101"/>
      <x:c r="W162" s="101"/>
      <x:c r="X162" s="101"/>
      <x:c r="Y162" s="101"/>
      <x:c r="Z162" s="101"/>
      <x:c r="AA162" s="101"/>
      <x:c r="AB162" s="101"/>
      <x:c r="AC162" s="101"/>
      <x:c r="AD162" s="101"/>
      <x:c r="AE162" s="101"/>
    </x:row>
    <x:row r="163">
      <x:c r="A163" s="101"/>
      <x:c r="B163" s="101"/>
      <x:c r="C163" s="101"/>
      <x:c r="D163" s="101"/>
      <x:c r="E163" s="101"/>
      <x:c r="F163" s="101"/>
      <x:c r="G163" s="101"/>
      <x:c r="H163" s="101"/>
      <x:c r="I163" s="101"/>
      <x:c r="J163" s="101"/>
      <x:c r="K163" s="101"/>
      <x:c r="L163" s="101"/>
      <x:c r="M163" s="101"/>
      <x:c r="N163" s="101"/>
      <x:c r="O163" s="101"/>
      <x:c r="P163" s="101"/>
      <x:c r="Q163" s="101"/>
      <x:c r="R163" s="101"/>
      <x:c r="S163" s="101"/>
      <x:c r="T163" s="101"/>
      <x:c r="U163" s="101"/>
      <x:c r="V163" s="101"/>
      <x:c r="W163" s="101"/>
      <x:c r="X163" s="101"/>
      <x:c r="Y163" s="101"/>
      <x:c r="Z163" s="101"/>
      <x:c r="AA163" s="101"/>
      <x:c r="AB163" s="101"/>
      <x:c r="AC163" s="101"/>
      <x:c r="AD163" s="101"/>
      <x:c r="AE163" s="101"/>
    </x:row>
    <x:row r="164">
      <x:c r="A164" s="101"/>
      <x:c r="B164" s="101"/>
      <x:c r="C164" s="101"/>
      <x:c r="D164" s="101"/>
      <x:c r="E164" s="101"/>
      <x:c r="F164" s="101"/>
      <x:c r="G164" s="101"/>
      <x:c r="H164" s="101"/>
      <x:c r="I164" s="101"/>
      <x:c r="J164" s="101"/>
      <x:c r="K164" s="101"/>
      <x:c r="L164" s="101"/>
      <x:c r="M164" s="101"/>
      <x:c r="N164" s="101"/>
      <x:c r="O164" s="101"/>
      <x:c r="P164" s="101"/>
      <x:c r="Q164" s="101"/>
      <x:c r="R164" s="101"/>
      <x:c r="S164" s="101"/>
      <x:c r="T164" s="101"/>
      <x:c r="U164" s="101"/>
      <x:c r="V164" s="101"/>
      <x:c r="W164" s="101"/>
      <x:c r="X164" s="101"/>
      <x:c r="Y164" s="101"/>
      <x:c r="Z164" s="101"/>
      <x:c r="AA164" s="101"/>
      <x:c r="AB164" s="101"/>
      <x:c r="AC164" s="101"/>
      <x:c r="AD164" s="101"/>
      <x:c r="AE164" s="101"/>
    </x:row>
    <x:row r="165">
      <x:c r="A165" s="101"/>
      <x:c r="B165" s="101"/>
      <x:c r="C165" s="101"/>
      <x:c r="D165" s="101"/>
      <x:c r="E165" s="101"/>
      <x:c r="F165" s="101"/>
      <x:c r="G165" s="101"/>
      <x:c r="H165" s="101"/>
      <x:c r="I165" s="101"/>
      <x:c r="J165" s="101"/>
      <x:c r="K165" s="101"/>
      <x:c r="L165" s="101"/>
      <x:c r="M165" s="101"/>
      <x:c r="N165" s="101"/>
      <x:c r="O165" s="101"/>
      <x:c r="P165" s="101"/>
      <x:c r="Q165" s="101"/>
      <x:c r="R165" s="101"/>
      <x:c r="S165" s="101"/>
      <x:c r="T165" s="101"/>
      <x:c r="U165" s="101"/>
      <x:c r="V165" s="101"/>
      <x:c r="W165" s="101"/>
      <x:c r="X165" s="101"/>
      <x:c r="Y165" s="101"/>
      <x:c r="Z165" s="101"/>
      <x:c r="AA165" s="101"/>
      <x:c r="AB165" s="101"/>
      <x:c r="AC165" s="101"/>
      <x:c r="AD165" s="101"/>
      <x:c r="AE165" s="101"/>
    </x:row>
    <x:row r="166">
      <x:c r="A166" s="101"/>
      <x:c r="B166" s="101"/>
      <x:c r="C166" s="101"/>
      <x:c r="D166" s="101"/>
      <x:c r="E166" s="101"/>
      <x:c r="F166" s="101"/>
      <x:c r="G166" s="101"/>
      <x:c r="H166" s="101"/>
      <x:c r="I166" s="101"/>
      <x:c r="J166" s="101"/>
      <x:c r="K166" s="101"/>
      <x:c r="L166" s="101"/>
      <x:c r="M166" s="101"/>
      <x:c r="N166" s="101"/>
      <x:c r="O166" s="101"/>
      <x:c r="P166" s="101"/>
      <x:c r="Q166" s="101"/>
      <x:c r="R166" s="101"/>
      <x:c r="S166" s="101"/>
      <x:c r="T166" s="101"/>
      <x:c r="U166" s="101"/>
      <x:c r="V166" s="101"/>
      <x:c r="W166" s="101"/>
      <x:c r="X166" s="101"/>
      <x:c r="Y166" s="101"/>
      <x:c r="Z166" s="101"/>
      <x:c r="AA166" s="101"/>
      <x:c r="AB166" s="101"/>
      <x:c r="AC166" s="101"/>
      <x:c r="AD166" s="101"/>
      <x:c r="AE166" s="101"/>
    </x:row>
    <x:row r="167">
      <x:c r="A167" s="101"/>
      <x:c r="B167" s="101"/>
      <x:c r="C167" s="101"/>
      <x:c r="D167" s="101"/>
      <x:c r="E167" s="101"/>
      <x:c r="F167" s="101"/>
      <x:c r="G167" s="101"/>
      <x:c r="H167" s="101"/>
      <x:c r="I167" s="101"/>
      <x:c r="J167" s="101"/>
      <x:c r="K167" s="101"/>
      <x:c r="L167" s="101"/>
      <x:c r="M167" s="101"/>
      <x:c r="N167" s="101"/>
      <x:c r="O167" s="101"/>
      <x:c r="P167" s="101"/>
      <x:c r="Q167" s="101"/>
      <x:c r="R167" s="101"/>
      <x:c r="S167" s="101"/>
      <x:c r="T167" s="101"/>
      <x:c r="U167" s="101"/>
      <x:c r="V167" s="101"/>
      <x:c r="W167" s="101"/>
      <x:c r="X167" s="101"/>
      <x:c r="Y167" s="101"/>
      <x:c r="Z167" s="101"/>
      <x:c r="AA167" s="101"/>
      <x:c r="AB167" s="101"/>
      <x:c r="AC167" s="101"/>
      <x:c r="AD167" s="101"/>
      <x:c r="AE167" s="101"/>
    </x:row>
    <x:row r="168">
      <x:c r="A168" s="101"/>
      <x:c r="B168" s="101"/>
      <x:c r="C168" s="101"/>
      <x:c r="D168" s="101"/>
      <x:c r="E168" s="101"/>
      <x:c r="F168" s="101"/>
      <x:c r="G168" s="101"/>
      <x:c r="H168" s="101"/>
      <x:c r="I168" s="101"/>
      <x:c r="J168" s="101"/>
      <x:c r="K168" s="101"/>
      <x:c r="L168" s="101"/>
      <x:c r="M168" s="101"/>
      <x:c r="N168" s="101"/>
      <x:c r="O168" s="101"/>
      <x:c r="P168" s="101"/>
      <x:c r="Q168" s="101"/>
      <x:c r="R168" s="101"/>
      <x:c r="S168" s="101"/>
      <x:c r="T168" s="101"/>
      <x:c r="U168" s="101"/>
      <x:c r="V168" s="101"/>
      <x:c r="W168" s="101"/>
      <x:c r="X168" s="101"/>
      <x:c r="Y168" s="101"/>
      <x:c r="Z168" s="101"/>
      <x:c r="AA168" s="101"/>
      <x:c r="AB168" s="101"/>
      <x:c r="AC168" s="101"/>
      <x:c r="AD168" s="101"/>
      <x:c r="AE168" s="101"/>
    </x:row>
    <x:row r="169">
      <x:c r="A169" s="101"/>
      <x:c r="B169" s="101"/>
      <x:c r="C169" s="101"/>
      <x:c r="D169" s="101"/>
      <x:c r="E169" s="101"/>
      <x:c r="F169" s="101"/>
      <x:c r="G169" s="101"/>
      <x:c r="H169" s="101"/>
      <x:c r="I169" s="101"/>
      <x:c r="J169" s="101"/>
      <x:c r="K169" s="101"/>
      <x:c r="L169" s="101"/>
      <x:c r="M169" s="101"/>
      <x:c r="N169" s="101"/>
      <x:c r="O169" s="101"/>
      <x:c r="P169" s="101"/>
      <x:c r="Q169" s="101"/>
      <x:c r="R169" s="101"/>
      <x:c r="S169" s="101"/>
      <x:c r="T169" s="101"/>
      <x:c r="U169" s="101"/>
      <x:c r="V169" s="101"/>
      <x:c r="W169" s="101"/>
      <x:c r="X169" s="101"/>
      <x:c r="Y169" s="101"/>
      <x:c r="Z169" s="101"/>
      <x:c r="AA169" s="101"/>
      <x:c r="AB169" s="101"/>
      <x:c r="AC169" s="101"/>
      <x:c r="AD169" s="101"/>
      <x:c r="AE169" s="101"/>
    </x:row>
    <x:row r="170">
      <x:c r="A170" s="101"/>
      <x:c r="B170" s="101"/>
      <x:c r="C170" s="101"/>
      <x:c r="D170" s="101"/>
      <x:c r="E170" s="101"/>
      <x:c r="F170" s="101"/>
      <x:c r="G170" s="101"/>
      <x:c r="H170" s="101"/>
      <x:c r="I170" s="101"/>
      <x:c r="J170" s="101"/>
      <x:c r="K170" s="101"/>
      <x:c r="L170" s="101"/>
      <x:c r="M170" s="101"/>
      <x:c r="N170" s="101"/>
      <x:c r="O170" s="101"/>
      <x:c r="P170" s="101"/>
      <x:c r="Q170" s="101"/>
      <x:c r="R170" s="101"/>
      <x:c r="S170" s="101"/>
      <x:c r="T170" s="101"/>
      <x:c r="U170" s="101"/>
      <x:c r="V170" s="101"/>
      <x:c r="W170" s="101"/>
      <x:c r="X170" s="101"/>
      <x:c r="Y170" s="101"/>
      <x:c r="Z170" s="101"/>
      <x:c r="AA170" s="101"/>
      <x:c r="AB170" s="101"/>
      <x:c r="AC170" s="101"/>
      <x:c r="AD170" s="101"/>
      <x:c r="AE170" s="101"/>
    </x:row>
    <x:row r="171">
      <x:c r="A171" s="101"/>
      <x:c r="B171" s="101"/>
      <x:c r="C171" s="101"/>
      <x:c r="D171" s="101"/>
      <x:c r="E171" s="101"/>
      <x:c r="F171" s="101"/>
      <x:c r="G171" s="101"/>
      <x:c r="H171" s="101"/>
      <x:c r="I171" s="101"/>
      <x:c r="J171" s="101"/>
      <x:c r="K171" s="101"/>
      <x:c r="L171" s="101"/>
      <x:c r="M171" s="101"/>
      <x:c r="N171" s="101"/>
      <x:c r="O171" s="101"/>
      <x:c r="P171" s="101"/>
      <x:c r="Q171" s="101"/>
      <x:c r="R171" s="101"/>
      <x:c r="S171" s="101"/>
      <x:c r="T171" s="101"/>
      <x:c r="U171" s="101"/>
      <x:c r="V171" s="101"/>
      <x:c r="W171" s="101"/>
      <x:c r="X171" s="101"/>
      <x:c r="Y171" s="101"/>
      <x:c r="Z171" s="101"/>
      <x:c r="AA171" s="101"/>
      <x:c r="AB171" s="101"/>
      <x:c r="AC171" s="101"/>
      <x:c r="AD171" s="101"/>
      <x:c r="AE171" s="101"/>
    </x:row>
    <x:row r="172">
      <x:c r="A172" s="101"/>
      <x:c r="B172" s="101"/>
      <x:c r="C172" s="101"/>
      <x:c r="D172" s="101"/>
      <x:c r="E172" s="101"/>
      <x:c r="F172" s="101"/>
      <x:c r="G172" s="101"/>
      <x:c r="H172" s="101"/>
      <x:c r="I172" s="101"/>
      <x:c r="J172" s="101"/>
      <x:c r="K172" s="101"/>
      <x:c r="L172" s="101"/>
      <x:c r="M172" s="101"/>
      <x:c r="N172" s="101"/>
      <x:c r="O172" s="101"/>
      <x:c r="P172" s="101"/>
      <x:c r="Q172" s="101"/>
      <x:c r="R172" s="101"/>
      <x:c r="S172" s="101"/>
      <x:c r="T172" s="101"/>
      <x:c r="U172" s="101"/>
      <x:c r="V172" s="101"/>
      <x:c r="W172" s="101"/>
      <x:c r="X172" s="101"/>
      <x:c r="Y172" s="101"/>
      <x:c r="Z172" s="101"/>
      <x:c r="AA172" s="101"/>
      <x:c r="AB172" s="101"/>
      <x:c r="AC172" s="101"/>
      <x:c r="AD172" s="101"/>
      <x:c r="AE172" s="101"/>
    </x:row>
    <x:row r="173">
      <x:c r="A173" s="101"/>
      <x:c r="B173" s="101"/>
      <x:c r="C173" s="101"/>
      <x:c r="D173" s="101"/>
      <x:c r="E173" s="101"/>
      <x:c r="F173" s="101"/>
      <x:c r="G173" s="101"/>
      <x:c r="H173" s="101"/>
      <x:c r="I173" s="101"/>
      <x:c r="J173" s="101"/>
      <x:c r="K173" s="101"/>
      <x:c r="L173" s="101"/>
      <x:c r="M173" s="101"/>
      <x:c r="N173" s="101"/>
      <x:c r="O173" s="101"/>
      <x:c r="P173" s="101"/>
      <x:c r="Q173" s="101"/>
      <x:c r="R173" s="101"/>
      <x:c r="S173" s="101"/>
      <x:c r="T173" s="101"/>
      <x:c r="U173" s="101"/>
      <x:c r="V173" s="101"/>
      <x:c r="W173" s="101"/>
      <x:c r="X173" s="101"/>
      <x:c r="Y173" s="101"/>
      <x:c r="Z173" s="101"/>
      <x:c r="AA173" s="101"/>
      <x:c r="AB173" s="101"/>
      <x:c r="AC173" s="101"/>
      <x:c r="AD173" s="101"/>
      <x:c r="AE173" s="101"/>
    </x:row>
    <x:row r="174">
      <x:c r="A174" s="101"/>
      <x:c r="B174" s="101"/>
      <x:c r="C174" s="101"/>
      <x:c r="D174" s="101"/>
      <x:c r="E174" s="101"/>
      <x:c r="F174" s="101"/>
      <x:c r="G174" s="101"/>
      <x:c r="H174" s="101"/>
      <x:c r="I174" s="101"/>
      <x:c r="J174" s="101"/>
      <x:c r="K174" s="101"/>
      <x:c r="L174" s="101"/>
      <x:c r="M174" s="101"/>
      <x:c r="N174" s="101"/>
      <x:c r="O174" s="101"/>
      <x:c r="P174" s="101"/>
      <x:c r="Q174" s="101"/>
      <x:c r="R174" s="101"/>
      <x:c r="S174" s="101"/>
      <x:c r="T174" s="101"/>
      <x:c r="U174" s="101"/>
      <x:c r="V174" s="101"/>
      <x:c r="W174" s="101"/>
      <x:c r="X174" s="101"/>
      <x:c r="Y174" s="101"/>
      <x:c r="Z174" s="101"/>
      <x:c r="AA174" s="101"/>
      <x:c r="AB174" s="101"/>
      <x:c r="AC174" s="101"/>
      <x:c r="AD174" s="101"/>
      <x:c r="AE174" s="101"/>
    </x:row>
    <x:row r="175">
      <x:c r="A175" s="101"/>
      <x:c r="B175" s="101"/>
      <x:c r="C175" s="101"/>
      <x:c r="D175" s="101"/>
      <x:c r="E175" s="101"/>
      <x:c r="F175" s="101"/>
      <x:c r="G175" s="101"/>
      <x:c r="H175" s="101"/>
      <x:c r="I175" s="101"/>
      <x:c r="J175" s="101"/>
      <x:c r="K175" s="101"/>
      <x:c r="L175" s="101"/>
      <x:c r="M175" s="101"/>
      <x:c r="N175" s="101"/>
      <x:c r="O175" s="101"/>
      <x:c r="P175" s="101"/>
      <x:c r="Q175" s="101"/>
      <x:c r="R175" s="101"/>
      <x:c r="S175" s="101"/>
      <x:c r="T175" s="101"/>
      <x:c r="U175" s="101"/>
      <x:c r="V175" s="101"/>
      <x:c r="W175" s="101"/>
      <x:c r="X175" s="101"/>
      <x:c r="Y175" s="101"/>
      <x:c r="Z175" s="101"/>
      <x:c r="AA175" s="101"/>
      <x:c r="AB175" s="101"/>
      <x:c r="AC175" s="101"/>
      <x:c r="AD175" s="101"/>
      <x:c r="AE175" s="101"/>
    </x:row>
    <x:row r="176">
      <x:c r="A176" s="101"/>
      <x:c r="B176" s="101"/>
      <x:c r="C176" s="101"/>
      <x:c r="D176" s="101"/>
      <x:c r="E176" s="101"/>
      <x:c r="F176" s="101"/>
      <x:c r="G176" s="101"/>
      <x:c r="H176" s="101"/>
      <x:c r="I176" s="101"/>
      <x:c r="J176" s="101"/>
      <x:c r="K176" s="101"/>
      <x:c r="L176" s="101"/>
      <x:c r="M176" s="101"/>
      <x:c r="N176" s="101"/>
      <x:c r="O176" s="101"/>
      <x:c r="P176" s="101"/>
      <x:c r="Q176" s="101"/>
      <x:c r="R176" s="101"/>
      <x:c r="S176" s="101"/>
      <x:c r="T176" s="101"/>
      <x:c r="U176" s="101"/>
      <x:c r="V176" s="101"/>
      <x:c r="W176" s="101"/>
      <x:c r="X176" s="101"/>
      <x:c r="Y176" s="101"/>
      <x:c r="Z176" s="101"/>
      <x:c r="AA176" s="101"/>
      <x:c r="AB176" s="101"/>
      <x:c r="AC176" s="101"/>
      <x:c r="AD176" s="101"/>
      <x:c r="AE176" s="101"/>
    </x:row>
    <x:row r="177">
      <x:c r="A177" s="101"/>
      <x:c r="B177" s="101"/>
      <x:c r="C177" s="101"/>
      <x:c r="D177" s="101"/>
      <x:c r="E177" s="101"/>
      <x:c r="F177" s="101"/>
      <x:c r="G177" s="101"/>
      <x:c r="H177" s="101"/>
      <x:c r="I177" s="101"/>
      <x:c r="J177" s="101"/>
      <x:c r="K177" s="101"/>
      <x:c r="L177" s="101"/>
      <x:c r="M177" s="101"/>
      <x:c r="N177" s="101"/>
      <x:c r="O177" s="101"/>
      <x:c r="P177" s="101"/>
      <x:c r="Q177" s="101"/>
      <x:c r="R177" s="101"/>
      <x:c r="S177" s="101"/>
      <x:c r="T177" s="101"/>
      <x:c r="U177" s="101"/>
      <x:c r="V177" s="101"/>
      <x:c r="W177" s="101"/>
      <x:c r="X177" s="101"/>
      <x:c r="Y177" s="101"/>
      <x:c r="Z177" s="101"/>
      <x:c r="AA177" s="101"/>
      <x:c r="AB177" s="101"/>
      <x:c r="AC177" s="101"/>
      <x:c r="AD177" s="101"/>
      <x:c r="AE177" s="101"/>
    </x:row>
    <x:row r="178">
      <x:c r="A178" s="101"/>
      <x:c r="B178" s="101"/>
      <x:c r="C178" s="101"/>
      <x:c r="D178" s="101"/>
      <x:c r="E178" s="101"/>
      <x:c r="F178" s="101"/>
      <x:c r="G178" s="101"/>
      <x:c r="H178" s="101"/>
      <x:c r="I178" s="101"/>
      <x:c r="J178" s="101"/>
      <x:c r="K178" s="101"/>
      <x:c r="L178" s="101"/>
      <x:c r="M178" s="101"/>
      <x:c r="N178" s="101"/>
      <x:c r="O178" s="101"/>
      <x:c r="P178" s="101"/>
      <x:c r="Q178" s="101"/>
      <x:c r="R178" s="101"/>
      <x:c r="S178" s="101"/>
      <x:c r="T178" s="101"/>
      <x:c r="U178" s="101"/>
      <x:c r="V178" s="101"/>
      <x:c r="W178" s="101"/>
      <x:c r="X178" s="101"/>
      <x:c r="Y178" s="101"/>
      <x:c r="Z178" s="101"/>
      <x:c r="AA178" s="101"/>
      <x:c r="AB178" s="101"/>
      <x:c r="AC178" s="101"/>
      <x:c r="AD178" s="101"/>
      <x:c r="AE178" s="101"/>
    </x:row>
    <x:row r="179">
      <x:c r="A179" s="101"/>
      <x:c r="B179" s="101"/>
      <x:c r="C179" s="101"/>
      <x:c r="D179" s="101"/>
      <x:c r="E179" s="101"/>
      <x:c r="F179" s="101"/>
      <x:c r="G179" s="101"/>
      <x:c r="H179" s="101"/>
      <x:c r="I179" s="101"/>
      <x:c r="J179" s="101"/>
      <x:c r="K179" s="101"/>
      <x:c r="L179" s="101"/>
      <x:c r="M179" s="101"/>
      <x:c r="N179" s="101"/>
      <x:c r="O179" s="101"/>
      <x:c r="P179" s="101"/>
      <x:c r="Q179" s="101"/>
      <x:c r="R179" s="101"/>
      <x:c r="S179" s="101"/>
      <x:c r="T179" s="101"/>
      <x:c r="U179" s="101"/>
      <x:c r="V179" s="101"/>
      <x:c r="W179" s="101"/>
      <x:c r="X179" s="101"/>
      <x:c r="Y179" s="101"/>
      <x:c r="Z179" s="101"/>
      <x:c r="AA179" s="101"/>
      <x:c r="AB179" s="101"/>
      <x:c r="AC179" s="101"/>
      <x:c r="AD179" s="101"/>
      <x:c r="AE179" s="101"/>
    </x:row>
    <x:row r="180">
      <x:c r="A180" s="101"/>
      <x:c r="B180" s="101"/>
      <x:c r="C180" s="101"/>
      <x:c r="D180" s="101"/>
      <x:c r="E180" s="101"/>
      <x:c r="F180" s="101"/>
      <x:c r="G180" s="101"/>
      <x:c r="H180" s="101"/>
      <x:c r="I180" s="101"/>
      <x:c r="J180" s="101"/>
      <x:c r="K180" s="101"/>
      <x:c r="L180" s="101"/>
      <x:c r="M180" s="101"/>
      <x:c r="N180" s="101"/>
      <x:c r="O180" s="101"/>
      <x:c r="P180" s="101"/>
      <x:c r="Q180" s="101"/>
      <x:c r="R180" s="101"/>
      <x:c r="S180" s="101"/>
      <x:c r="T180" s="101"/>
      <x:c r="U180" s="101"/>
      <x:c r="V180" s="101"/>
      <x:c r="W180" s="101"/>
      <x:c r="X180" s="101"/>
      <x:c r="Y180" s="101"/>
      <x:c r="Z180" s="101"/>
      <x:c r="AA180" s="101"/>
      <x:c r="AB180" s="101"/>
      <x:c r="AC180" s="101"/>
      <x:c r="AD180" s="101"/>
      <x:c r="AE180" s="101"/>
    </x:row>
    <x:row r="181">
      <x:c r="A181" s="101"/>
      <x:c r="B181" s="101"/>
      <x:c r="C181" s="101"/>
      <x:c r="D181" s="101"/>
      <x:c r="E181" s="101"/>
      <x:c r="F181" s="101"/>
      <x:c r="G181" s="101"/>
      <x:c r="H181" s="101"/>
      <x:c r="I181" s="101"/>
      <x:c r="J181" s="101"/>
      <x:c r="K181" s="101"/>
      <x:c r="L181" s="101"/>
      <x:c r="M181" s="101"/>
      <x:c r="N181" s="101"/>
      <x:c r="O181" s="101"/>
      <x:c r="P181" s="101"/>
      <x:c r="Q181" s="101"/>
      <x:c r="R181" s="101"/>
      <x:c r="S181" s="101"/>
      <x:c r="T181" s="101"/>
      <x:c r="U181" s="101"/>
      <x:c r="V181" s="101"/>
      <x:c r="W181" s="101"/>
      <x:c r="X181" s="101"/>
      <x:c r="Y181" s="101"/>
      <x:c r="Z181" s="101"/>
      <x:c r="AA181" s="101"/>
      <x:c r="AB181" s="101"/>
      <x:c r="AC181" s="101"/>
      <x:c r="AD181" s="101"/>
      <x:c r="AE181" s="101"/>
    </x:row>
    <x:row r="182">
      <x:c r="A182" s="101"/>
      <x:c r="B182" s="101"/>
      <x:c r="C182" s="101"/>
      <x:c r="D182" s="101"/>
      <x:c r="E182" s="101"/>
      <x:c r="F182" s="101"/>
      <x:c r="G182" s="101"/>
      <x:c r="H182" s="101"/>
      <x:c r="I182" s="101"/>
      <x:c r="J182" s="101"/>
      <x:c r="K182" s="101"/>
      <x:c r="L182" s="101"/>
      <x:c r="M182" s="101"/>
      <x:c r="N182" s="101"/>
      <x:c r="O182" s="101"/>
      <x:c r="P182" s="101"/>
      <x:c r="Q182" s="101"/>
      <x:c r="R182" s="101"/>
      <x:c r="S182" s="101"/>
      <x:c r="T182" s="101"/>
      <x:c r="U182" s="101"/>
      <x:c r="V182" s="101"/>
      <x:c r="W182" s="101"/>
      <x:c r="X182" s="101"/>
      <x:c r="Y182" s="101"/>
      <x:c r="Z182" s="101"/>
      <x:c r="AA182" s="101"/>
      <x:c r="AB182" s="101"/>
      <x:c r="AC182" s="101"/>
      <x:c r="AD182" s="101"/>
      <x:c r="AE182" s="101"/>
    </x:row>
    <x:row r="183">
      <x:c r="A183" s="101"/>
      <x:c r="B183" s="101"/>
      <x:c r="C183" s="101"/>
      <x:c r="D183" s="101"/>
      <x:c r="E183" s="101"/>
      <x:c r="F183" s="101"/>
      <x:c r="G183" s="101"/>
      <x:c r="H183" s="101"/>
      <x:c r="I183" s="101"/>
      <x:c r="J183" s="101"/>
      <x:c r="K183" s="101"/>
      <x:c r="L183" s="101"/>
      <x:c r="M183" s="101"/>
      <x:c r="N183" s="101"/>
      <x:c r="O183" s="101"/>
      <x:c r="P183" s="101"/>
      <x:c r="Q183" s="101"/>
      <x:c r="R183" s="101"/>
      <x:c r="S183" s="101"/>
      <x:c r="T183" s="101"/>
      <x:c r="U183" s="101"/>
      <x:c r="V183" s="101"/>
      <x:c r="W183" s="101"/>
      <x:c r="X183" s="101"/>
      <x:c r="Y183" s="101"/>
      <x:c r="Z183" s="101"/>
      <x:c r="AA183" s="101"/>
      <x:c r="AB183" s="101"/>
      <x:c r="AC183" s="101"/>
      <x:c r="AD183" s="101"/>
      <x:c r="AE183" s="101"/>
    </x:row>
    <x:row r="184">
      <x:c r="A184" s="101"/>
      <x:c r="B184" s="101"/>
      <x:c r="C184" s="101"/>
      <x:c r="D184" s="101"/>
      <x:c r="E184" s="101"/>
      <x:c r="F184" s="101"/>
      <x:c r="G184" s="101"/>
      <x:c r="H184" s="101"/>
      <x:c r="I184" s="101"/>
      <x:c r="J184" s="101"/>
      <x:c r="K184" s="101"/>
      <x:c r="L184" s="101"/>
      <x:c r="M184" s="101"/>
      <x:c r="N184" s="101"/>
      <x:c r="O184" s="101"/>
      <x:c r="P184" s="101"/>
      <x:c r="Q184" s="101"/>
      <x:c r="R184" s="101"/>
      <x:c r="S184" s="101"/>
      <x:c r="T184" s="101"/>
      <x:c r="U184" s="101"/>
      <x:c r="V184" s="101"/>
      <x:c r="W184" s="101"/>
      <x:c r="X184" s="101"/>
      <x:c r="Y184" s="101"/>
      <x:c r="Z184" s="101"/>
      <x:c r="AA184" s="101"/>
      <x:c r="AB184" s="101"/>
      <x:c r="AC184" s="101"/>
      <x:c r="AD184" s="101"/>
      <x:c r="AE184" s="101"/>
    </x:row>
    <x:row r="185">
      <x:c r="A185" s="101"/>
      <x:c r="B185" s="101"/>
      <x:c r="C185" s="101"/>
      <x:c r="D185" s="101"/>
      <x:c r="E185" s="101"/>
      <x:c r="F185" s="101"/>
      <x:c r="G185" s="101"/>
      <x:c r="H185" s="101"/>
      <x:c r="I185" s="101"/>
      <x:c r="J185" s="101"/>
      <x:c r="K185" s="101"/>
      <x:c r="L185" s="101"/>
      <x:c r="M185" s="101"/>
      <x:c r="N185" s="101"/>
      <x:c r="O185" s="101"/>
      <x:c r="P185" s="101"/>
      <x:c r="Q185" s="101"/>
      <x:c r="R185" s="101"/>
      <x:c r="S185" s="101"/>
      <x:c r="T185" s="101"/>
      <x:c r="U185" s="101"/>
      <x:c r="V185" s="101"/>
      <x:c r="W185" s="101"/>
      <x:c r="X185" s="101"/>
      <x:c r="Y185" s="101"/>
      <x:c r="Z185" s="101"/>
      <x:c r="AA185" s="101"/>
      <x:c r="AB185" s="101"/>
      <x:c r="AC185" s="101"/>
      <x:c r="AD185" s="101"/>
      <x:c r="AE185" s="101"/>
    </x:row>
    <x:row r="186">
      <x:c r="A186" s="101"/>
      <x:c r="B186" s="101"/>
      <x:c r="C186" s="101"/>
      <x:c r="D186" s="101"/>
      <x:c r="E186" s="101"/>
      <x:c r="F186" s="101"/>
      <x:c r="G186" s="101"/>
      <x:c r="H186" s="101"/>
      <x:c r="I186" s="101"/>
      <x:c r="J186" s="101"/>
      <x:c r="K186" s="101"/>
      <x:c r="L186" s="101"/>
      <x:c r="M186" s="101"/>
      <x:c r="N186" s="101"/>
      <x:c r="O186" s="101"/>
      <x:c r="P186" s="101"/>
      <x:c r="Q186" s="101"/>
      <x:c r="R186" s="101"/>
      <x:c r="S186" s="101"/>
      <x:c r="T186" s="101"/>
      <x:c r="U186" s="101"/>
      <x:c r="V186" s="101"/>
      <x:c r="W186" s="101"/>
      <x:c r="X186" s="101"/>
      <x:c r="Y186" s="101"/>
      <x:c r="Z186" s="101"/>
      <x:c r="AA186" s="101"/>
      <x:c r="AB186" s="101"/>
      <x:c r="AC186" s="101"/>
      <x:c r="AD186" s="101"/>
      <x:c r="AE186" s="101"/>
    </x:row>
    <x:row r="187">
      <x:c r="A187" s="101"/>
      <x:c r="B187" s="101"/>
      <x:c r="C187" s="101"/>
      <x:c r="D187" s="101"/>
      <x:c r="E187" s="101"/>
      <x:c r="F187" s="101"/>
      <x:c r="G187" s="101"/>
      <x:c r="H187" s="101"/>
      <x:c r="I187" s="101"/>
      <x:c r="J187" s="101"/>
      <x:c r="K187" s="101"/>
      <x:c r="L187" s="101"/>
      <x:c r="M187" s="101"/>
      <x:c r="N187" s="101"/>
      <x:c r="O187" s="101"/>
      <x:c r="P187" s="101"/>
      <x:c r="Q187" s="101"/>
      <x:c r="R187" s="101"/>
      <x:c r="S187" s="101"/>
      <x:c r="T187" s="101"/>
      <x:c r="U187" s="101"/>
      <x:c r="V187" s="101"/>
      <x:c r="W187" s="101"/>
      <x:c r="X187" s="101"/>
      <x:c r="Y187" s="101"/>
      <x:c r="Z187" s="101"/>
      <x:c r="AA187" s="101"/>
      <x:c r="AB187" s="101"/>
      <x:c r="AC187" s="101"/>
      <x:c r="AD187" s="101"/>
      <x:c r="AE187" s="101"/>
    </x:row>
    <x:row r="188">
      <x:c r="A188" s="101"/>
      <x:c r="B188" s="101"/>
      <x:c r="C188" s="101"/>
      <x:c r="D188" s="101"/>
      <x:c r="E188" s="101"/>
      <x:c r="F188" s="101"/>
      <x:c r="G188" s="101"/>
      <x:c r="H188" s="101"/>
      <x:c r="I188" s="101"/>
      <x:c r="J188" s="101"/>
      <x:c r="K188" s="101"/>
      <x:c r="L188" s="101"/>
      <x:c r="M188" s="101"/>
      <x:c r="N188" s="101"/>
      <x:c r="O188" s="101"/>
      <x:c r="P188" s="101"/>
      <x:c r="Q188" s="101"/>
      <x:c r="R188" s="101"/>
      <x:c r="S188" s="101"/>
      <x:c r="T188" s="101"/>
      <x:c r="U188" s="101"/>
      <x:c r="V188" s="101"/>
      <x:c r="W188" s="101"/>
      <x:c r="X188" s="101"/>
      <x:c r="Y188" s="101"/>
      <x:c r="Z188" s="101"/>
      <x:c r="AA188" s="101"/>
      <x:c r="AB188" s="101"/>
      <x:c r="AC188" s="101"/>
      <x:c r="AD188" s="101"/>
      <x:c r="AE188" s="101"/>
    </x:row>
    <x:row r="189">
      <x:c r="A189" s="101"/>
      <x:c r="B189" s="101"/>
      <x:c r="C189" s="101"/>
      <x:c r="D189" s="101"/>
      <x:c r="E189" s="101"/>
      <x:c r="F189" s="101"/>
      <x:c r="G189" s="101"/>
      <x:c r="H189" s="101"/>
      <x:c r="I189" s="101"/>
      <x:c r="J189" s="101"/>
      <x:c r="K189" s="101"/>
      <x:c r="L189" s="101"/>
      <x:c r="M189" s="101"/>
      <x:c r="N189" s="101"/>
      <x:c r="O189" s="101"/>
      <x:c r="P189" s="101"/>
      <x:c r="Q189" s="101"/>
      <x:c r="R189" s="101"/>
      <x:c r="S189" s="101"/>
      <x:c r="T189" s="101"/>
      <x:c r="U189" s="101"/>
      <x:c r="V189" s="101"/>
      <x:c r="W189" s="101"/>
      <x:c r="X189" s="101"/>
      <x:c r="Y189" s="101"/>
      <x:c r="Z189" s="101"/>
      <x:c r="AA189" s="101"/>
      <x:c r="AB189" s="101"/>
      <x:c r="AC189" s="101"/>
      <x:c r="AD189" s="101"/>
      <x:c r="AE189" s="101"/>
    </x:row>
    <x:row r="190">
      <x:c r="A190" s="101"/>
      <x:c r="B190" s="101"/>
      <x:c r="C190" s="101"/>
      <x:c r="D190" s="101"/>
      <x:c r="E190" s="101"/>
      <x:c r="F190" s="101"/>
      <x:c r="G190" s="101"/>
      <x:c r="H190" s="101"/>
      <x:c r="I190" s="101"/>
      <x:c r="J190" s="101"/>
      <x:c r="K190" s="101"/>
      <x:c r="L190" s="101"/>
      <x:c r="M190" s="101"/>
      <x:c r="N190" s="101"/>
      <x:c r="O190" s="101"/>
      <x:c r="P190" s="101"/>
      <x:c r="Q190" s="101"/>
      <x:c r="R190" s="101"/>
      <x:c r="S190" s="101"/>
      <x:c r="T190" s="101"/>
      <x:c r="U190" s="101"/>
      <x:c r="V190" s="101"/>
      <x:c r="W190" s="101"/>
      <x:c r="X190" s="101"/>
      <x:c r="Y190" s="101"/>
      <x:c r="Z190" s="101"/>
      <x:c r="AA190" s="101"/>
      <x:c r="AB190" s="101"/>
      <x:c r="AC190" s="101"/>
      <x:c r="AD190" s="101"/>
      <x:c r="AE190" s="101"/>
    </x:row>
    <x:row r="191">
      <x:c r="A191" s="101"/>
      <x:c r="B191" s="101"/>
      <x:c r="C191" s="101"/>
      <x:c r="D191" s="101"/>
      <x:c r="E191" s="101"/>
      <x:c r="F191" s="101"/>
      <x:c r="G191" s="101"/>
      <x:c r="H191" s="101"/>
      <x:c r="I191" s="101"/>
      <x:c r="J191" s="101"/>
      <x:c r="K191" s="101"/>
      <x:c r="L191" s="101"/>
      <x:c r="M191" s="101"/>
      <x:c r="N191" s="101"/>
      <x:c r="O191" s="101"/>
      <x:c r="P191" s="101"/>
      <x:c r="Q191" s="101"/>
      <x:c r="R191" s="101"/>
      <x:c r="S191" s="101"/>
      <x:c r="T191" s="101"/>
      <x:c r="U191" s="101"/>
      <x:c r="V191" s="101"/>
      <x:c r="W191" s="101"/>
      <x:c r="X191" s="101"/>
      <x:c r="Y191" s="101"/>
      <x:c r="Z191" s="101"/>
      <x:c r="AA191" s="101"/>
      <x:c r="AB191" s="101"/>
      <x:c r="AC191" s="101"/>
      <x:c r="AD191" s="101"/>
      <x:c r="AE191" s="101"/>
    </x:row>
    <x:row r="192">
      <x:c r="A192" s="101"/>
      <x:c r="B192" s="101"/>
      <x:c r="C192" s="101"/>
      <x:c r="D192" s="101"/>
      <x:c r="E192" s="101"/>
      <x:c r="F192" s="101"/>
      <x:c r="G192" s="101"/>
      <x:c r="H192" s="101"/>
      <x:c r="I192" s="101"/>
      <x:c r="J192" s="101"/>
      <x:c r="K192" s="101"/>
      <x:c r="L192" s="101"/>
      <x:c r="M192" s="101"/>
      <x:c r="N192" s="101"/>
      <x:c r="O192" s="101"/>
      <x:c r="P192" s="101"/>
      <x:c r="Q192" s="101"/>
      <x:c r="R192" s="101"/>
      <x:c r="S192" s="101"/>
      <x:c r="T192" s="101"/>
      <x:c r="U192" s="101"/>
      <x:c r="V192" s="101"/>
      <x:c r="W192" s="101"/>
      <x:c r="X192" s="101"/>
      <x:c r="Y192" s="101"/>
      <x:c r="Z192" s="101"/>
      <x:c r="AA192" s="101"/>
      <x:c r="AB192" s="101"/>
      <x:c r="AC192" s="101"/>
      <x:c r="AD192" s="101"/>
      <x:c r="AE192" s="101"/>
    </x:row>
    <x:row r="193">
      <x:c r="A193" s="101"/>
      <x:c r="B193" s="101"/>
      <x:c r="C193" s="101"/>
      <x:c r="D193" s="101"/>
      <x:c r="E193" s="101"/>
      <x:c r="F193" s="101"/>
      <x:c r="G193" s="101"/>
      <x:c r="H193" s="101"/>
      <x:c r="I193" s="101"/>
      <x:c r="J193" s="101"/>
      <x:c r="K193" s="101"/>
      <x:c r="L193" s="101"/>
      <x:c r="M193" s="101"/>
      <x:c r="N193" s="101"/>
      <x:c r="O193" s="101"/>
      <x:c r="P193" s="101"/>
      <x:c r="Q193" s="101"/>
      <x:c r="R193" s="101"/>
      <x:c r="S193" s="101"/>
      <x:c r="T193" s="101"/>
      <x:c r="U193" s="101"/>
      <x:c r="V193" s="101"/>
      <x:c r="W193" s="101"/>
      <x:c r="X193" s="101"/>
      <x:c r="Y193" s="101"/>
      <x:c r="Z193" s="101"/>
      <x:c r="AA193" s="101"/>
      <x:c r="AB193" s="101"/>
      <x:c r="AC193" s="101"/>
      <x:c r="AD193" s="101"/>
      <x:c r="AE193" s="101"/>
    </x:row>
    <x:row r="194">
      <x:c r="A194" s="101"/>
      <x:c r="B194" s="101"/>
      <x:c r="C194" s="101"/>
      <x:c r="D194" s="101"/>
      <x:c r="E194" s="101"/>
      <x:c r="F194" s="101"/>
      <x:c r="G194" s="101"/>
      <x:c r="H194" s="101"/>
      <x:c r="I194" s="101"/>
      <x:c r="J194" s="101"/>
      <x:c r="K194" s="101"/>
      <x:c r="L194" s="101"/>
      <x:c r="M194" s="101"/>
      <x:c r="N194" s="101"/>
      <x:c r="O194" s="101"/>
      <x:c r="P194" s="101"/>
      <x:c r="Q194" s="101"/>
      <x:c r="R194" s="101"/>
      <x:c r="S194" s="101"/>
      <x:c r="T194" s="101"/>
      <x:c r="U194" s="101"/>
      <x:c r="V194" s="101"/>
      <x:c r="W194" s="101"/>
      <x:c r="X194" s="101"/>
      <x:c r="Y194" s="101"/>
      <x:c r="Z194" s="101"/>
      <x:c r="AA194" s="101"/>
      <x:c r="AB194" s="101"/>
      <x:c r="AC194" s="101"/>
      <x:c r="AD194" s="101"/>
      <x:c r="AE194" s="101"/>
    </x:row>
    <x:row r="195">
      <x:c r="A195" s="101"/>
      <x:c r="B195" s="101"/>
      <x:c r="C195" s="101"/>
      <x:c r="D195" s="101"/>
      <x:c r="E195" s="101"/>
      <x:c r="F195" s="101"/>
      <x:c r="G195" s="101"/>
      <x:c r="H195" s="101"/>
      <x:c r="I195" s="101"/>
      <x:c r="J195" s="101"/>
      <x:c r="K195" s="101"/>
      <x:c r="L195" s="101"/>
      <x:c r="M195" s="101"/>
      <x:c r="N195" s="101"/>
      <x:c r="O195" s="101"/>
      <x:c r="P195" s="101"/>
      <x:c r="Q195" s="101"/>
      <x:c r="R195" s="101"/>
      <x:c r="S195" s="101"/>
      <x:c r="T195" s="101"/>
      <x:c r="U195" s="101"/>
      <x:c r="V195" s="101"/>
      <x:c r="W195" s="101"/>
      <x:c r="X195" s="101"/>
      <x:c r="Y195" s="101"/>
      <x:c r="Z195" s="101"/>
      <x:c r="AA195" s="101"/>
      <x:c r="AB195" s="101"/>
      <x:c r="AC195" s="101"/>
      <x:c r="AD195" s="101"/>
      <x:c r="AE195" s="101"/>
    </x:row>
    <x:row r="196">
      <x:c r="A196" s="101"/>
      <x:c r="B196" s="101"/>
      <x:c r="C196" s="101"/>
      <x:c r="D196" s="101"/>
      <x:c r="E196" s="101"/>
      <x:c r="F196" s="101"/>
      <x:c r="G196" s="101"/>
      <x:c r="H196" s="101"/>
      <x:c r="I196" s="101"/>
      <x:c r="J196" s="101"/>
      <x:c r="K196" s="101"/>
      <x:c r="L196" s="101"/>
      <x:c r="M196" s="101"/>
      <x:c r="N196" s="101"/>
      <x:c r="O196" s="101"/>
      <x:c r="P196" s="101"/>
      <x:c r="Q196" s="101"/>
      <x:c r="R196" s="101"/>
      <x:c r="S196" s="101"/>
      <x:c r="T196" s="101"/>
      <x:c r="U196" s="101"/>
      <x:c r="V196" s="101"/>
      <x:c r="W196" s="101"/>
      <x:c r="X196" s="101"/>
      <x:c r="Y196" s="101"/>
      <x:c r="Z196" s="101"/>
      <x:c r="AA196" s="101"/>
      <x:c r="AB196" s="101"/>
      <x:c r="AC196" s="101"/>
      <x:c r="AD196" s="101"/>
      <x:c r="AE196" s="101"/>
    </x:row>
    <x:row r="197">
      <x:c r="A197" s="101"/>
      <x:c r="B197" s="101"/>
      <x:c r="C197" s="101"/>
      <x:c r="D197" s="101"/>
      <x:c r="E197" s="101"/>
      <x:c r="F197" s="101"/>
      <x:c r="G197" s="101"/>
      <x:c r="H197" s="101"/>
      <x:c r="I197" s="101"/>
      <x:c r="J197" s="101"/>
      <x:c r="K197" s="101"/>
      <x:c r="L197" s="101"/>
      <x:c r="M197" s="101"/>
      <x:c r="N197" s="101"/>
      <x:c r="O197" s="101"/>
      <x:c r="P197" s="101"/>
      <x:c r="Q197" s="101"/>
      <x:c r="R197" s="101"/>
      <x:c r="S197" s="101"/>
      <x:c r="T197" s="101"/>
      <x:c r="U197" s="101"/>
      <x:c r="V197" s="101"/>
      <x:c r="W197" s="101"/>
      <x:c r="X197" s="101"/>
      <x:c r="Y197" s="101"/>
      <x:c r="Z197" s="101"/>
      <x:c r="AA197" s="101"/>
      <x:c r="AB197" s="101"/>
      <x:c r="AC197" s="101"/>
      <x:c r="AD197" s="101"/>
      <x:c r="AE197" s="101"/>
    </x:row>
    <x:row r="198">
      <x:c r="A198" s="101"/>
      <x:c r="B198" s="101"/>
      <x:c r="C198" s="101"/>
      <x:c r="D198" s="101"/>
      <x:c r="E198" s="101"/>
      <x:c r="F198" s="101"/>
      <x:c r="G198" s="101"/>
      <x:c r="H198" s="101"/>
      <x:c r="I198" s="101"/>
      <x:c r="J198" s="101"/>
      <x:c r="K198" s="101"/>
      <x:c r="L198" s="101"/>
      <x:c r="M198" s="101"/>
      <x:c r="N198" s="101"/>
      <x:c r="O198" s="101"/>
      <x:c r="P198" s="101"/>
      <x:c r="Q198" s="101"/>
      <x:c r="R198" s="101"/>
      <x:c r="S198" s="101"/>
      <x:c r="T198" s="101"/>
      <x:c r="U198" s="101"/>
      <x:c r="V198" s="101"/>
      <x:c r="W198" s="101"/>
      <x:c r="X198" s="101"/>
      <x:c r="Y198" s="101"/>
      <x:c r="Z198" s="101"/>
      <x:c r="AA198" s="101"/>
      <x:c r="AB198" s="101"/>
      <x:c r="AC198" s="101"/>
      <x:c r="AD198" s="101"/>
      <x:c r="AE198" s="101"/>
    </x:row>
    <x:row r="199">
      <x:c r="A199" s="101"/>
      <x:c r="B199" s="101"/>
      <x:c r="C199" s="101"/>
      <x:c r="D199" s="101"/>
      <x:c r="E199" s="101"/>
      <x:c r="F199" s="101"/>
      <x:c r="G199" s="101"/>
      <x:c r="H199" s="101"/>
      <x:c r="I199" s="101"/>
      <x:c r="J199" s="101"/>
      <x:c r="K199" s="101"/>
      <x:c r="L199" s="101"/>
      <x:c r="M199" s="101"/>
      <x:c r="N199" s="101"/>
      <x:c r="O199" s="101"/>
      <x:c r="P199" s="101"/>
      <x:c r="Q199" s="101"/>
      <x:c r="R199" s="101"/>
      <x:c r="S199" s="101"/>
      <x:c r="T199" s="101"/>
      <x:c r="U199" s="101"/>
      <x:c r="V199" s="101"/>
      <x:c r="W199" s="101"/>
      <x:c r="X199" s="101"/>
      <x:c r="Y199" s="101"/>
      <x:c r="Z199" s="101"/>
      <x:c r="AA199" s="101"/>
      <x:c r="AB199" s="101"/>
      <x:c r="AC199" s="101"/>
      <x:c r="AD199" s="101"/>
      <x:c r="AE199" s="101"/>
    </x:row>
    <x:row r="200">
      <x:c r="A200" s="101"/>
      <x:c r="B200" s="101"/>
      <x:c r="C200" s="101"/>
      <x:c r="D200" s="101"/>
      <x:c r="E200" s="101"/>
      <x:c r="F200" s="101"/>
      <x:c r="G200" s="101"/>
      <x:c r="H200" s="101"/>
      <x:c r="I200" s="101"/>
      <x:c r="J200" s="101"/>
      <x:c r="K200" s="101"/>
      <x:c r="L200" s="101"/>
      <x:c r="M200" s="101"/>
      <x:c r="N200" s="101"/>
      <x:c r="O200" s="101"/>
      <x:c r="P200" s="101"/>
      <x:c r="Q200" s="101"/>
      <x:c r="R200" s="101"/>
      <x:c r="S200" s="101"/>
      <x:c r="T200" s="101"/>
      <x:c r="U200" s="101"/>
      <x:c r="V200" s="101"/>
      <x:c r="W200" s="101"/>
      <x:c r="X200" s="101"/>
      <x:c r="Y200" s="101"/>
      <x:c r="Z200" s="101"/>
      <x:c r="AA200" s="101"/>
      <x:c r="AB200" s="101"/>
      <x:c r="AC200" s="101"/>
      <x:c r="AD200" s="101"/>
      <x:c r="AE200" s="101"/>
    </x:row>
  </x:sheetData>
  <x:mergeCells>
    <x:mergeCell ref="A1:H1"/>
    <x:mergeCell ref="A14:H14"/>
    <x:mergeCell ref="A28:E28"/>
    <x:mergeCell ref="A30:H3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2" hidden="0" customWidth="1"/>
    <x:col min="4" max="4" width="32" hidden="0" customWidth="1"/>
    <x:col min="5" max="5" width="8" hidden="0" customWidth="1"/>
    <x:col min="6" max="6" width="4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4" hidden="0" customWidth="1"/>
  </x:cols>
  <x:sheetData>
    <x:row r="1">
      <x:c r="A1" s="118" t="str">
        <x:v>PACKAGE REGISTER / BOX LABEL DATA - auto-generated from Curtain Input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</x:row>
    <x:row r="2">
      <x:c r="A2" s="96" t="str">
        <x:v>Package ID</x:v>
      </x:c>
      <x:c r="B2" s="96" t="str">
        <x:v>Pallet</x:v>
      </x:c>
      <x:c r="C2" s="96" t="str">
        <x:v>Curtain Ref</x:v>
      </x:c>
      <x:c r="D2" s="96" t="str">
        <x:v>Package Type</x:v>
      </x:c>
      <x:c r="E2" s="96" t="str">
        <x:v>Pieces</x:v>
      </x:c>
      <x:c r="F2" s="96" t="str">
        <x:v>Contents</x:v>
      </x:c>
      <x:c r="G2" s="96" t="str">
        <x:v>Est Weight kg</x:v>
      </x:c>
      <x:c r="H2" s="96" t="str">
        <x:v>Length mm</x:v>
      </x:c>
      <x:c r="I2" s="96" t="str">
        <x:v>Width mm</x:v>
      </x:c>
      <x:c r="J2" s="96" t="str">
        <x:v>Height mm</x:v>
      </x:c>
      <x:c r="K2" s="96" t="str">
        <x:v>Notes</x:v>
      </x:c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  <x:c r="AE2" s="101"/>
    </x:row>
    <x:row r="3">
      <x:c r="A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3" s="100" t="str">
        <x:f>IF(INDEX('Curtain Input'!$A$3:$A$42,INT((ROW()-3)/4)+1)="","",INDEX('Curtain Input'!$AD$3:$AD$42,INT((ROW()-3)/4)+1))</x:f>
      </x:c>
      <x:c r="C3" s="100" t="str">
        <x:f>IF(INDEX('Curtain Input'!$A$3:$A$42,INT((ROW()-3)/4)+1)="","",INDEX('Curtain Input'!$A$3:$A$42,INT((ROW()-3)/4)+1))</x:f>
      </x:c>
      <x:c r="D3" s="100" t="str">
        <x:f>IF(INDEX('Curtain Input'!$A$3:$A$42,INT((ROW()-3)/4)+1)="","",CHOOSE(MOD(ROW()-3,4)+1,"Headbox front/back sections","Side guide pair","Barrel/curtain/bottom rail assembly","Control panel/endplate box"))</x:f>
      </x:c>
      <x:c r="E3" s="100" t="str">
        <x:f>IF(INDEX('Curtain Input'!$A$3:$A$42,INT((ROW()-3)/4)+1)="","",CHOOSE(MOD(ROW()-3,4)+1,2,2*INDEX('Curtain Input'!$J$3:$J$42,INT((ROW()-3)/4)+1),1,1))</x:f>
      </x:c>
      <x:c r="F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3" s="124" t="str">
        <x:f>IF(INDEX('Curtain Input'!$A$3:$A$42,INT((ROW()-3)/4)+1)="","",CHOOSE(MOD(ROW()-3,4)+1,300,250,500,400))</x:f>
      </x:c>
      <x:c r="J3" s="124" t="str">
        <x:f>IF(INDEX('Curtain Input'!$A$3:$A$42,INT((ROW()-3)/4)+1)="","",CHOOSE(MOD(ROW()-3,4)+1,250,200,350,300))</x:f>
      </x:c>
      <x:c r="K3" s="100" t="str">
        <x:f>IF(INDEX('Curtain Input'!$A$3:$A$42,INT((ROW()-3)/4)+1)="","",IF(MOD(ROW()-3,4)+1=2,"Guide split parts from Curtain Input",""))</x:f>
      </x:c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  <x:c r="AA3" s="101"/>
      <x:c r="AB3" s="101"/>
      <x:c r="AC3" s="101"/>
      <x:c r="AD3" s="101"/>
      <x:c r="AE3" s="101"/>
    </x:row>
    <x:row r="4">
      <x:c r="A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4" s="100" t="str">
        <x:f>IF(INDEX('Curtain Input'!$A$3:$A$42,INT((ROW()-3)/4)+1)="","",INDEX('Curtain Input'!$AD$3:$AD$42,INT((ROW()-3)/4)+1))</x:f>
      </x:c>
      <x:c r="C4" s="100" t="str">
        <x:f>IF(INDEX('Curtain Input'!$A$3:$A$42,INT((ROW()-3)/4)+1)="","",INDEX('Curtain Input'!$A$3:$A$42,INT((ROW()-3)/4)+1))</x:f>
      </x:c>
      <x:c r="D4" s="100" t="str">
        <x:f>IF(INDEX('Curtain Input'!$A$3:$A$42,INT((ROW()-3)/4)+1)="","",CHOOSE(MOD(ROW()-3,4)+1,"Headbox front/back sections","Side guide pair","Barrel/curtain/bottom rail assembly","Control panel/endplate box"))</x:f>
      </x:c>
      <x:c r="E4" s="100" t="str">
        <x:f>IF(INDEX('Curtain Input'!$A$3:$A$42,INT((ROW()-3)/4)+1)="","",CHOOSE(MOD(ROW()-3,4)+1,2,2*INDEX('Curtain Input'!$J$3:$J$42,INT((ROW()-3)/4)+1),1,1))</x:f>
      </x:c>
      <x:c r="F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4" s="124" t="str">
        <x:f>IF(INDEX('Curtain Input'!$A$3:$A$42,INT((ROW()-3)/4)+1)="","",CHOOSE(MOD(ROW()-3,4)+1,300,250,500,400))</x:f>
      </x:c>
      <x:c r="J4" s="124" t="str">
        <x:f>IF(INDEX('Curtain Input'!$A$3:$A$42,INT((ROW()-3)/4)+1)="","",CHOOSE(MOD(ROW()-3,4)+1,250,200,350,300))</x:f>
      </x:c>
      <x:c r="K4" s="100" t="str">
        <x:f>IF(INDEX('Curtain Input'!$A$3:$A$42,INT((ROW()-3)/4)+1)="","",IF(MOD(ROW()-3,4)+1=2,"Guide split parts from Curtain Input",""))</x:f>
      </x:c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  <x:c r="AA4" s="101"/>
      <x:c r="AB4" s="101"/>
      <x:c r="AC4" s="101"/>
      <x:c r="AD4" s="101"/>
      <x:c r="AE4" s="101"/>
    </x:row>
    <x:row r="5">
      <x:c r="A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5" s="100" t="str">
        <x:f>IF(INDEX('Curtain Input'!$A$3:$A$42,INT((ROW()-3)/4)+1)="","",INDEX('Curtain Input'!$AD$3:$AD$42,INT((ROW()-3)/4)+1))</x:f>
      </x:c>
      <x:c r="C5" s="100" t="str">
        <x:f>IF(INDEX('Curtain Input'!$A$3:$A$42,INT((ROW()-3)/4)+1)="","",INDEX('Curtain Input'!$A$3:$A$42,INT((ROW()-3)/4)+1))</x:f>
      </x:c>
      <x:c r="D5" s="100" t="str">
        <x:f>IF(INDEX('Curtain Input'!$A$3:$A$42,INT((ROW()-3)/4)+1)="","",CHOOSE(MOD(ROW()-3,4)+1,"Headbox front/back sections","Side guide pair","Barrel/curtain/bottom rail assembly","Control panel/endplate box"))</x:f>
      </x:c>
      <x:c r="E5" s="100" t="str">
        <x:f>IF(INDEX('Curtain Input'!$A$3:$A$42,INT((ROW()-3)/4)+1)="","",CHOOSE(MOD(ROW()-3,4)+1,2,2*INDEX('Curtain Input'!$J$3:$J$42,INT((ROW()-3)/4)+1),1,1))</x:f>
      </x:c>
      <x:c r="F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5" s="124" t="str">
        <x:f>IF(INDEX('Curtain Input'!$A$3:$A$42,INT((ROW()-3)/4)+1)="","",CHOOSE(MOD(ROW()-3,4)+1,300,250,500,400))</x:f>
      </x:c>
      <x:c r="J5" s="124" t="str">
        <x:f>IF(INDEX('Curtain Input'!$A$3:$A$42,INT((ROW()-3)/4)+1)="","",CHOOSE(MOD(ROW()-3,4)+1,250,200,350,300))</x:f>
      </x:c>
      <x:c r="K5" s="100" t="str">
        <x:f>IF(INDEX('Curtain Input'!$A$3:$A$42,INT((ROW()-3)/4)+1)="","",IF(MOD(ROW()-3,4)+1=2,"Guide split parts from Curtain Input",""))</x:f>
      </x:c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  <x:c r="AA5" s="101"/>
      <x:c r="AB5" s="101"/>
      <x:c r="AC5" s="101"/>
      <x:c r="AD5" s="101"/>
      <x:c r="AE5" s="101"/>
    </x:row>
    <x:row r="6">
      <x:c r="A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6" s="100" t="str">
        <x:f>IF(INDEX('Curtain Input'!$A$3:$A$42,INT((ROW()-3)/4)+1)="","",INDEX('Curtain Input'!$AD$3:$AD$42,INT((ROW()-3)/4)+1))</x:f>
      </x:c>
      <x:c r="C6" s="100" t="str">
        <x:f>IF(INDEX('Curtain Input'!$A$3:$A$42,INT((ROW()-3)/4)+1)="","",INDEX('Curtain Input'!$A$3:$A$42,INT((ROW()-3)/4)+1))</x:f>
      </x:c>
      <x:c r="D6" s="100" t="str">
        <x:f>IF(INDEX('Curtain Input'!$A$3:$A$42,INT((ROW()-3)/4)+1)="","",CHOOSE(MOD(ROW()-3,4)+1,"Headbox front/back sections","Side guide pair","Barrel/curtain/bottom rail assembly","Control panel/endplate box"))</x:f>
      </x:c>
      <x:c r="E6" s="100" t="str">
        <x:f>IF(INDEX('Curtain Input'!$A$3:$A$42,INT((ROW()-3)/4)+1)="","",CHOOSE(MOD(ROW()-3,4)+1,2,2*INDEX('Curtain Input'!$J$3:$J$42,INT((ROW()-3)/4)+1),1,1))</x:f>
      </x:c>
      <x:c r="F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6" s="124" t="str">
        <x:f>IF(INDEX('Curtain Input'!$A$3:$A$42,INT((ROW()-3)/4)+1)="","",CHOOSE(MOD(ROW()-3,4)+1,300,250,500,400))</x:f>
      </x:c>
      <x:c r="J6" s="124" t="str">
        <x:f>IF(INDEX('Curtain Input'!$A$3:$A$42,INT((ROW()-3)/4)+1)="","",CHOOSE(MOD(ROW()-3,4)+1,250,200,350,300))</x:f>
      </x:c>
      <x:c r="K6" s="100" t="str">
        <x:f>IF(INDEX('Curtain Input'!$A$3:$A$42,INT((ROW()-3)/4)+1)="","",IF(MOD(ROW()-3,4)+1=2,"Guide split parts from Curtain Input",""))</x:f>
      </x:c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  <x:c r="AA6" s="101"/>
      <x:c r="AB6" s="101"/>
      <x:c r="AC6" s="101"/>
      <x:c r="AD6" s="101"/>
      <x:c r="AE6" s="101"/>
    </x:row>
    <x:row r="7">
      <x:c r="A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7" s="100" t="str">
        <x:f>IF(INDEX('Curtain Input'!$A$3:$A$42,INT((ROW()-3)/4)+1)="","",INDEX('Curtain Input'!$AD$3:$AD$42,INT((ROW()-3)/4)+1))</x:f>
      </x:c>
      <x:c r="C7" s="100" t="str">
        <x:f>IF(INDEX('Curtain Input'!$A$3:$A$42,INT((ROW()-3)/4)+1)="","",INDEX('Curtain Input'!$A$3:$A$42,INT((ROW()-3)/4)+1))</x:f>
      </x:c>
      <x:c r="D7" s="100" t="str">
        <x:f>IF(INDEX('Curtain Input'!$A$3:$A$42,INT((ROW()-3)/4)+1)="","",CHOOSE(MOD(ROW()-3,4)+1,"Headbox front/back sections","Side guide pair","Barrel/curtain/bottom rail assembly","Control panel/endplate box"))</x:f>
      </x:c>
      <x:c r="E7" s="100" t="str">
        <x:f>IF(INDEX('Curtain Input'!$A$3:$A$42,INT((ROW()-3)/4)+1)="","",CHOOSE(MOD(ROW()-3,4)+1,2,2*INDEX('Curtain Input'!$J$3:$J$42,INT((ROW()-3)/4)+1),1,1))</x:f>
      </x:c>
      <x:c r="F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7" s="124" t="str">
        <x:f>IF(INDEX('Curtain Input'!$A$3:$A$42,INT((ROW()-3)/4)+1)="","",CHOOSE(MOD(ROW()-3,4)+1,300,250,500,400))</x:f>
      </x:c>
      <x:c r="J7" s="124" t="str">
        <x:f>IF(INDEX('Curtain Input'!$A$3:$A$42,INT((ROW()-3)/4)+1)="","",CHOOSE(MOD(ROW()-3,4)+1,250,200,350,300))</x:f>
      </x:c>
      <x:c r="K7" s="100" t="str">
        <x:f>IF(INDEX('Curtain Input'!$A$3:$A$42,INT((ROW()-3)/4)+1)="","",IF(MOD(ROW()-3,4)+1=2,"Guide split parts from Curtain Input",""))</x:f>
      </x:c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  <x:c r="AA7" s="101"/>
      <x:c r="AB7" s="101"/>
      <x:c r="AC7" s="101"/>
      <x:c r="AD7" s="101"/>
      <x:c r="AE7" s="101"/>
    </x:row>
    <x:row r="8">
      <x:c r="A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8" s="100" t="str">
        <x:f>IF(INDEX('Curtain Input'!$A$3:$A$42,INT((ROW()-3)/4)+1)="","",INDEX('Curtain Input'!$AD$3:$AD$42,INT((ROW()-3)/4)+1))</x:f>
      </x:c>
      <x:c r="C8" s="100" t="str">
        <x:f>IF(INDEX('Curtain Input'!$A$3:$A$42,INT((ROW()-3)/4)+1)="","",INDEX('Curtain Input'!$A$3:$A$42,INT((ROW()-3)/4)+1))</x:f>
      </x:c>
      <x:c r="D8" s="100" t="str">
        <x:f>IF(INDEX('Curtain Input'!$A$3:$A$42,INT((ROW()-3)/4)+1)="","",CHOOSE(MOD(ROW()-3,4)+1,"Headbox front/back sections","Side guide pair","Barrel/curtain/bottom rail assembly","Control panel/endplate box"))</x:f>
      </x:c>
      <x:c r="E8" s="100" t="str">
        <x:f>IF(INDEX('Curtain Input'!$A$3:$A$42,INT((ROW()-3)/4)+1)="","",CHOOSE(MOD(ROW()-3,4)+1,2,2*INDEX('Curtain Input'!$J$3:$J$42,INT((ROW()-3)/4)+1),1,1))</x:f>
      </x:c>
      <x:c r="F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8" s="124" t="str">
        <x:f>IF(INDEX('Curtain Input'!$A$3:$A$42,INT((ROW()-3)/4)+1)="","",CHOOSE(MOD(ROW()-3,4)+1,300,250,500,400))</x:f>
      </x:c>
      <x:c r="J8" s="124" t="str">
        <x:f>IF(INDEX('Curtain Input'!$A$3:$A$42,INT((ROW()-3)/4)+1)="","",CHOOSE(MOD(ROW()-3,4)+1,250,200,350,300))</x:f>
      </x:c>
      <x:c r="K8" s="100" t="str">
        <x:f>IF(INDEX('Curtain Input'!$A$3:$A$42,INT((ROW()-3)/4)+1)="","",IF(MOD(ROW()-3,4)+1=2,"Guide split parts from Curtain Input",""))</x:f>
      </x:c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  <x:c r="AA8" s="101"/>
      <x:c r="AB8" s="101"/>
      <x:c r="AC8" s="101"/>
      <x:c r="AD8" s="101"/>
      <x:c r="AE8" s="101"/>
    </x:row>
    <x:row r="9">
      <x:c r="A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9" s="100" t="str">
        <x:f>IF(INDEX('Curtain Input'!$A$3:$A$42,INT((ROW()-3)/4)+1)="","",INDEX('Curtain Input'!$AD$3:$AD$42,INT((ROW()-3)/4)+1))</x:f>
      </x:c>
      <x:c r="C9" s="100" t="str">
        <x:f>IF(INDEX('Curtain Input'!$A$3:$A$42,INT((ROW()-3)/4)+1)="","",INDEX('Curtain Input'!$A$3:$A$42,INT((ROW()-3)/4)+1))</x:f>
      </x:c>
      <x:c r="D9" s="100" t="str">
        <x:f>IF(INDEX('Curtain Input'!$A$3:$A$42,INT((ROW()-3)/4)+1)="","",CHOOSE(MOD(ROW()-3,4)+1,"Headbox front/back sections","Side guide pair","Barrel/curtain/bottom rail assembly","Control panel/endplate box"))</x:f>
      </x:c>
      <x:c r="E9" s="100" t="str">
        <x:f>IF(INDEX('Curtain Input'!$A$3:$A$42,INT((ROW()-3)/4)+1)="","",CHOOSE(MOD(ROW()-3,4)+1,2,2*INDEX('Curtain Input'!$J$3:$J$42,INT((ROW()-3)/4)+1),1,1))</x:f>
      </x:c>
      <x:c r="F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9" s="124" t="str">
        <x:f>IF(INDEX('Curtain Input'!$A$3:$A$42,INT((ROW()-3)/4)+1)="","",CHOOSE(MOD(ROW()-3,4)+1,300,250,500,400))</x:f>
      </x:c>
      <x:c r="J9" s="124" t="str">
        <x:f>IF(INDEX('Curtain Input'!$A$3:$A$42,INT((ROW()-3)/4)+1)="","",CHOOSE(MOD(ROW()-3,4)+1,250,200,350,300))</x:f>
      </x:c>
      <x:c r="K9" s="100" t="str">
        <x:f>IF(INDEX('Curtain Input'!$A$3:$A$42,INT((ROW()-3)/4)+1)="","",IF(MOD(ROW()-3,4)+1=2,"Guide split parts from Curtain Input",""))</x:f>
      </x:c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  <x:c r="AA9" s="101"/>
      <x:c r="AB9" s="101"/>
      <x:c r="AC9" s="101"/>
      <x:c r="AD9" s="101"/>
      <x:c r="AE9" s="101"/>
    </x:row>
    <x:row r="10">
      <x:c r="A1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0" s="100" t="str">
        <x:f>IF(INDEX('Curtain Input'!$A$3:$A$42,INT((ROW()-3)/4)+1)="","",INDEX('Curtain Input'!$AD$3:$AD$42,INT((ROW()-3)/4)+1))</x:f>
      </x:c>
      <x:c r="C10" s="100" t="str">
        <x:f>IF(INDEX('Curtain Input'!$A$3:$A$42,INT((ROW()-3)/4)+1)="","",INDEX('Curtain Input'!$A$3:$A$42,INT((ROW()-3)/4)+1))</x:f>
      </x:c>
      <x:c r="D10" s="100" t="str">
        <x:f>IF(INDEX('Curtain Input'!$A$3:$A$42,INT((ROW()-3)/4)+1)="","",CHOOSE(MOD(ROW()-3,4)+1,"Headbox front/back sections","Side guide pair","Barrel/curtain/bottom rail assembly","Control panel/endplate box"))</x:f>
      </x:c>
      <x:c r="E10" s="100" t="str">
        <x:f>IF(INDEX('Curtain Input'!$A$3:$A$42,INT((ROW()-3)/4)+1)="","",CHOOSE(MOD(ROW()-3,4)+1,2,2*INDEX('Curtain Input'!$J$3:$J$42,INT((ROW()-3)/4)+1),1,1))</x:f>
      </x:c>
      <x:c r="F1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0" s="124" t="str">
        <x:f>IF(INDEX('Curtain Input'!$A$3:$A$42,INT((ROW()-3)/4)+1)="","",CHOOSE(MOD(ROW()-3,4)+1,300,250,500,400))</x:f>
      </x:c>
      <x:c r="J10" s="124" t="str">
        <x:f>IF(INDEX('Curtain Input'!$A$3:$A$42,INT((ROW()-3)/4)+1)="","",CHOOSE(MOD(ROW()-3,4)+1,250,200,350,300))</x:f>
      </x:c>
      <x:c r="K10" s="100" t="str">
        <x:f>IF(INDEX('Curtain Input'!$A$3:$A$42,INT((ROW()-3)/4)+1)="","",IF(MOD(ROW()-3,4)+1=2,"Guide split parts from Curtain Input",""))</x:f>
      </x:c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  <x:c r="AA10" s="101"/>
      <x:c r="AB10" s="101"/>
      <x:c r="AC10" s="101"/>
      <x:c r="AD10" s="101"/>
      <x:c r="AE10" s="101"/>
    </x:row>
    <x:row r="11">
      <x:c r="A1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1" s="100" t="str">
        <x:f>IF(INDEX('Curtain Input'!$A$3:$A$42,INT((ROW()-3)/4)+1)="","",INDEX('Curtain Input'!$AD$3:$AD$42,INT((ROW()-3)/4)+1))</x:f>
      </x:c>
      <x:c r="C11" s="100" t="str">
        <x:f>IF(INDEX('Curtain Input'!$A$3:$A$42,INT((ROW()-3)/4)+1)="","",INDEX('Curtain Input'!$A$3:$A$42,INT((ROW()-3)/4)+1))</x:f>
      </x:c>
      <x:c r="D11" s="100" t="str">
        <x:f>IF(INDEX('Curtain Input'!$A$3:$A$42,INT((ROW()-3)/4)+1)="","",CHOOSE(MOD(ROW()-3,4)+1,"Headbox front/back sections","Side guide pair","Barrel/curtain/bottom rail assembly","Control panel/endplate box"))</x:f>
      </x:c>
      <x:c r="E11" s="100" t="str">
        <x:f>IF(INDEX('Curtain Input'!$A$3:$A$42,INT((ROW()-3)/4)+1)="","",CHOOSE(MOD(ROW()-3,4)+1,2,2*INDEX('Curtain Input'!$J$3:$J$42,INT((ROW()-3)/4)+1),1,1))</x:f>
      </x:c>
      <x:c r="F1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1" s="124" t="str">
        <x:f>IF(INDEX('Curtain Input'!$A$3:$A$42,INT((ROW()-3)/4)+1)="","",CHOOSE(MOD(ROW()-3,4)+1,300,250,500,400))</x:f>
      </x:c>
      <x:c r="J11" s="124" t="str">
        <x:f>IF(INDEX('Curtain Input'!$A$3:$A$42,INT((ROW()-3)/4)+1)="","",CHOOSE(MOD(ROW()-3,4)+1,250,200,350,300))</x:f>
      </x:c>
      <x:c r="K11" s="100" t="str">
        <x:f>IF(INDEX('Curtain Input'!$A$3:$A$42,INT((ROW()-3)/4)+1)="","",IF(MOD(ROW()-3,4)+1=2,"Guide split parts from Curtain Input",""))</x:f>
      </x:c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  <x:c r="AA11" s="101"/>
      <x:c r="AB11" s="101"/>
      <x:c r="AC11" s="101"/>
      <x:c r="AD11" s="101"/>
      <x:c r="AE11" s="101"/>
    </x:row>
    <x:row r="12">
      <x:c r="A1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2" s="100" t="str">
        <x:f>IF(INDEX('Curtain Input'!$A$3:$A$42,INT((ROW()-3)/4)+1)="","",INDEX('Curtain Input'!$AD$3:$AD$42,INT((ROW()-3)/4)+1))</x:f>
      </x:c>
      <x:c r="C12" s="100" t="str">
        <x:f>IF(INDEX('Curtain Input'!$A$3:$A$42,INT((ROW()-3)/4)+1)="","",INDEX('Curtain Input'!$A$3:$A$42,INT((ROW()-3)/4)+1))</x:f>
      </x:c>
      <x:c r="D12" s="100" t="str">
        <x:f>IF(INDEX('Curtain Input'!$A$3:$A$42,INT((ROW()-3)/4)+1)="","",CHOOSE(MOD(ROW()-3,4)+1,"Headbox front/back sections","Side guide pair","Barrel/curtain/bottom rail assembly","Control panel/endplate box"))</x:f>
      </x:c>
      <x:c r="E12" s="100" t="str">
        <x:f>IF(INDEX('Curtain Input'!$A$3:$A$42,INT((ROW()-3)/4)+1)="","",CHOOSE(MOD(ROW()-3,4)+1,2,2*INDEX('Curtain Input'!$J$3:$J$42,INT((ROW()-3)/4)+1),1,1))</x:f>
      </x:c>
      <x:c r="F1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2" s="124" t="str">
        <x:f>IF(INDEX('Curtain Input'!$A$3:$A$42,INT((ROW()-3)/4)+1)="","",CHOOSE(MOD(ROW()-3,4)+1,300,250,500,400))</x:f>
      </x:c>
      <x:c r="J12" s="124" t="str">
        <x:f>IF(INDEX('Curtain Input'!$A$3:$A$42,INT((ROW()-3)/4)+1)="","",CHOOSE(MOD(ROW()-3,4)+1,250,200,350,300))</x:f>
      </x:c>
      <x:c r="K12" s="100" t="str">
        <x:f>IF(INDEX('Curtain Input'!$A$3:$A$42,INT((ROW()-3)/4)+1)="","",IF(MOD(ROW()-3,4)+1=2,"Guide split parts from Curtain Input",""))</x:f>
      </x:c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  <x:c r="AA12" s="101"/>
      <x:c r="AB12" s="101"/>
      <x:c r="AC12" s="101"/>
      <x:c r="AD12" s="101"/>
      <x:c r="AE12" s="101"/>
    </x:row>
    <x:row r="13">
      <x:c r="A1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3" s="100" t="str">
        <x:f>IF(INDEX('Curtain Input'!$A$3:$A$42,INT((ROW()-3)/4)+1)="","",INDEX('Curtain Input'!$AD$3:$AD$42,INT((ROW()-3)/4)+1))</x:f>
      </x:c>
      <x:c r="C13" s="100" t="str">
        <x:f>IF(INDEX('Curtain Input'!$A$3:$A$42,INT((ROW()-3)/4)+1)="","",INDEX('Curtain Input'!$A$3:$A$42,INT((ROW()-3)/4)+1))</x:f>
      </x:c>
      <x:c r="D13" s="100" t="str">
        <x:f>IF(INDEX('Curtain Input'!$A$3:$A$42,INT((ROW()-3)/4)+1)="","",CHOOSE(MOD(ROW()-3,4)+1,"Headbox front/back sections","Side guide pair","Barrel/curtain/bottom rail assembly","Control panel/endplate box"))</x:f>
      </x:c>
      <x:c r="E13" s="100" t="str">
        <x:f>IF(INDEX('Curtain Input'!$A$3:$A$42,INT((ROW()-3)/4)+1)="","",CHOOSE(MOD(ROW()-3,4)+1,2,2*INDEX('Curtain Input'!$J$3:$J$42,INT((ROW()-3)/4)+1),1,1))</x:f>
      </x:c>
      <x:c r="F1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3" s="124" t="str">
        <x:f>IF(INDEX('Curtain Input'!$A$3:$A$42,INT((ROW()-3)/4)+1)="","",CHOOSE(MOD(ROW()-3,4)+1,300,250,500,400))</x:f>
      </x:c>
      <x:c r="J13" s="124" t="str">
        <x:f>IF(INDEX('Curtain Input'!$A$3:$A$42,INT((ROW()-3)/4)+1)="","",CHOOSE(MOD(ROW()-3,4)+1,250,200,350,300))</x:f>
      </x:c>
      <x:c r="K13" s="100" t="str">
        <x:f>IF(INDEX('Curtain Input'!$A$3:$A$42,INT((ROW()-3)/4)+1)="","",IF(MOD(ROW()-3,4)+1=2,"Guide split parts from Curtain Input",""))</x:f>
      </x:c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  <x:c r="AA13" s="101"/>
      <x:c r="AB13" s="101"/>
      <x:c r="AC13" s="101"/>
      <x:c r="AD13" s="101"/>
      <x:c r="AE13" s="101"/>
    </x:row>
    <x:row r="14">
      <x:c r="A1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4" s="100" t="str">
        <x:f>IF(INDEX('Curtain Input'!$A$3:$A$42,INT((ROW()-3)/4)+1)="","",INDEX('Curtain Input'!$AD$3:$AD$42,INT((ROW()-3)/4)+1))</x:f>
      </x:c>
      <x:c r="C14" s="100" t="str">
        <x:f>IF(INDEX('Curtain Input'!$A$3:$A$42,INT((ROW()-3)/4)+1)="","",INDEX('Curtain Input'!$A$3:$A$42,INT((ROW()-3)/4)+1))</x:f>
      </x:c>
      <x:c r="D14" s="100" t="str">
        <x:f>IF(INDEX('Curtain Input'!$A$3:$A$42,INT((ROW()-3)/4)+1)="","",CHOOSE(MOD(ROW()-3,4)+1,"Headbox front/back sections","Side guide pair","Barrel/curtain/bottom rail assembly","Control panel/endplate box"))</x:f>
      </x:c>
      <x:c r="E14" s="100" t="str">
        <x:f>IF(INDEX('Curtain Input'!$A$3:$A$42,INT((ROW()-3)/4)+1)="","",CHOOSE(MOD(ROW()-3,4)+1,2,2*INDEX('Curtain Input'!$J$3:$J$42,INT((ROW()-3)/4)+1),1,1))</x:f>
      </x:c>
      <x:c r="F1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4" s="124" t="str">
        <x:f>IF(INDEX('Curtain Input'!$A$3:$A$42,INT((ROW()-3)/4)+1)="","",CHOOSE(MOD(ROW()-3,4)+1,300,250,500,400))</x:f>
      </x:c>
      <x:c r="J14" s="124" t="str">
        <x:f>IF(INDEX('Curtain Input'!$A$3:$A$42,INT((ROW()-3)/4)+1)="","",CHOOSE(MOD(ROW()-3,4)+1,250,200,350,300))</x:f>
      </x:c>
      <x:c r="K14" s="100" t="str">
        <x:f>IF(INDEX('Curtain Input'!$A$3:$A$42,INT((ROW()-3)/4)+1)="","",IF(MOD(ROW()-3,4)+1=2,"Guide split parts from Curtain Input",""))</x:f>
      </x:c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  <x:c r="AA14" s="101"/>
      <x:c r="AB14" s="101"/>
      <x:c r="AC14" s="101"/>
      <x:c r="AD14" s="101"/>
      <x:c r="AE14" s="101"/>
    </x:row>
    <x:row r="15">
      <x:c r="A1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5" s="100" t="str">
        <x:f>IF(INDEX('Curtain Input'!$A$3:$A$42,INT((ROW()-3)/4)+1)="","",INDEX('Curtain Input'!$AD$3:$AD$42,INT((ROW()-3)/4)+1))</x:f>
      </x:c>
      <x:c r="C15" s="100" t="str">
        <x:f>IF(INDEX('Curtain Input'!$A$3:$A$42,INT((ROW()-3)/4)+1)="","",INDEX('Curtain Input'!$A$3:$A$42,INT((ROW()-3)/4)+1))</x:f>
      </x:c>
      <x:c r="D15" s="100" t="str">
        <x:f>IF(INDEX('Curtain Input'!$A$3:$A$42,INT((ROW()-3)/4)+1)="","",CHOOSE(MOD(ROW()-3,4)+1,"Headbox front/back sections","Side guide pair","Barrel/curtain/bottom rail assembly","Control panel/endplate box"))</x:f>
      </x:c>
      <x:c r="E15" s="100" t="str">
        <x:f>IF(INDEX('Curtain Input'!$A$3:$A$42,INT((ROW()-3)/4)+1)="","",CHOOSE(MOD(ROW()-3,4)+1,2,2*INDEX('Curtain Input'!$J$3:$J$42,INT((ROW()-3)/4)+1),1,1))</x:f>
      </x:c>
      <x:c r="F1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5" s="124" t="str">
        <x:f>IF(INDEX('Curtain Input'!$A$3:$A$42,INT((ROW()-3)/4)+1)="","",CHOOSE(MOD(ROW()-3,4)+1,300,250,500,400))</x:f>
      </x:c>
      <x:c r="J15" s="124" t="str">
        <x:f>IF(INDEX('Curtain Input'!$A$3:$A$42,INT((ROW()-3)/4)+1)="","",CHOOSE(MOD(ROW()-3,4)+1,250,200,350,300))</x:f>
      </x:c>
      <x:c r="K15" s="100" t="str">
        <x:f>IF(INDEX('Curtain Input'!$A$3:$A$42,INT((ROW()-3)/4)+1)="","",IF(MOD(ROW()-3,4)+1=2,"Guide split parts from Curtain Input",""))</x:f>
      </x:c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  <x:c r="AA15" s="101"/>
      <x:c r="AB15" s="101"/>
      <x:c r="AC15" s="101"/>
      <x:c r="AD15" s="101"/>
      <x:c r="AE15" s="101"/>
    </x:row>
    <x:row r="16">
      <x:c r="A1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6" s="100" t="str">
        <x:f>IF(INDEX('Curtain Input'!$A$3:$A$42,INT((ROW()-3)/4)+1)="","",INDEX('Curtain Input'!$AD$3:$AD$42,INT((ROW()-3)/4)+1))</x:f>
      </x:c>
      <x:c r="C16" s="100" t="str">
        <x:f>IF(INDEX('Curtain Input'!$A$3:$A$42,INT((ROW()-3)/4)+1)="","",INDEX('Curtain Input'!$A$3:$A$42,INT((ROW()-3)/4)+1))</x:f>
      </x:c>
      <x:c r="D16" s="100" t="str">
        <x:f>IF(INDEX('Curtain Input'!$A$3:$A$42,INT((ROW()-3)/4)+1)="","",CHOOSE(MOD(ROW()-3,4)+1,"Headbox front/back sections","Side guide pair","Barrel/curtain/bottom rail assembly","Control panel/endplate box"))</x:f>
      </x:c>
      <x:c r="E16" s="100" t="str">
        <x:f>IF(INDEX('Curtain Input'!$A$3:$A$42,INT((ROW()-3)/4)+1)="","",CHOOSE(MOD(ROW()-3,4)+1,2,2*INDEX('Curtain Input'!$J$3:$J$42,INT((ROW()-3)/4)+1),1,1))</x:f>
      </x:c>
      <x:c r="F1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6" s="124" t="str">
        <x:f>IF(INDEX('Curtain Input'!$A$3:$A$42,INT((ROW()-3)/4)+1)="","",CHOOSE(MOD(ROW()-3,4)+1,300,250,500,400))</x:f>
      </x:c>
      <x:c r="J16" s="124" t="str">
        <x:f>IF(INDEX('Curtain Input'!$A$3:$A$42,INT((ROW()-3)/4)+1)="","",CHOOSE(MOD(ROW()-3,4)+1,250,200,350,300))</x:f>
      </x:c>
      <x:c r="K16" s="100" t="str">
        <x:f>IF(INDEX('Curtain Input'!$A$3:$A$42,INT((ROW()-3)/4)+1)="","",IF(MOD(ROW()-3,4)+1=2,"Guide split parts from Curtain Input",""))</x:f>
      </x:c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  <x:c r="AA16" s="101"/>
      <x:c r="AB16" s="101"/>
      <x:c r="AC16" s="101"/>
      <x:c r="AD16" s="101"/>
      <x:c r="AE16" s="101"/>
    </x:row>
    <x:row r="17">
      <x:c r="A1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7" s="100" t="str">
        <x:f>IF(INDEX('Curtain Input'!$A$3:$A$42,INT((ROW()-3)/4)+1)="","",INDEX('Curtain Input'!$AD$3:$AD$42,INT((ROW()-3)/4)+1))</x:f>
      </x:c>
      <x:c r="C17" s="100" t="str">
        <x:f>IF(INDEX('Curtain Input'!$A$3:$A$42,INT((ROW()-3)/4)+1)="","",INDEX('Curtain Input'!$A$3:$A$42,INT((ROW()-3)/4)+1))</x:f>
      </x:c>
      <x:c r="D17" s="100" t="str">
        <x:f>IF(INDEX('Curtain Input'!$A$3:$A$42,INT((ROW()-3)/4)+1)="","",CHOOSE(MOD(ROW()-3,4)+1,"Headbox front/back sections","Side guide pair","Barrel/curtain/bottom rail assembly","Control panel/endplate box"))</x:f>
      </x:c>
      <x:c r="E17" s="100" t="str">
        <x:f>IF(INDEX('Curtain Input'!$A$3:$A$42,INT((ROW()-3)/4)+1)="","",CHOOSE(MOD(ROW()-3,4)+1,2,2*INDEX('Curtain Input'!$J$3:$J$42,INT((ROW()-3)/4)+1),1,1))</x:f>
      </x:c>
      <x:c r="F1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7" s="124" t="str">
        <x:f>IF(INDEX('Curtain Input'!$A$3:$A$42,INT((ROW()-3)/4)+1)="","",CHOOSE(MOD(ROW()-3,4)+1,300,250,500,400))</x:f>
      </x:c>
      <x:c r="J17" s="124" t="str">
        <x:f>IF(INDEX('Curtain Input'!$A$3:$A$42,INT((ROW()-3)/4)+1)="","",CHOOSE(MOD(ROW()-3,4)+1,250,200,350,300))</x:f>
      </x:c>
      <x:c r="K17" s="100" t="str">
        <x:f>IF(INDEX('Curtain Input'!$A$3:$A$42,INT((ROW()-3)/4)+1)="","",IF(MOD(ROW()-3,4)+1=2,"Guide split parts from Curtain Input",""))</x:f>
      </x:c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  <x:c r="AA17" s="101"/>
      <x:c r="AB17" s="101"/>
      <x:c r="AC17" s="101"/>
      <x:c r="AD17" s="101"/>
      <x:c r="AE17" s="101"/>
    </x:row>
    <x:row r="18">
      <x:c r="A1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8" s="100" t="str">
        <x:f>IF(INDEX('Curtain Input'!$A$3:$A$42,INT((ROW()-3)/4)+1)="","",INDEX('Curtain Input'!$AD$3:$AD$42,INT((ROW()-3)/4)+1))</x:f>
      </x:c>
      <x:c r="C18" s="100" t="str">
        <x:f>IF(INDEX('Curtain Input'!$A$3:$A$42,INT((ROW()-3)/4)+1)="","",INDEX('Curtain Input'!$A$3:$A$42,INT((ROW()-3)/4)+1))</x:f>
      </x:c>
      <x:c r="D18" s="100" t="str">
        <x:f>IF(INDEX('Curtain Input'!$A$3:$A$42,INT((ROW()-3)/4)+1)="","",CHOOSE(MOD(ROW()-3,4)+1,"Headbox front/back sections","Side guide pair","Barrel/curtain/bottom rail assembly","Control panel/endplate box"))</x:f>
      </x:c>
      <x:c r="E18" s="100" t="str">
        <x:f>IF(INDEX('Curtain Input'!$A$3:$A$42,INT((ROW()-3)/4)+1)="","",CHOOSE(MOD(ROW()-3,4)+1,2,2*INDEX('Curtain Input'!$J$3:$J$42,INT((ROW()-3)/4)+1),1,1))</x:f>
      </x:c>
      <x:c r="F1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8" s="124" t="str">
        <x:f>IF(INDEX('Curtain Input'!$A$3:$A$42,INT((ROW()-3)/4)+1)="","",CHOOSE(MOD(ROW()-3,4)+1,300,250,500,400))</x:f>
      </x:c>
      <x:c r="J18" s="124" t="str">
        <x:f>IF(INDEX('Curtain Input'!$A$3:$A$42,INT((ROW()-3)/4)+1)="","",CHOOSE(MOD(ROW()-3,4)+1,250,200,350,300))</x:f>
      </x:c>
      <x:c r="K18" s="100" t="str">
        <x:f>IF(INDEX('Curtain Input'!$A$3:$A$42,INT((ROW()-3)/4)+1)="","",IF(MOD(ROW()-3,4)+1=2,"Guide split parts from Curtain Input",""))</x:f>
      </x:c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  <x:c r="AA18" s="101"/>
      <x:c r="AB18" s="101"/>
      <x:c r="AC18" s="101"/>
      <x:c r="AD18" s="101"/>
      <x:c r="AE18" s="101"/>
    </x:row>
    <x:row r="19">
      <x:c r="A1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9" s="100" t="str">
        <x:f>IF(INDEX('Curtain Input'!$A$3:$A$42,INT((ROW()-3)/4)+1)="","",INDEX('Curtain Input'!$AD$3:$AD$42,INT((ROW()-3)/4)+1))</x:f>
      </x:c>
      <x:c r="C19" s="100" t="str">
        <x:f>IF(INDEX('Curtain Input'!$A$3:$A$42,INT((ROW()-3)/4)+1)="","",INDEX('Curtain Input'!$A$3:$A$42,INT((ROW()-3)/4)+1))</x:f>
      </x:c>
      <x:c r="D19" s="100" t="str">
        <x:f>IF(INDEX('Curtain Input'!$A$3:$A$42,INT((ROW()-3)/4)+1)="","",CHOOSE(MOD(ROW()-3,4)+1,"Headbox front/back sections","Side guide pair","Barrel/curtain/bottom rail assembly","Control panel/endplate box"))</x:f>
      </x:c>
      <x:c r="E19" s="100" t="str">
        <x:f>IF(INDEX('Curtain Input'!$A$3:$A$42,INT((ROW()-3)/4)+1)="","",CHOOSE(MOD(ROW()-3,4)+1,2,2*INDEX('Curtain Input'!$J$3:$J$42,INT((ROW()-3)/4)+1),1,1))</x:f>
      </x:c>
      <x:c r="F1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9" s="124" t="str">
        <x:f>IF(INDEX('Curtain Input'!$A$3:$A$42,INT((ROW()-3)/4)+1)="","",CHOOSE(MOD(ROW()-3,4)+1,300,250,500,400))</x:f>
      </x:c>
      <x:c r="J19" s="124" t="str">
        <x:f>IF(INDEX('Curtain Input'!$A$3:$A$42,INT((ROW()-3)/4)+1)="","",CHOOSE(MOD(ROW()-3,4)+1,250,200,350,300))</x:f>
      </x:c>
      <x:c r="K19" s="100" t="str">
        <x:f>IF(INDEX('Curtain Input'!$A$3:$A$42,INT((ROW()-3)/4)+1)="","",IF(MOD(ROW()-3,4)+1=2,"Guide split parts from Curtain Input",""))</x:f>
      </x:c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  <x:c r="AA19" s="101"/>
      <x:c r="AB19" s="101"/>
      <x:c r="AC19" s="101"/>
      <x:c r="AD19" s="101"/>
      <x:c r="AE19" s="101"/>
    </x:row>
    <x:row r="20">
      <x:c r="A2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20" s="100" t="str">
        <x:f>IF(INDEX('Curtain Input'!$A$3:$A$42,INT((ROW()-3)/4)+1)="","",INDEX('Curtain Input'!$AD$3:$AD$42,INT((ROW()-3)/4)+1))</x:f>
      </x:c>
      <x:c r="C20" s="100" t="str">
        <x:f>IF(INDEX('Curtain Input'!$A$3:$A$42,INT((ROW()-3)/4)+1)="","",INDEX('Curtain Input'!$A$3:$A$42,INT((ROW()-3)/4)+1))</x:f>
      </x:c>
      <x:c r="D20" s="100" t="str">
        <x:f>IF(INDEX('Curtain Input'!$A$3:$A$42,INT((ROW()-3)/4)+1)="","",CHOOSE(MOD(ROW()-3,4)+1,"Headbox front/back sections","Side guide pair","Barrel/curtain/bottom rail assembly","Control panel/endplate box"))</x:f>
      </x:c>
      <x:c r="E20" s="100" t="str">
        <x:f>IF(INDEX('Curtain Input'!$A$3:$A$42,INT((ROW()-3)/4)+1)="","",CHOOSE(MOD(ROW()-3,4)+1,2,2*INDEX('Curtain Input'!$J$3:$J$42,INT((ROW()-3)/4)+1),1,1))</x:f>
      </x:c>
      <x:c r="F2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2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2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20" s="124" t="str">
        <x:f>IF(INDEX('Curtain Input'!$A$3:$A$42,INT((ROW()-3)/4)+1)="","",CHOOSE(MOD(ROW()-3,4)+1,300,250,500,400))</x:f>
      </x:c>
      <x:c r="J20" s="124" t="str">
        <x:f>IF(INDEX('Curtain Input'!$A$3:$A$42,INT((ROW()-3)/4)+1)="","",CHOOSE(MOD(ROW()-3,4)+1,250,200,350,300))</x:f>
      </x:c>
      <x:c r="K20" s="100" t="str">
        <x:f>IF(INDEX('Curtain Input'!$A$3:$A$42,INT((ROW()-3)/4)+1)="","",IF(MOD(ROW()-3,4)+1=2,"Guide split parts from Curtain Input",""))</x:f>
      </x:c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  <x:c r="AA20" s="101"/>
      <x:c r="AB20" s="101"/>
      <x:c r="AC20" s="101"/>
      <x:c r="AD20" s="101"/>
      <x:c r="AE20" s="101"/>
    </x:row>
    <x:row r="21">
      <x:c r="A2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21" s="100" t="str">
        <x:f>IF(INDEX('Curtain Input'!$A$3:$A$42,INT((ROW()-3)/4)+1)="","",INDEX('Curtain Input'!$AD$3:$AD$42,INT((ROW()-3)/4)+1))</x:f>
      </x:c>
      <x:c r="C21" s="100" t="str">
        <x:f>IF(INDEX('Curtain Input'!$A$3:$A$42,INT((ROW()-3)/4)+1)="","",INDEX('Curtain Input'!$A$3:$A$42,INT((ROW()-3)/4)+1))</x:f>
      </x:c>
      <x:c r="D21" s="100" t="str">
        <x:f>IF(INDEX('Curtain Input'!$A$3:$A$42,INT((ROW()-3)/4)+1)="","",CHOOSE(MOD(ROW()-3,4)+1,"Headbox front/back sections","Side guide pair","Barrel/curtain/bottom rail assembly","Control panel/endplate box"))</x:f>
      </x:c>
      <x:c r="E21" s="100" t="str">
        <x:f>IF(INDEX('Curtain Input'!$A$3:$A$42,INT((ROW()-3)/4)+1)="","",CHOOSE(MOD(ROW()-3,4)+1,2,2*INDEX('Curtain Input'!$J$3:$J$42,INT((ROW()-3)/4)+1),1,1))</x:f>
      </x:c>
      <x:c r="F2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2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2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21" s="124" t="str">
        <x:f>IF(INDEX('Curtain Input'!$A$3:$A$42,INT((ROW()-3)/4)+1)="","",CHOOSE(MOD(ROW()-3,4)+1,300,250,500,400))</x:f>
      </x:c>
      <x:c r="J21" s="124" t="str">
        <x:f>IF(INDEX('Curtain Input'!$A$3:$A$42,INT((ROW()-3)/4)+1)="","",CHOOSE(MOD(ROW()-3,4)+1,250,200,350,300))</x:f>
      </x:c>
      <x:c r="K21" s="100" t="str">
        <x:f>IF(INDEX('Curtain Input'!$A$3:$A$42,INT((ROW()-3)/4)+1)="","",IF(MOD(ROW()-3,4)+1=2,"Guide split parts from Curtain Input",""))</x:f>
      </x:c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  <x:c r="AA21" s="101"/>
      <x:c r="AB21" s="101"/>
      <x:c r="AC21" s="101"/>
      <x:c r="AD21" s="101"/>
      <x:c r="AE21" s="101"/>
    </x:row>
    <x:row r="22">
      <x:c r="A2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22" s="100" t="str">
        <x:f>IF(INDEX('Curtain Input'!$A$3:$A$42,INT((ROW()-3)/4)+1)="","",INDEX('Curtain Input'!$AD$3:$AD$42,INT((ROW()-3)/4)+1))</x:f>
      </x:c>
      <x:c r="C22" s="100" t="str">
        <x:f>IF(INDEX('Curtain Input'!$A$3:$A$42,INT((ROW()-3)/4)+1)="","",INDEX('Curtain Input'!$A$3:$A$42,INT((ROW()-3)/4)+1))</x:f>
      </x:c>
      <x:c r="D22" s="100" t="str">
        <x:f>IF(INDEX('Curtain Input'!$A$3:$A$42,INT((ROW()-3)/4)+1)="","",CHOOSE(MOD(ROW()-3,4)+1,"Headbox front/back sections","Side guide pair","Barrel/curtain/bottom rail assembly","Control panel/endplate box"))</x:f>
      </x:c>
      <x:c r="E22" s="100" t="str">
        <x:f>IF(INDEX('Curtain Input'!$A$3:$A$42,INT((ROW()-3)/4)+1)="","",CHOOSE(MOD(ROW()-3,4)+1,2,2*INDEX('Curtain Input'!$J$3:$J$42,INT((ROW()-3)/4)+1),1,1))</x:f>
      </x:c>
      <x:c r="F2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2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2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22" s="124" t="str">
        <x:f>IF(INDEX('Curtain Input'!$A$3:$A$42,INT((ROW()-3)/4)+1)="","",CHOOSE(MOD(ROW()-3,4)+1,300,250,500,400))</x:f>
      </x:c>
      <x:c r="J22" s="124" t="str">
        <x:f>IF(INDEX('Curtain Input'!$A$3:$A$42,INT((ROW()-3)/4)+1)="","",CHOOSE(MOD(ROW()-3,4)+1,250,200,350,300))</x:f>
      </x:c>
      <x:c r="K22" s="100" t="str">
        <x:f>IF(INDEX('Curtain Input'!$A$3:$A$42,INT((ROW()-3)/4)+1)="","",IF(MOD(ROW()-3,4)+1=2,"Guide split parts from Curtain Input",""))</x:f>
      </x:c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  <x:c r="AA22" s="101"/>
      <x:c r="AB22" s="101"/>
      <x:c r="AC22" s="101"/>
      <x:c r="AD22" s="101"/>
      <x:c r="AE22" s="101"/>
    </x:row>
    <x:row r="23">
      <x:c r="A2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23" s="100" t="str">
        <x:f>IF(INDEX('Curtain Input'!$A$3:$A$42,INT((ROW()-3)/4)+1)="","",INDEX('Curtain Input'!$AD$3:$AD$42,INT((ROW()-3)/4)+1))</x:f>
      </x:c>
      <x:c r="C23" s="100" t="str">
        <x:f>IF(INDEX('Curtain Input'!$A$3:$A$42,INT((ROW()-3)/4)+1)="","",INDEX('Curtain Input'!$A$3:$A$42,INT((ROW()-3)/4)+1))</x:f>
      </x:c>
      <x:c r="D23" s="100" t="str">
        <x:f>IF(INDEX('Curtain Input'!$A$3:$A$42,INT((ROW()-3)/4)+1)="","",CHOOSE(MOD(ROW()-3,4)+1,"Headbox front/back sections","Side guide pair","Barrel/curtain/bottom rail assembly","Control panel/endplate box"))</x:f>
      </x:c>
      <x:c r="E23" s="100" t="str">
        <x:f>IF(INDEX('Curtain Input'!$A$3:$A$42,INT((ROW()-3)/4)+1)="","",CHOOSE(MOD(ROW()-3,4)+1,2,2*INDEX('Curtain Input'!$J$3:$J$42,INT((ROW()-3)/4)+1),1,1))</x:f>
      </x:c>
      <x:c r="F2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2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2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23" s="124" t="str">
        <x:f>IF(INDEX('Curtain Input'!$A$3:$A$42,INT((ROW()-3)/4)+1)="","",CHOOSE(MOD(ROW()-3,4)+1,300,250,500,400))</x:f>
      </x:c>
      <x:c r="J23" s="124" t="str">
        <x:f>IF(INDEX('Curtain Input'!$A$3:$A$42,INT((ROW()-3)/4)+1)="","",CHOOSE(MOD(ROW()-3,4)+1,250,200,350,300))</x:f>
      </x:c>
      <x:c r="K23" s="100" t="str">
        <x:f>IF(INDEX('Curtain Input'!$A$3:$A$42,INT((ROW()-3)/4)+1)="","",IF(MOD(ROW()-3,4)+1=2,"Guide split parts from Curtain Input",""))</x:f>
      </x:c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  <x:c r="AA23" s="101"/>
      <x:c r="AB23" s="101"/>
      <x:c r="AC23" s="101"/>
      <x:c r="AD23" s="101"/>
      <x:c r="AE23" s="101"/>
    </x:row>
    <x:row r="24">
      <x:c r="A2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24" s="100" t="str">
        <x:f>IF(INDEX('Curtain Input'!$A$3:$A$42,INT((ROW()-3)/4)+1)="","",INDEX('Curtain Input'!$AD$3:$AD$42,INT((ROW()-3)/4)+1))</x:f>
      </x:c>
      <x:c r="C24" s="100" t="str">
        <x:f>IF(INDEX('Curtain Input'!$A$3:$A$42,INT((ROW()-3)/4)+1)="","",INDEX('Curtain Input'!$A$3:$A$42,INT((ROW()-3)/4)+1))</x:f>
      </x:c>
      <x:c r="D24" s="100" t="str">
        <x:f>IF(INDEX('Curtain Input'!$A$3:$A$42,INT((ROW()-3)/4)+1)="","",CHOOSE(MOD(ROW()-3,4)+1,"Headbox front/back sections","Side guide pair","Barrel/curtain/bottom rail assembly","Control panel/endplate box"))</x:f>
      </x:c>
      <x:c r="E24" s="100" t="str">
        <x:f>IF(INDEX('Curtain Input'!$A$3:$A$42,INT((ROW()-3)/4)+1)="","",CHOOSE(MOD(ROW()-3,4)+1,2,2*INDEX('Curtain Input'!$J$3:$J$42,INT((ROW()-3)/4)+1),1,1))</x:f>
      </x:c>
      <x:c r="F2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2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2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24" s="124" t="str">
        <x:f>IF(INDEX('Curtain Input'!$A$3:$A$42,INT((ROW()-3)/4)+1)="","",CHOOSE(MOD(ROW()-3,4)+1,300,250,500,400))</x:f>
      </x:c>
      <x:c r="J24" s="124" t="str">
        <x:f>IF(INDEX('Curtain Input'!$A$3:$A$42,INT((ROW()-3)/4)+1)="","",CHOOSE(MOD(ROW()-3,4)+1,250,200,350,300))</x:f>
      </x:c>
      <x:c r="K24" s="100" t="str">
        <x:f>IF(INDEX('Curtain Input'!$A$3:$A$42,INT((ROW()-3)/4)+1)="","",IF(MOD(ROW()-3,4)+1=2,"Guide split parts from Curtain Input",""))</x:f>
      </x:c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  <x:c r="AA24" s="101"/>
      <x:c r="AB24" s="101"/>
      <x:c r="AC24" s="101"/>
      <x:c r="AD24" s="101"/>
      <x:c r="AE24" s="101"/>
    </x:row>
    <x:row r="25">
      <x:c r="A2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25" s="100" t="str">
        <x:f>IF(INDEX('Curtain Input'!$A$3:$A$42,INT((ROW()-3)/4)+1)="","",INDEX('Curtain Input'!$AD$3:$AD$42,INT((ROW()-3)/4)+1))</x:f>
      </x:c>
      <x:c r="C25" s="100" t="str">
        <x:f>IF(INDEX('Curtain Input'!$A$3:$A$42,INT((ROW()-3)/4)+1)="","",INDEX('Curtain Input'!$A$3:$A$42,INT((ROW()-3)/4)+1))</x:f>
      </x:c>
      <x:c r="D25" s="100" t="str">
        <x:f>IF(INDEX('Curtain Input'!$A$3:$A$42,INT((ROW()-3)/4)+1)="","",CHOOSE(MOD(ROW()-3,4)+1,"Headbox front/back sections","Side guide pair","Barrel/curtain/bottom rail assembly","Control panel/endplate box"))</x:f>
      </x:c>
      <x:c r="E25" s="100" t="str">
        <x:f>IF(INDEX('Curtain Input'!$A$3:$A$42,INT((ROW()-3)/4)+1)="","",CHOOSE(MOD(ROW()-3,4)+1,2,2*INDEX('Curtain Input'!$J$3:$J$42,INT((ROW()-3)/4)+1),1,1))</x:f>
      </x:c>
      <x:c r="F2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2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2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25" s="124" t="str">
        <x:f>IF(INDEX('Curtain Input'!$A$3:$A$42,INT((ROW()-3)/4)+1)="","",CHOOSE(MOD(ROW()-3,4)+1,300,250,500,400))</x:f>
      </x:c>
      <x:c r="J25" s="124" t="str">
        <x:f>IF(INDEX('Curtain Input'!$A$3:$A$42,INT((ROW()-3)/4)+1)="","",CHOOSE(MOD(ROW()-3,4)+1,250,200,350,300))</x:f>
      </x:c>
      <x:c r="K25" s="100" t="str">
        <x:f>IF(INDEX('Curtain Input'!$A$3:$A$42,INT((ROW()-3)/4)+1)="","",IF(MOD(ROW()-3,4)+1=2,"Guide split parts from Curtain Input",""))</x:f>
      </x:c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  <x:c r="AA25" s="101"/>
      <x:c r="AB25" s="101"/>
      <x:c r="AC25" s="101"/>
      <x:c r="AD25" s="101"/>
      <x:c r="AE25" s="101"/>
    </x:row>
    <x:row r="26">
      <x:c r="A2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26" s="100" t="str">
        <x:f>IF(INDEX('Curtain Input'!$A$3:$A$42,INT((ROW()-3)/4)+1)="","",INDEX('Curtain Input'!$AD$3:$AD$42,INT((ROW()-3)/4)+1))</x:f>
      </x:c>
      <x:c r="C26" s="100" t="str">
        <x:f>IF(INDEX('Curtain Input'!$A$3:$A$42,INT((ROW()-3)/4)+1)="","",INDEX('Curtain Input'!$A$3:$A$42,INT((ROW()-3)/4)+1))</x:f>
      </x:c>
      <x:c r="D26" s="100" t="str">
        <x:f>IF(INDEX('Curtain Input'!$A$3:$A$42,INT((ROW()-3)/4)+1)="","",CHOOSE(MOD(ROW()-3,4)+1,"Headbox front/back sections","Side guide pair","Barrel/curtain/bottom rail assembly","Control panel/endplate box"))</x:f>
      </x:c>
      <x:c r="E26" s="100" t="str">
        <x:f>IF(INDEX('Curtain Input'!$A$3:$A$42,INT((ROW()-3)/4)+1)="","",CHOOSE(MOD(ROW()-3,4)+1,2,2*INDEX('Curtain Input'!$J$3:$J$42,INT((ROW()-3)/4)+1),1,1))</x:f>
      </x:c>
      <x:c r="F2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2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2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26" s="124" t="str">
        <x:f>IF(INDEX('Curtain Input'!$A$3:$A$42,INT((ROW()-3)/4)+1)="","",CHOOSE(MOD(ROW()-3,4)+1,300,250,500,400))</x:f>
      </x:c>
      <x:c r="J26" s="124" t="str">
        <x:f>IF(INDEX('Curtain Input'!$A$3:$A$42,INT((ROW()-3)/4)+1)="","",CHOOSE(MOD(ROW()-3,4)+1,250,200,350,300))</x:f>
      </x:c>
      <x:c r="K26" s="100" t="str">
        <x:f>IF(INDEX('Curtain Input'!$A$3:$A$42,INT((ROW()-3)/4)+1)="","",IF(MOD(ROW()-3,4)+1=2,"Guide split parts from Curtain Input",""))</x:f>
      </x:c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  <x:c r="AA26" s="101"/>
      <x:c r="AB26" s="101"/>
      <x:c r="AC26" s="101"/>
      <x:c r="AD26" s="101"/>
      <x:c r="AE26" s="101"/>
    </x:row>
    <x:row r="27">
      <x:c r="A2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27" s="100" t="str">
        <x:f>IF(INDEX('Curtain Input'!$A$3:$A$42,INT((ROW()-3)/4)+1)="","",INDEX('Curtain Input'!$AD$3:$AD$42,INT((ROW()-3)/4)+1))</x:f>
      </x:c>
      <x:c r="C27" s="100" t="str">
        <x:f>IF(INDEX('Curtain Input'!$A$3:$A$42,INT((ROW()-3)/4)+1)="","",INDEX('Curtain Input'!$A$3:$A$42,INT((ROW()-3)/4)+1))</x:f>
      </x:c>
      <x:c r="D27" s="100" t="str">
        <x:f>IF(INDEX('Curtain Input'!$A$3:$A$42,INT((ROW()-3)/4)+1)="","",CHOOSE(MOD(ROW()-3,4)+1,"Headbox front/back sections","Side guide pair","Barrel/curtain/bottom rail assembly","Control panel/endplate box"))</x:f>
      </x:c>
      <x:c r="E27" s="100" t="str">
        <x:f>IF(INDEX('Curtain Input'!$A$3:$A$42,INT((ROW()-3)/4)+1)="","",CHOOSE(MOD(ROW()-3,4)+1,2,2*INDEX('Curtain Input'!$J$3:$J$42,INT((ROW()-3)/4)+1),1,1))</x:f>
      </x:c>
      <x:c r="F2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2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2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27" s="124" t="str">
        <x:f>IF(INDEX('Curtain Input'!$A$3:$A$42,INT((ROW()-3)/4)+1)="","",CHOOSE(MOD(ROW()-3,4)+1,300,250,500,400))</x:f>
      </x:c>
      <x:c r="J27" s="124" t="str">
        <x:f>IF(INDEX('Curtain Input'!$A$3:$A$42,INT((ROW()-3)/4)+1)="","",CHOOSE(MOD(ROW()-3,4)+1,250,200,350,300))</x:f>
      </x:c>
      <x:c r="K27" s="100" t="str">
        <x:f>IF(INDEX('Curtain Input'!$A$3:$A$42,INT((ROW()-3)/4)+1)="","",IF(MOD(ROW()-3,4)+1=2,"Guide split parts from Curtain Input",""))</x:f>
      </x:c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  <x:c r="AA27" s="101"/>
      <x:c r="AB27" s="101"/>
      <x:c r="AC27" s="101"/>
      <x:c r="AD27" s="101"/>
      <x:c r="AE27" s="101"/>
    </x:row>
    <x:row r="28">
      <x:c r="A2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28" s="100" t="str">
        <x:f>IF(INDEX('Curtain Input'!$A$3:$A$42,INT((ROW()-3)/4)+1)="","",INDEX('Curtain Input'!$AD$3:$AD$42,INT((ROW()-3)/4)+1))</x:f>
      </x:c>
      <x:c r="C28" s="100" t="str">
        <x:f>IF(INDEX('Curtain Input'!$A$3:$A$42,INT((ROW()-3)/4)+1)="","",INDEX('Curtain Input'!$A$3:$A$42,INT((ROW()-3)/4)+1))</x:f>
      </x:c>
      <x:c r="D28" s="100" t="str">
        <x:f>IF(INDEX('Curtain Input'!$A$3:$A$42,INT((ROW()-3)/4)+1)="","",CHOOSE(MOD(ROW()-3,4)+1,"Headbox front/back sections","Side guide pair","Barrel/curtain/bottom rail assembly","Control panel/endplate box"))</x:f>
      </x:c>
      <x:c r="E28" s="100" t="str">
        <x:f>IF(INDEX('Curtain Input'!$A$3:$A$42,INT((ROW()-3)/4)+1)="","",CHOOSE(MOD(ROW()-3,4)+1,2,2*INDEX('Curtain Input'!$J$3:$J$42,INT((ROW()-3)/4)+1),1,1))</x:f>
      </x:c>
      <x:c r="F2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2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2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28" s="124" t="str">
        <x:f>IF(INDEX('Curtain Input'!$A$3:$A$42,INT((ROW()-3)/4)+1)="","",CHOOSE(MOD(ROW()-3,4)+1,300,250,500,400))</x:f>
      </x:c>
      <x:c r="J28" s="124" t="str">
        <x:f>IF(INDEX('Curtain Input'!$A$3:$A$42,INT((ROW()-3)/4)+1)="","",CHOOSE(MOD(ROW()-3,4)+1,250,200,350,300))</x:f>
      </x:c>
      <x:c r="K28" s="100" t="str">
        <x:f>IF(INDEX('Curtain Input'!$A$3:$A$42,INT((ROW()-3)/4)+1)="","",IF(MOD(ROW()-3,4)+1=2,"Guide split parts from Curtain Input",""))</x:f>
      </x:c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  <x:c r="AA28" s="101"/>
      <x:c r="AB28" s="101"/>
      <x:c r="AC28" s="101"/>
      <x:c r="AD28" s="101"/>
      <x:c r="AE28" s="101"/>
    </x:row>
    <x:row r="29">
      <x:c r="A2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29" s="100" t="str">
        <x:f>IF(INDEX('Curtain Input'!$A$3:$A$42,INT((ROW()-3)/4)+1)="","",INDEX('Curtain Input'!$AD$3:$AD$42,INT((ROW()-3)/4)+1))</x:f>
      </x:c>
      <x:c r="C29" s="100" t="str">
        <x:f>IF(INDEX('Curtain Input'!$A$3:$A$42,INT((ROW()-3)/4)+1)="","",INDEX('Curtain Input'!$A$3:$A$42,INT((ROW()-3)/4)+1))</x:f>
      </x:c>
      <x:c r="D29" s="100" t="str">
        <x:f>IF(INDEX('Curtain Input'!$A$3:$A$42,INT((ROW()-3)/4)+1)="","",CHOOSE(MOD(ROW()-3,4)+1,"Headbox front/back sections","Side guide pair","Barrel/curtain/bottom rail assembly","Control panel/endplate box"))</x:f>
      </x:c>
      <x:c r="E29" s="100" t="str">
        <x:f>IF(INDEX('Curtain Input'!$A$3:$A$42,INT((ROW()-3)/4)+1)="","",CHOOSE(MOD(ROW()-3,4)+1,2,2*INDEX('Curtain Input'!$J$3:$J$42,INT((ROW()-3)/4)+1),1,1))</x:f>
      </x:c>
      <x:c r="F2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2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2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29" s="124" t="str">
        <x:f>IF(INDEX('Curtain Input'!$A$3:$A$42,INT((ROW()-3)/4)+1)="","",CHOOSE(MOD(ROW()-3,4)+1,300,250,500,400))</x:f>
      </x:c>
      <x:c r="J29" s="124" t="str">
        <x:f>IF(INDEX('Curtain Input'!$A$3:$A$42,INT((ROW()-3)/4)+1)="","",CHOOSE(MOD(ROW()-3,4)+1,250,200,350,300))</x:f>
      </x:c>
      <x:c r="K29" s="100" t="str">
        <x:f>IF(INDEX('Curtain Input'!$A$3:$A$42,INT((ROW()-3)/4)+1)="","",IF(MOD(ROW()-3,4)+1=2,"Guide split parts from Curtain Input",""))</x:f>
      </x:c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  <x:c r="AA29" s="101"/>
      <x:c r="AB29" s="101"/>
      <x:c r="AC29" s="101"/>
      <x:c r="AD29" s="101"/>
      <x:c r="AE29" s="101"/>
    </x:row>
    <x:row r="30">
      <x:c r="A3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30" s="100" t="str">
        <x:f>IF(INDEX('Curtain Input'!$A$3:$A$42,INT((ROW()-3)/4)+1)="","",INDEX('Curtain Input'!$AD$3:$AD$42,INT((ROW()-3)/4)+1))</x:f>
      </x:c>
      <x:c r="C30" s="100" t="str">
        <x:f>IF(INDEX('Curtain Input'!$A$3:$A$42,INT((ROW()-3)/4)+1)="","",INDEX('Curtain Input'!$A$3:$A$42,INT((ROW()-3)/4)+1))</x:f>
      </x:c>
      <x:c r="D30" s="100" t="str">
        <x:f>IF(INDEX('Curtain Input'!$A$3:$A$42,INT((ROW()-3)/4)+1)="","",CHOOSE(MOD(ROW()-3,4)+1,"Headbox front/back sections","Side guide pair","Barrel/curtain/bottom rail assembly","Control panel/endplate box"))</x:f>
      </x:c>
      <x:c r="E30" s="100" t="str">
        <x:f>IF(INDEX('Curtain Input'!$A$3:$A$42,INT((ROW()-3)/4)+1)="","",CHOOSE(MOD(ROW()-3,4)+1,2,2*INDEX('Curtain Input'!$J$3:$J$42,INT((ROW()-3)/4)+1),1,1))</x:f>
      </x:c>
      <x:c r="F3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3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3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30" s="124" t="str">
        <x:f>IF(INDEX('Curtain Input'!$A$3:$A$42,INT((ROW()-3)/4)+1)="","",CHOOSE(MOD(ROW()-3,4)+1,300,250,500,400))</x:f>
      </x:c>
      <x:c r="J30" s="124" t="str">
        <x:f>IF(INDEX('Curtain Input'!$A$3:$A$42,INT((ROW()-3)/4)+1)="","",CHOOSE(MOD(ROW()-3,4)+1,250,200,350,300))</x:f>
      </x:c>
      <x:c r="K30" s="100" t="str">
        <x:f>IF(INDEX('Curtain Input'!$A$3:$A$42,INT((ROW()-3)/4)+1)="","",IF(MOD(ROW()-3,4)+1=2,"Guide split parts from Curtain Input",""))</x:f>
      </x:c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  <x:c r="AA30" s="101"/>
      <x:c r="AB30" s="101"/>
      <x:c r="AC30" s="101"/>
      <x:c r="AD30" s="101"/>
      <x:c r="AE30" s="101"/>
    </x:row>
    <x:row r="31">
      <x:c r="A3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31" s="100" t="str">
        <x:f>IF(INDEX('Curtain Input'!$A$3:$A$42,INT((ROW()-3)/4)+1)="","",INDEX('Curtain Input'!$AD$3:$AD$42,INT((ROW()-3)/4)+1))</x:f>
      </x:c>
      <x:c r="C31" s="100" t="str">
        <x:f>IF(INDEX('Curtain Input'!$A$3:$A$42,INT((ROW()-3)/4)+1)="","",INDEX('Curtain Input'!$A$3:$A$42,INT((ROW()-3)/4)+1))</x:f>
      </x:c>
      <x:c r="D31" s="100" t="str">
        <x:f>IF(INDEX('Curtain Input'!$A$3:$A$42,INT((ROW()-3)/4)+1)="","",CHOOSE(MOD(ROW()-3,4)+1,"Headbox front/back sections","Side guide pair","Barrel/curtain/bottom rail assembly","Control panel/endplate box"))</x:f>
      </x:c>
      <x:c r="E31" s="100" t="str">
        <x:f>IF(INDEX('Curtain Input'!$A$3:$A$42,INT((ROW()-3)/4)+1)="","",CHOOSE(MOD(ROW()-3,4)+1,2,2*INDEX('Curtain Input'!$J$3:$J$42,INT((ROW()-3)/4)+1),1,1))</x:f>
      </x:c>
      <x:c r="F3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3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3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31" s="124" t="str">
        <x:f>IF(INDEX('Curtain Input'!$A$3:$A$42,INT((ROW()-3)/4)+1)="","",CHOOSE(MOD(ROW()-3,4)+1,300,250,500,400))</x:f>
      </x:c>
      <x:c r="J31" s="124" t="str">
        <x:f>IF(INDEX('Curtain Input'!$A$3:$A$42,INT((ROW()-3)/4)+1)="","",CHOOSE(MOD(ROW()-3,4)+1,250,200,350,300))</x:f>
      </x:c>
      <x:c r="K31" s="100" t="str">
        <x:f>IF(INDEX('Curtain Input'!$A$3:$A$42,INT((ROW()-3)/4)+1)="","",IF(MOD(ROW()-3,4)+1=2,"Guide split parts from Curtain Input",""))</x:f>
      </x:c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  <x:c r="AA31" s="101"/>
      <x:c r="AB31" s="101"/>
      <x:c r="AC31" s="101"/>
      <x:c r="AD31" s="101"/>
      <x:c r="AE31" s="101"/>
    </x:row>
    <x:row r="32">
      <x:c r="A3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32" s="100" t="str">
        <x:f>IF(INDEX('Curtain Input'!$A$3:$A$42,INT((ROW()-3)/4)+1)="","",INDEX('Curtain Input'!$AD$3:$AD$42,INT((ROW()-3)/4)+1))</x:f>
      </x:c>
      <x:c r="C32" s="100" t="str">
        <x:f>IF(INDEX('Curtain Input'!$A$3:$A$42,INT((ROW()-3)/4)+1)="","",INDEX('Curtain Input'!$A$3:$A$42,INT((ROW()-3)/4)+1))</x:f>
      </x:c>
      <x:c r="D32" s="100" t="str">
        <x:f>IF(INDEX('Curtain Input'!$A$3:$A$42,INT((ROW()-3)/4)+1)="","",CHOOSE(MOD(ROW()-3,4)+1,"Headbox front/back sections","Side guide pair","Barrel/curtain/bottom rail assembly","Control panel/endplate box"))</x:f>
      </x:c>
      <x:c r="E32" s="100" t="str">
        <x:f>IF(INDEX('Curtain Input'!$A$3:$A$42,INT((ROW()-3)/4)+1)="","",CHOOSE(MOD(ROW()-3,4)+1,2,2*INDEX('Curtain Input'!$J$3:$J$42,INT((ROW()-3)/4)+1),1,1))</x:f>
      </x:c>
      <x:c r="F3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3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3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32" s="124" t="str">
        <x:f>IF(INDEX('Curtain Input'!$A$3:$A$42,INT((ROW()-3)/4)+1)="","",CHOOSE(MOD(ROW()-3,4)+1,300,250,500,400))</x:f>
      </x:c>
      <x:c r="J32" s="124" t="str">
        <x:f>IF(INDEX('Curtain Input'!$A$3:$A$42,INT((ROW()-3)/4)+1)="","",CHOOSE(MOD(ROW()-3,4)+1,250,200,350,300))</x:f>
      </x:c>
      <x:c r="K32" s="100" t="str">
        <x:f>IF(INDEX('Curtain Input'!$A$3:$A$42,INT((ROW()-3)/4)+1)="","",IF(MOD(ROW()-3,4)+1=2,"Guide split parts from Curtain Input",""))</x:f>
      </x:c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  <x:c r="AA32" s="101"/>
      <x:c r="AB32" s="101"/>
      <x:c r="AC32" s="101"/>
      <x:c r="AD32" s="101"/>
      <x:c r="AE32" s="101"/>
    </x:row>
    <x:row r="33">
      <x:c r="A3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33" s="100" t="str">
        <x:f>IF(INDEX('Curtain Input'!$A$3:$A$42,INT((ROW()-3)/4)+1)="","",INDEX('Curtain Input'!$AD$3:$AD$42,INT((ROW()-3)/4)+1))</x:f>
      </x:c>
      <x:c r="C33" s="100" t="str">
        <x:f>IF(INDEX('Curtain Input'!$A$3:$A$42,INT((ROW()-3)/4)+1)="","",INDEX('Curtain Input'!$A$3:$A$42,INT((ROW()-3)/4)+1))</x:f>
      </x:c>
      <x:c r="D33" s="100" t="str">
        <x:f>IF(INDEX('Curtain Input'!$A$3:$A$42,INT((ROW()-3)/4)+1)="","",CHOOSE(MOD(ROW()-3,4)+1,"Headbox front/back sections","Side guide pair","Barrel/curtain/bottom rail assembly","Control panel/endplate box"))</x:f>
      </x:c>
      <x:c r="E33" s="100" t="str">
        <x:f>IF(INDEX('Curtain Input'!$A$3:$A$42,INT((ROW()-3)/4)+1)="","",CHOOSE(MOD(ROW()-3,4)+1,2,2*INDEX('Curtain Input'!$J$3:$J$42,INT((ROW()-3)/4)+1),1,1))</x:f>
      </x:c>
      <x:c r="F3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3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3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33" s="124" t="str">
        <x:f>IF(INDEX('Curtain Input'!$A$3:$A$42,INT((ROW()-3)/4)+1)="","",CHOOSE(MOD(ROW()-3,4)+1,300,250,500,400))</x:f>
      </x:c>
      <x:c r="J33" s="124" t="str">
        <x:f>IF(INDEX('Curtain Input'!$A$3:$A$42,INT((ROW()-3)/4)+1)="","",CHOOSE(MOD(ROW()-3,4)+1,250,200,350,300))</x:f>
      </x:c>
      <x:c r="K33" s="100" t="str">
        <x:f>IF(INDEX('Curtain Input'!$A$3:$A$42,INT((ROW()-3)/4)+1)="","",IF(MOD(ROW()-3,4)+1=2,"Guide split parts from Curtain Input",""))</x:f>
      </x:c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  <x:c r="AA33" s="101"/>
      <x:c r="AB33" s="101"/>
      <x:c r="AC33" s="101"/>
      <x:c r="AD33" s="101"/>
      <x:c r="AE33" s="101"/>
    </x:row>
    <x:row r="34">
      <x:c r="A3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34" s="100" t="str">
        <x:f>IF(INDEX('Curtain Input'!$A$3:$A$42,INT((ROW()-3)/4)+1)="","",INDEX('Curtain Input'!$AD$3:$AD$42,INT((ROW()-3)/4)+1))</x:f>
      </x:c>
      <x:c r="C34" s="100" t="str">
        <x:f>IF(INDEX('Curtain Input'!$A$3:$A$42,INT((ROW()-3)/4)+1)="","",INDEX('Curtain Input'!$A$3:$A$42,INT((ROW()-3)/4)+1))</x:f>
      </x:c>
      <x:c r="D34" s="100" t="str">
        <x:f>IF(INDEX('Curtain Input'!$A$3:$A$42,INT((ROW()-3)/4)+1)="","",CHOOSE(MOD(ROW()-3,4)+1,"Headbox front/back sections","Side guide pair","Barrel/curtain/bottom rail assembly","Control panel/endplate box"))</x:f>
      </x:c>
      <x:c r="E34" s="100" t="str">
        <x:f>IF(INDEX('Curtain Input'!$A$3:$A$42,INT((ROW()-3)/4)+1)="","",CHOOSE(MOD(ROW()-3,4)+1,2,2*INDEX('Curtain Input'!$J$3:$J$42,INT((ROW()-3)/4)+1),1,1))</x:f>
      </x:c>
      <x:c r="F3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3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3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34" s="124" t="str">
        <x:f>IF(INDEX('Curtain Input'!$A$3:$A$42,INT((ROW()-3)/4)+1)="","",CHOOSE(MOD(ROW()-3,4)+1,300,250,500,400))</x:f>
      </x:c>
      <x:c r="J34" s="124" t="str">
        <x:f>IF(INDEX('Curtain Input'!$A$3:$A$42,INT((ROW()-3)/4)+1)="","",CHOOSE(MOD(ROW()-3,4)+1,250,200,350,300))</x:f>
      </x:c>
      <x:c r="K34" s="100" t="str">
        <x:f>IF(INDEX('Curtain Input'!$A$3:$A$42,INT((ROW()-3)/4)+1)="","",IF(MOD(ROW()-3,4)+1=2,"Guide split parts from Curtain Input",""))</x:f>
      </x:c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  <x:c r="AA34" s="101"/>
      <x:c r="AB34" s="101"/>
      <x:c r="AC34" s="101"/>
      <x:c r="AD34" s="101"/>
      <x:c r="AE34" s="101"/>
    </x:row>
    <x:row r="35">
      <x:c r="A3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35" s="100" t="str">
        <x:f>IF(INDEX('Curtain Input'!$A$3:$A$42,INT((ROW()-3)/4)+1)="","",INDEX('Curtain Input'!$AD$3:$AD$42,INT((ROW()-3)/4)+1))</x:f>
      </x:c>
      <x:c r="C35" s="100" t="str">
        <x:f>IF(INDEX('Curtain Input'!$A$3:$A$42,INT((ROW()-3)/4)+1)="","",INDEX('Curtain Input'!$A$3:$A$42,INT((ROW()-3)/4)+1))</x:f>
      </x:c>
      <x:c r="D35" s="100" t="str">
        <x:f>IF(INDEX('Curtain Input'!$A$3:$A$42,INT((ROW()-3)/4)+1)="","",CHOOSE(MOD(ROW()-3,4)+1,"Headbox front/back sections","Side guide pair","Barrel/curtain/bottom rail assembly","Control panel/endplate box"))</x:f>
      </x:c>
      <x:c r="E35" s="100" t="str">
        <x:f>IF(INDEX('Curtain Input'!$A$3:$A$42,INT((ROW()-3)/4)+1)="","",CHOOSE(MOD(ROW()-3,4)+1,2,2*INDEX('Curtain Input'!$J$3:$J$42,INT((ROW()-3)/4)+1),1,1))</x:f>
      </x:c>
      <x:c r="F3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3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3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35" s="124" t="str">
        <x:f>IF(INDEX('Curtain Input'!$A$3:$A$42,INT((ROW()-3)/4)+1)="","",CHOOSE(MOD(ROW()-3,4)+1,300,250,500,400))</x:f>
      </x:c>
      <x:c r="J35" s="124" t="str">
        <x:f>IF(INDEX('Curtain Input'!$A$3:$A$42,INT((ROW()-3)/4)+1)="","",CHOOSE(MOD(ROW()-3,4)+1,250,200,350,300))</x:f>
      </x:c>
      <x:c r="K35" s="100" t="str">
        <x:f>IF(INDEX('Curtain Input'!$A$3:$A$42,INT((ROW()-3)/4)+1)="","",IF(MOD(ROW()-3,4)+1=2,"Guide split parts from Curtain Input",""))</x:f>
      </x:c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  <x:c r="AA35" s="101"/>
      <x:c r="AB35" s="101"/>
      <x:c r="AC35" s="101"/>
      <x:c r="AD35" s="101"/>
      <x:c r="AE35" s="101"/>
    </x:row>
    <x:row r="36">
      <x:c r="A3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36" s="100" t="str">
        <x:f>IF(INDEX('Curtain Input'!$A$3:$A$42,INT((ROW()-3)/4)+1)="","",INDEX('Curtain Input'!$AD$3:$AD$42,INT((ROW()-3)/4)+1))</x:f>
      </x:c>
      <x:c r="C36" s="100" t="str">
        <x:f>IF(INDEX('Curtain Input'!$A$3:$A$42,INT((ROW()-3)/4)+1)="","",INDEX('Curtain Input'!$A$3:$A$42,INT((ROW()-3)/4)+1))</x:f>
      </x:c>
      <x:c r="D36" s="100" t="str">
        <x:f>IF(INDEX('Curtain Input'!$A$3:$A$42,INT((ROW()-3)/4)+1)="","",CHOOSE(MOD(ROW()-3,4)+1,"Headbox front/back sections","Side guide pair","Barrel/curtain/bottom rail assembly","Control panel/endplate box"))</x:f>
      </x:c>
      <x:c r="E36" s="100" t="str">
        <x:f>IF(INDEX('Curtain Input'!$A$3:$A$42,INT((ROW()-3)/4)+1)="","",CHOOSE(MOD(ROW()-3,4)+1,2,2*INDEX('Curtain Input'!$J$3:$J$42,INT((ROW()-3)/4)+1),1,1))</x:f>
      </x:c>
      <x:c r="F3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3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3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36" s="124" t="str">
        <x:f>IF(INDEX('Curtain Input'!$A$3:$A$42,INT((ROW()-3)/4)+1)="","",CHOOSE(MOD(ROW()-3,4)+1,300,250,500,400))</x:f>
      </x:c>
      <x:c r="J36" s="124" t="str">
        <x:f>IF(INDEX('Curtain Input'!$A$3:$A$42,INT((ROW()-3)/4)+1)="","",CHOOSE(MOD(ROW()-3,4)+1,250,200,350,300))</x:f>
      </x:c>
      <x:c r="K36" s="100" t="str">
        <x:f>IF(INDEX('Curtain Input'!$A$3:$A$42,INT((ROW()-3)/4)+1)="","",IF(MOD(ROW()-3,4)+1=2,"Guide split parts from Curtain Input",""))</x:f>
      </x:c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  <x:c r="AA36" s="101"/>
      <x:c r="AB36" s="101"/>
      <x:c r="AC36" s="101"/>
      <x:c r="AD36" s="101"/>
      <x:c r="AE36" s="101"/>
    </x:row>
    <x:row r="37">
      <x:c r="A3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37" s="100" t="str">
        <x:f>IF(INDEX('Curtain Input'!$A$3:$A$42,INT((ROW()-3)/4)+1)="","",INDEX('Curtain Input'!$AD$3:$AD$42,INT((ROW()-3)/4)+1))</x:f>
      </x:c>
      <x:c r="C37" s="100" t="str">
        <x:f>IF(INDEX('Curtain Input'!$A$3:$A$42,INT((ROW()-3)/4)+1)="","",INDEX('Curtain Input'!$A$3:$A$42,INT((ROW()-3)/4)+1))</x:f>
      </x:c>
      <x:c r="D37" s="100" t="str">
        <x:f>IF(INDEX('Curtain Input'!$A$3:$A$42,INT((ROW()-3)/4)+1)="","",CHOOSE(MOD(ROW()-3,4)+1,"Headbox front/back sections","Side guide pair","Barrel/curtain/bottom rail assembly","Control panel/endplate box"))</x:f>
      </x:c>
      <x:c r="E37" s="100" t="str">
        <x:f>IF(INDEX('Curtain Input'!$A$3:$A$42,INT((ROW()-3)/4)+1)="","",CHOOSE(MOD(ROW()-3,4)+1,2,2*INDEX('Curtain Input'!$J$3:$J$42,INT((ROW()-3)/4)+1),1,1))</x:f>
      </x:c>
      <x:c r="F3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3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3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37" s="124" t="str">
        <x:f>IF(INDEX('Curtain Input'!$A$3:$A$42,INT((ROW()-3)/4)+1)="","",CHOOSE(MOD(ROW()-3,4)+1,300,250,500,400))</x:f>
      </x:c>
      <x:c r="J37" s="124" t="str">
        <x:f>IF(INDEX('Curtain Input'!$A$3:$A$42,INT((ROW()-3)/4)+1)="","",CHOOSE(MOD(ROW()-3,4)+1,250,200,350,300))</x:f>
      </x:c>
      <x:c r="K37" s="100" t="str">
        <x:f>IF(INDEX('Curtain Input'!$A$3:$A$42,INT((ROW()-3)/4)+1)="","",IF(MOD(ROW()-3,4)+1=2,"Guide split parts from Curtain Input",""))</x:f>
      </x:c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  <x:c r="AA37" s="101"/>
      <x:c r="AB37" s="101"/>
      <x:c r="AC37" s="101"/>
      <x:c r="AD37" s="101"/>
      <x:c r="AE37" s="101"/>
    </x:row>
    <x:row r="38">
      <x:c r="A3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38" s="100" t="str">
        <x:f>IF(INDEX('Curtain Input'!$A$3:$A$42,INT((ROW()-3)/4)+1)="","",INDEX('Curtain Input'!$AD$3:$AD$42,INT((ROW()-3)/4)+1))</x:f>
      </x:c>
      <x:c r="C38" s="100" t="str">
        <x:f>IF(INDEX('Curtain Input'!$A$3:$A$42,INT((ROW()-3)/4)+1)="","",INDEX('Curtain Input'!$A$3:$A$42,INT((ROW()-3)/4)+1))</x:f>
      </x:c>
      <x:c r="D38" s="100" t="str">
        <x:f>IF(INDEX('Curtain Input'!$A$3:$A$42,INT((ROW()-3)/4)+1)="","",CHOOSE(MOD(ROW()-3,4)+1,"Headbox front/back sections","Side guide pair","Barrel/curtain/bottom rail assembly","Control panel/endplate box"))</x:f>
      </x:c>
      <x:c r="E38" s="100" t="str">
        <x:f>IF(INDEX('Curtain Input'!$A$3:$A$42,INT((ROW()-3)/4)+1)="","",CHOOSE(MOD(ROW()-3,4)+1,2,2*INDEX('Curtain Input'!$J$3:$J$42,INT((ROW()-3)/4)+1),1,1))</x:f>
      </x:c>
      <x:c r="F3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3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3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38" s="124" t="str">
        <x:f>IF(INDEX('Curtain Input'!$A$3:$A$42,INT((ROW()-3)/4)+1)="","",CHOOSE(MOD(ROW()-3,4)+1,300,250,500,400))</x:f>
      </x:c>
      <x:c r="J38" s="124" t="str">
        <x:f>IF(INDEX('Curtain Input'!$A$3:$A$42,INT((ROW()-3)/4)+1)="","",CHOOSE(MOD(ROW()-3,4)+1,250,200,350,300))</x:f>
      </x:c>
      <x:c r="K38" s="100" t="str">
        <x:f>IF(INDEX('Curtain Input'!$A$3:$A$42,INT((ROW()-3)/4)+1)="","",IF(MOD(ROW()-3,4)+1=2,"Guide split parts from Curtain Input",""))</x:f>
      </x:c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  <x:c r="AA38" s="101"/>
      <x:c r="AB38" s="101"/>
      <x:c r="AC38" s="101"/>
      <x:c r="AD38" s="101"/>
      <x:c r="AE38" s="101"/>
    </x:row>
    <x:row r="39">
      <x:c r="A3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39" s="100" t="str">
        <x:f>IF(INDEX('Curtain Input'!$A$3:$A$42,INT((ROW()-3)/4)+1)="","",INDEX('Curtain Input'!$AD$3:$AD$42,INT((ROW()-3)/4)+1))</x:f>
      </x:c>
      <x:c r="C39" s="100" t="str">
        <x:f>IF(INDEX('Curtain Input'!$A$3:$A$42,INT((ROW()-3)/4)+1)="","",INDEX('Curtain Input'!$A$3:$A$42,INT((ROW()-3)/4)+1))</x:f>
      </x:c>
      <x:c r="D39" s="100" t="str">
        <x:f>IF(INDEX('Curtain Input'!$A$3:$A$42,INT((ROW()-3)/4)+1)="","",CHOOSE(MOD(ROW()-3,4)+1,"Headbox front/back sections","Side guide pair","Barrel/curtain/bottom rail assembly","Control panel/endplate box"))</x:f>
      </x:c>
      <x:c r="E39" s="100" t="str">
        <x:f>IF(INDEX('Curtain Input'!$A$3:$A$42,INT((ROW()-3)/4)+1)="","",CHOOSE(MOD(ROW()-3,4)+1,2,2*INDEX('Curtain Input'!$J$3:$J$42,INT((ROW()-3)/4)+1),1,1))</x:f>
      </x:c>
      <x:c r="F3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3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3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39" s="124" t="str">
        <x:f>IF(INDEX('Curtain Input'!$A$3:$A$42,INT((ROW()-3)/4)+1)="","",CHOOSE(MOD(ROW()-3,4)+1,300,250,500,400))</x:f>
      </x:c>
      <x:c r="J39" s="124" t="str">
        <x:f>IF(INDEX('Curtain Input'!$A$3:$A$42,INT((ROW()-3)/4)+1)="","",CHOOSE(MOD(ROW()-3,4)+1,250,200,350,300))</x:f>
      </x:c>
      <x:c r="K39" s="100" t="str">
        <x:f>IF(INDEX('Curtain Input'!$A$3:$A$42,INT((ROW()-3)/4)+1)="","",IF(MOD(ROW()-3,4)+1=2,"Guide split parts from Curtain Input",""))</x:f>
      </x:c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  <x:c r="AA39" s="101"/>
      <x:c r="AB39" s="101"/>
      <x:c r="AC39" s="101"/>
      <x:c r="AD39" s="101"/>
      <x:c r="AE39" s="101"/>
    </x:row>
    <x:row r="40">
      <x:c r="A4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40" s="100" t="str">
        <x:f>IF(INDEX('Curtain Input'!$A$3:$A$42,INT((ROW()-3)/4)+1)="","",INDEX('Curtain Input'!$AD$3:$AD$42,INT((ROW()-3)/4)+1))</x:f>
      </x:c>
      <x:c r="C40" s="100" t="str">
        <x:f>IF(INDEX('Curtain Input'!$A$3:$A$42,INT((ROW()-3)/4)+1)="","",INDEX('Curtain Input'!$A$3:$A$42,INT((ROW()-3)/4)+1))</x:f>
      </x:c>
      <x:c r="D40" s="100" t="str">
        <x:f>IF(INDEX('Curtain Input'!$A$3:$A$42,INT((ROW()-3)/4)+1)="","",CHOOSE(MOD(ROW()-3,4)+1,"Headbox front/back sections","Side guide pair","Barrel/curtain/bottom rail assembly","Control panel/endplate box"))</x:f>
      </x:c>
      <x:c r="E40" s="100" t="str">
        <x:f>IF(INDEX('Curtain Input'!$A$3:$A$42,INT((ROW()-3)/4)+1)="","",CHOOSE(MOD(ROW()-3,4)+1,2,2*INDEX('Curtain Input'!$J$3:$J$42,INT((ROW()-3)/4)+1),1,1))</x:f>
      </x:c>
      <x:c r="F4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4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4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40" s="124" t="str">
        <x:f>IF(INDEX('Curtain Input'!$A$3:$A$42,INT((ROW()-3)/4)+1)="","",CHOOSE(MOD(ROW()-3,4)+1,300,250,500,400))</x:f>
      </x:c>
      <x:c r="J40" s="124" t="str">
        <x:f>IF(INDEX('Curtain Input'!$A$3:$A$42,INT((ROW()-3)/4)+1)="","",CHOOSE(MOD(ROW()-3,4)+1,250,200,350,300))</x:f>
      </x:c>
      <x:c r="K40" s="100" t="str">
        <x:f>IF(INDEX('Curtain Input'!$A$3:$A$42,INT((ROW()-3)/4)+1)="","",IF(MOD(ROW()-3,4)+1=2,"Guide split parts from Curtain Input",""))</x:f>
      </x:c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  <x:c r="AA40" s="101"/>
      <x:c r="AB40" s="101"/>
      <x:c r="AC40" s="101"/>
      <x:c r="AD40" s="101"/>
      <x:c r="AE40" s="101"/>
    </x:row>
    <x:row r="41">
      <x:c r="A4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41" s="100" t="str">
        <x:f>IF(INDEX('Curtain Input'!$A$3:$A$42,INT((ROW()-3)/4)+1)="","",INDEX('Curtain Input'!$AD$3:$AD$42,INT((ROW()-3)/4)+1))</x:f>
      </x:c>
      <x:c r="C41" s="100" t="str">
        <x:f>IF(INDEX('Curtain Input'!$A$3:$A$42,INT((ROW()-3)/4)+1)="","",INDEX('Curtain Input'!$A$3:$A$42,INT((ROW()-3)/4)+1))</x:f>
      </x:c>
      <x:c r="D41" s="100" t="str">
        <x:f>IF(INDEX('Curtain Input'!$A$3:$A$42,INT((ROW()-3)/4)+1)="","",CHOOSE(MOD(ROW()-3,4)+1,"Headbox front/back sections","Side guide pair","Barrel/curtain/bottom rail assembly","Control panel/endplate box"))</x:f>
      </x:c>
      <x:c r="E41" s="100" t="str">
        <x:f>IF(INDEX('Curtain Input'!$A$3:$A$42,INT((ROW()-3)/4)+1)="","",CHOOSE(MOD(ROW()-3,4)+1,2,2*INDEX('Curtain Input'!$J$3:$J$42,INT((ROW()-3)/4)+1),1,1))</x:f>
      </x:c>
      <x:c r="F4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4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4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41" s="124" t="str">
        <x:f>IF(INDEX('Curtain Input'!$A$3:$A$42,INT((ROW()-3)/4)+1)="","",CHOOSE(MOD(ROW()-3,4)+1,300,250,500,400))</x:f>
      </x:c>
      <x:c r="J41" s="124" t="str">
        <x:f>IF(INDEX('Curtain Input'!$A$3:$A$42,INT((ROW()-3)/4)+1)="","",CHOOSE(MOD(ROW()-3,4)+1,250,200,350,300))</x:f>
      </x:c>
      <x:c r="K41" s="100" t="str">
        <x:f>IF(INDEX('Curtain Input'!$A$3:$A$42,INT((ROW()-3)/4)+1)="","",IF(MOD(ROW()-3,4)+1=2,"Guide split parts from Curtain Input",""))</x:f>
      </x:c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  <x:c r="AA41" s="101"/>
      <x:c r="AB41" s="101"/>
      <x:c r="AC41" s="101"/>
      <x:c r="AD41" s="101"/>
      <x:c r="AE41" s="101"/>
    </x:row>
    <x:row r="42">
      <x:c r="A4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42" s="100" t="str">
        <x:f>IF(INDEX('Curtain Input'!$A$3:$A$42,INT((ROW()-3)/4)+1)="","",INDEX('Curtain Input'!$AD$3:$AD$42,INT((ROW()-3)/4)+1))</x:f>
      </x:c>
      <x:c r="C42" s="100" t="str">
        <x:f>IF(INDEX('Curtain Input'!$A$3:$A$42,INT((ROW()-3)/4)+1)="","",INDEX('Curtain Input'!$A$3:$A$42,INT((ROW()-3)/4)+1))</x:f>
      </x:c>
      <x:c r="D42" s="100" t="str">
        <x:f>IF(INDEX('Curtain Input'!$A$3:$A$42,INT((ROW()-3)/4)+1)="","",CHOOSE(MOD(ROW()-3,4)+1,"Headbox front/back sections","Side guide pair","Barrel/curtain/bottom rail assembly","Control panel/endplate box"))</x:f>
      </x:c>
      <x:c r="E42" s="100" t="str">
        <x:f>IF(INDEX('Curtain Input'!$A$3:$A$42,INT((ROW()-3)/4)+1)="","",CHOOSE(MOD(ROW()-3,4)+1,2,2*INDEX('Curtain Input'!$J$3:$J$42,INT((ROW()-3)/4)+1),1,1))</x:f>
      </x:c>
      <x:c r="F4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4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4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42" s="124" t="str">
        <x:f>IF(INDEX('Curtain Input'!$A$3:$A$42,INT((ROW()-3)/4)+1)="","",CHOOSE(MOD(ROW()-3,4)+1,300,250,500,400))</x:f>
      </x:c>
      <x:c r="J42" s="124" t="str">
        <x:f>IF(INDEX('Curtain Input'!$A$3:$A$42,INT((ROW()-3)/4)+1)="","",CHOOSE(MOD(ROW()-3,4)+1,250,200,350,300))</x:f>
      </x:c>
      <x:c r="K42" s="100" t="str">
        <x:f>IF(INDEX('Curtain Input'!$A$3:$A$42,INT((ROW()-3)/4)+1)="","",IF(MOD(ROW()-3,4)+1=2,"Guide split parts from Curtain Input",""))</x:f>
      </x:c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  <x:c r="AA42" s="101"/>
      <x:c r="AB42" s="101"/>
      <x:c r="AC42" s="101"/>
      <x:c r="AD42" s="101"/>
      <x:c r="AE42" s="101"/>
    </x:row>
    <x:row r="43">
      <x:c r="A4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43" s="100" t="str">
        <x:f>IF(INDEX('Curtain Input'!$A$3:$A$42,INT((ROW()-3)/4)+1)="","",INDEX('Curtain Input'!$AD$3:$AD$42,INT((ROW()-3)/4)+1))</x:f>
      </x:c>
      <x:c r="C43" s="100" t="str">
        <x:f>IF(INDEX('Curtain Input'!$A$3:$A$42,INT((ROW()-3)/4)+1)="","",INDEX('Curtain Input'!$A$3:$A$42,INT((ROW()-3)/4)+1))</x:f>
      </x:c>
      <x:c r="D43" s="100" t="str">
        <x:f>IF(INDEX('Curtain Input'!$A$3:$A$42,INT((ROW()-3)/4)+1)="","",CHOOSE(MOD(ROW()-3,4)+1,"Headbox front/back sections","Side guide pair","Barrel/curtain/bottom rail assembly","Control panel/endplate box"))</x:f>
      </x:c>
      <x:c r="E43" s="100" t="str">
        <x:f>IF(INDEX('Curtain Input'!$A$3:$A$42,INT((ROW()-3)/4)+1)="","",CHOOSE(MOD(ROW()-3,4)+1,2,2*INDEX('Curtain Input'!$J$3:$J$42,INT((ROW()-3)/4)+1),1,1))</x:f>
      </x:c>
      <x:c r="F4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4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4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43" s="124" t="str">
        <x:f>IF(INDEX('Curtain Input'!$A$3:$A$42,INT((ROW()-3)/4)+1)="","",CHOOSE(MOD(ROW()-3,4)+1,300,250,500,400))</x:f>
      </x:c>
      <x:c r="J43" s="124" t="str">
        <x:f>IF(INDEX('Curtain Input'!$A$3:$A$42,INT((ROW()-3)/4)+1)="","",CHOOSE(MOD(ROW()-3,4)+1,250,200,350,300))</x:f>
      </x:c>
      <x:c r="K43" s="100" t="str">
        <x:f>IF(INDEX('Curtain Input'!$A$3:$A$42,INT((ROW()-3)/4)+1)="","",IF(MOD(ROW()-3,4)+1=2,"Guide split parts from Curtain Input",""))</x:f>
      </x:c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  <x:c r="AA43" s="101"/>
      <x:c r="AB43" s="101"/>
      <x:c r="AC43" s="101"/>
      <x:c r="AD43" s="101"/>
      <x:c r="AE43" s="101"/>
    </x:row>
    <x:row r="44">
      <x:c r="A4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44" s="100" t="str">
        <x:f>IF(INDEX('Curtain Input'!$A$3:$A$42,INT((ROW()-3)/4)+1)="","",INDEX('Curtain Input'!$AD$3:$AD$42,INT((ROW()-3)/4)+1))</x:f>
      </x:c>
      <x:c r="C44" s="100" t="str">
        <x:f>IF(INDEX('Curtain Input'!$A$3:$A$42,INT((ROW()-3)/4)+1)="","",INDEX('Curtain Input'!$A$3:$A$42,INT((ROW()-3)/4)+1))</x:f>
      </x:c>
      <x:c r="D44" s="100" t="str">
        <x:f>IF(INDEX('Curtain Input'!$A$3:$A$42,INT((ROW()-3)/4)+1)="","",CHOOSE(MOD(ROW()-3,4)+1,"Headbox front/back sections","Side guide pair","Barrel/curtain/bottom rail assembly","Control panel/endplate box"))</x:f>
      </x:c>
      <x:c r="E44" s="100" t="str">
        <x:f>IF(INDEX('Curtain Input'!$A$3:$A$42,INT((ROW()-3)/4)+1)="","",CHOOSE(MOD(ROW()-3,4)+1,2,2*INDEX('Curtain Input'!$J$3:$J$42,INT((ROW()-3)/4)+1),1,1))</x:f>
      </x:c>
      <x:c r="F4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4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4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44" s="124" t="str">
        <x:f>IF(INDEX('Curtain Input'!$A$3:$A$42,INT((ROW()-3)/4)+1)="","",CHOOSE(MOD(ROW()-3,4)+1,300,250,500,400))</x:f>
      </x:c>
      <x:c r="J44" s="124" t="str">
        <x:f>IF(INDEX('Curtain Input'!$A$3:$A$42,INT((ROW()-3)/4)+1)="","",CHOOSE(MOD(ROW()-3,4)+1,250,200,350,300))</x:f>
      </x:c>
      <x:c r="K44" s="100" t="str">
        <x:f>IF(INDEX('Curtain Input'!$A$3:$A$42,INT((ROW()-3)/4)+1)="","",IF(MOD(ROW()-3,4)+1=2,"Guide split parts from Curtain Input",""))</x:f>
      </x:c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  <x:c r="AA44" s="101"/>
      <x:c r="AB44" s="101"/>
      <x:c r="AC44" s="101"/>
      <x:c r="AD44" s="101"/>
      <x:c r="AE44" s="101"/>
    </x:row>
    <x:row r="45">
      <x:c r="A4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45" s="100" t="str">
        <x:f>IF(INDEX('Curtain Input'!$A$3:$A$42,INT((ROW()-3)/4)+1)="","",INDEX('Curtain Input'!$AD$3:$AD$42,INT((ROW()-3)/4)+1))</x:f>
      </x:c>
      <x:c r="C45" s="100" t="str">
        <x:f>IF(INDEX('Curtain Input'!$A$3:$A$42,INT((ROW()-3)/4)+1)="","",INDEX('Curtain Input'!$A$3:$A$42,INT((ROW()-3)/4)+1))</x:f>
      </x:c>
      <x:c r="D45" s="100" t="str">
        <x:f>IF(INDEX('Curtain Input'!$A$3:$A$42,INT((ROW()-3)/4)+1)="","",CHOOSE(MOD(ROW()-3,4)+1,"Headbox front/back sections","Side guide pair","Barrel/curtain/bottom rail assembly","Control panel/endplate box"))</x:f>
      </x:c>
      <x:c r="E45" s="100" t="str">
        <x:f>IF(INDEX('Curtain Input'!$A$3:$A$42,INT((ROW()-3)/4)+1)="","",CHOOSE(MOD(ROW()-3,4)+1,2,2*INDEX('Curtain Input'!$J$3:$J$42,INT((ROW()-3)/4)+1),1,1))</x:f>
      </x:c>
      <x:c r="F4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4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4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45" s="124" t="str">
        <x:f>IF(INDEX('Curtain Input'!$A$3:$A$42,INT((ROW()-3)/4)+1)="","",CHOOSE(MOD(ROW()-3,4)+1,300,250,500,400))</x:f>
      </x:c>
      <x:c r="J45" s="124" t="str">
        <x:f>IF(INDEX('Curtain Input'!$A$3:$A$42,INT((ROW()-3)/4)+1)="","",CHOOSE(MOD(ROW()-3,4)+1,250,200,350,300))</x:f>
      </x:c>
      <x:c r="K45" s="100" t="str">
        <x:f>IF(INDEX('Curtain Input'!$A$3:$A$42,INT((ROW()-3)/4)+1)="","",IF(MOD(ROW()-3,4)+1=2,"Guide split parts from Curtain Input",""))</x:f>
      </x:c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  <x:c r="AA45" s="101"/>
      <x:c r="AB45" s="101"/>
      <x:c r="AC45" s="101"/>
      <x:c r="AD45" s="101"/>
      <x:c r="AE45" s="101"/>
    </x:row>
    <x:row r="46">
      <x:c r="A4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46" s="100" t="str">
        <x:f>IF(INDEX('Curtain Input'!$A$3:$A$42,INT((ROW()-3)/4)+1)="","",INDEX('Curtain Input'!$AD$3:$AD$42,INT((ROW()-3)/4)+1))</x:f>
      </x:c>
      <x:c r="C46" s="100" t="str">
        <x:f>IF(INDEX('Curtain Input'!$A$3:$A$42,INT((ROW()-3)/4)+1)="","",INDEX('Curtain Input'!$A$3:$A$42,INT((ROW()-3)/4)+1))</x:f>
      </x:c>
      <x:c r="D46" s="100" t="str">
        <x:f>IF(INDEX('Curtain Input'!$A$3:$A$42,INT((ROW()-3)/4)+1)="","",CHOOSE(MOD(ROW()-3,4)+1,"Headbox front/back sections","Side guide pair","Barrel/curtain/bottom rail assembly","Control panel/endplate box"))</x:f>
      </x:c>
      <x:c r="E46" s="100" t="str">
        <x:f>IF(INDEX('Curtain Input'!$A$3:$A$42,INT((ROW()-3)/4)+1)="","",CHOOSE(MOD(ROW()-3,4)+1,2,2*INDEX('Curtain Input'!$J$3:$J$42,INT((ROW()-3)/4)+1),1,1))</x:f>
      </x:c>
      <x:c r="F4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4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4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46" s="124" t="str">
        <x:f>IF(INDEX('Curtain Input'!$A$3:$A$42,INT((ROW()-3)/4)+1)="","",CHOOSE(MOD(ROW()-3,4)+1,300,250,500,400))</x:f>
      </x:c>
      <x:c r="J46" s="124" t="str">
        <x:f>IF(INDEX('Curtain Input'!$A$3:$A$42,INT((ROW()-3)/4)+1)="","",CHOOSE(MOD(ROW()-3,4)+1,250,200,350,300))</x:f>
      </x:c>
      <x:c r="K46" s="100" t="str">
        <x:f>IF(INDEX('Curtain Input'!$A$3:$A$42,INT((ROW()-3)/4)+1)="","",IF(MOD(ROW()-3,4)+1=2,"Guide split parts from Curtain Input",""))</x:f>
      </x:c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  <x:c r="AA46" s="101"/>
      <x:c r="AB46" s="101"/>
      <x:c r="AC46" s="101"/>
      <x:c r="AD46" s="101"/>
      <x:c r="AE46" s="101"/>
    </x:row>
    <x:row r="47">
      <x:c r="A4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47" s="100" t="str">
        <x:f>IF(INDEX('Curtain Input'!$A$3:$A$42,INT((ROW()-3)/4)+1)="","",INDEX('Curtain Input'!$AD$3:$AD$42,INT((ROW()-3)/4)+1))</x:f>
      </x:c>
      <x:c r="C47" s="100" t="str">
        <x:f>IF(INDEX('Curtain Input'!$A$3:$A$42,INT((ROW()-3)/4)+1)="","",INDEX('Curtain Input'!$A$3:$A$42,INT((ROW()-3)/4)+1))</x:f>
      </x:c>
      <x:c r="D47" s="100" t="str">
        <x:f>IF(INDEX('Curtain Input'!$A$3:$A$42,INT((ROW()-3)/4)+1)="","",CHOOSE(MOD(ROW()-3,4)+1,"Headbox front/back sections","Side guide pair","Barrel/curtain/bottom rail assembly","Control panel/endplate box"))</x:f>
      </x:c>
      <x:c r="E47" s="100" t="str">
        <x:f>IF(INDEX('Curtain Input'!$A$3:$A$42,INT((ROW()-3)/4)+1)="","",CHOOSE(MOD(ROW()-3,4)+1,2,2*INDEX('Curtain Input'!$J$3:$J$42,INT((ROW()-3)/4)+1),1,1))</x:f>
      </x:c>
      <x:c r="F4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4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4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47" s="124" t="str">
        <x:f>IF(INDEX('Curtain Input'!$A$3:$A$42,INT((ROW()-3)/4)+1)="","",CHOOSE(MOD(ROW()-3,4)+1,300,250,500,400))</x:f>
      </x:c>
      <x:c r="J47" s="124" t="str">
        <x:f>IF(INDEX('Curtain Input'!$A$3:$A$42,INT((ROW()-3)/4)+1)="","",CHOOSE(MOD(ROW()-3,4)+1,250,200,350,300))</x:f>
      </x:c>
      <x:c r="K47" s="100" t="str">
        <x:f>IF(INDEX('Curtain Input'!$A$3:$A$42,INT((ROW()-3)/4)+1)="","",IF(MOD(ROW()-3,4)+1=2,"Guide split parts from Curtain Input",""))</x:f>
      </x:c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  <x:c r="AA47" s="101"/>
      <x:c r="AB47" s="101"/>
      <x:c r="AC47" s="101"/>
      <x:c r="AD47" s="101"/>
      <x:c r="AE47" s="101"/>
    </x:row>
    <x:row r="48">
      <x:c r="A4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48" s="100" t="str">
        <x:f>IF(INDEX('Curtain Input'!$A$3:$A$42,INT((ROW()-3)/4)+1)="","",INDEX('Curtain Input'!$AD$3:$AD$42,INT((ROW()-3)/4)+1))</x:f>
      </x:c>
      <x:c r="C48" s="100" t="str">
        <x:f>IF(INDEX('Curtain Input'!$A$3:$A$42,INT((ROW()-3)/4)+1)="","",INDEX('Curtain Input'!$A$3:$A$42,INT((ROW()-3)/4)+1))</x:f>
      </x:c>
      <x:c r="D48" s="100" t="str">
        <x:f>IF(INDEX('Curtain Input'!$A$3:$A$42,INT((ROW()-3)/4)+1)="","",CHOOSE(MOD(ROW()-3,4)+1,"Headbox front/back sections","Side guide pair","Barrel/curtain/bottom rail assembly","Control panel/endplate box"))</x:f>
      </x:c>
      <x:c r="E48" s="100" t="str">
        <x:f>IF(INDEX('Curtain Input'!$A$3:$A$42,INT((ROW()-3)/4)+1)="","",CHOOSE(MOD(ROW()-3,4)+1,2,2*INDEX('Curtain Input'!$J$3:$J$42,INT((ROW()-3)/4)+1),1,1))</x:f>
      </x:c>
      <x:c r="F4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4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4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48" s="124" t="str">
        <x:f>IF(INDEX('Curtain Input'!$A$3:$A$42,INT((ROW()-3)/4)+1)="","",CHOOSE(MOD(ROW()-3,4)+1,300,250,500,400))</x:f>
      </x:c>
      <x:c r="J48" s="124" t="str">
        <x:f>IF(INDEX('Curtain Input'!$A$3:$A$42,INT((ROW()-3)/4)+1)="","",CHOOSE(MOD(ROW()-3,4)+1,250,200,350,300))</x:f>
      </x:c>
      <x:c r="K48" s="100" t="str">
        <x:f>IF(INDEX('Curtain Input'!$A$3:$A$42,INT((ROW()-3)/4)+1)="","",IF(MOD(ROW()-3,4)+1=2,"Guide split parts from Curtain Input",""))</x:f>
      </x:c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  <x:c r="AA48" s="101"/>
      <x:c r="AB48" s="101"/>
      <x:c r="AC48" s="101"/>
      <x:c r="AD48" s="101"/>
      <x:c r="AE48" s="101"/>
    </x:row>
    <x:row r="49">
      <x:c r="A4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49" s="100" t="str">
        <x:f>IF(INDEX('Curtain Input'!$A$3:$A$42,INT((ROW()-3)/4)+1)="","",INDEX('Curtain Input'!$AD$3:$AD$42,INT((ROW()-3)/4)+1))</x:f>
      </x:c>
      <x:c r="C49" s="100" t="str">
        <x:f>IF(INDEX('Curtain Input'!$A$3:$A$42,INT((ROW()-3)/4)+1)="","",INDEX('Curtain Input'!$A$3:$A$42,INT((ROW()-3)/4)+1))</x:f>
      </x:c>
      <x:c r="D49" s="100" t="str">
        <x:f>IF(INDEX('Curtain Input'!$A$3:$A$42,INT((ROW()-3)/4)+1)="","",CHOOSE(MOD(ROW()-3,4)+1,"Headbox front/back sections","Side guide pair","Barrel/curtain/bottom rail assembly","Control panel/endplate box"))</x:f>
      </x:c>
      <x:c r="E49" s="100" t="str">
        <x:f>IF(INDEX('Curtain Input'!$A$3:$A$42,INT((ROW()-3)/4)+1)="","",CHOOSE(MOD(ROW()-3,4)+1,2,2*INDEX('Curtain Input'!$J$3:$J$42,INT((ROW()-3)/4)+1),1,1))</x:f>
      </x:c>
      <x:c r="F4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4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4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49" s="124" t="str">
        <x:f>IF(INDEX('Curtain Input'!$A$3:$A$42,INT((ROW()-3)/4)+1)="","",CHOOSE(MOD(ROW()-3,4)+1,300,250,500,400))</x:f>
      </x:c>
      <x:c r="J49" s="124" t="str">
        <x:f>IF(INDEX('Curtain Input'!$A$3:$A$42,INT((ROW()-3)/4)+1)="","",CHOOSE(MOD(ROW()-3,4)+1,250,200,350,300))</x:f>
      </x:c>
      <x:c r="K49" s="100" t="str">
        <x:f>IF(INDEX('Curtain Input'!$A$3:$A$42,INT((ROW()-3)/4)+1)="","",IF(MOD(ROW()-3,4)+1=2,"Guide split parts from Curtain Input",""))</x:f>
      </x:c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  <x:c r="AA49" s="101"/>
      <x:c r="AB49" s="101"/>
      <x:c r="AC49" s="101"/>
      <x:c r="AD49" s="101"/>
      <x:c r="AE49" s="101"/>
    </x:row>
    <x:row r="50">
      <x:c r="A5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50" s="100" t="str">
        <x:f>IF(INDEX('Curtain Input'!$A$3:$A$42,INT((ROW()-3)/4)+1)="","",INDEX('Curtain Input'!$AD$3:$AD$42,INT((ROW()-3)/4)+1))</x:f>
      </x:c>
      <x:c r="C50" s="100" t="str">
        <x:f>IF(INDEX('Curtain Input'!$A$3:$A$42,INT((ROW()-3)/4)+1)="","",INDEX('Curtain Input'!$A$3:$A$42,INT((ROW()-3)/4)+1))</x:f>
      </x:c>
      <x:c r="D50" s="100" t="str">
        <x:f>IF(INDEX('Curtain Input'!$A$3:$A$42,INT((ROW()-3)/4)+1)="","",CHOOSE(MOD(ROW()-3,4)+1,"Headbox front/back sections","Side guide pair","Barrel/curtain/bottom rail assembly","Control panel/endplate box"))</x:f>
      </x:c>
      <x:c r="E50" s="100" t="str">
        <x:f>IF(INDEX('Curtain Input'!$A$3:$A$42,INT((ROW()-3)/4)+1)="","",CHOOSE(MOD(ROW()-3,4)+1,2,2*INDEX('Curtain Input'!$J$3:$J$42,INT((ROW()-3)/4)+1),1,1))</x:f>
      </x:c>
      <x:c r="F5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5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5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50" s="124" t="str">
        <x:f>IF(INDEX('Curtain Input'!$A$3:$A$42,INT((ROW()-3)/4)+1)="","",CHOOSE(MOD(ROW()-3,4)+1,300,250,500,400))</x:f>
      </x:c>
      <x:c r="J50" s="124" t="str">
        <x:f>IF(INDEX('Curtain Input'!$A$3:$A$42,INT((ROW()-3)/4)+1)="","",CHOOSE(MOD(ROW()-3,4)+1,250,200,350,300))</x:f>
      </x:c>
      <x:c r="K50" s="100" t="str">
        <x:f>IF(INDEX('Curtain Input'!$A$3:$A$42,INT((ROW()-3)/4)+1)="","",IF(MOD(ROW()-3,4)+1=2,"Guide split parts from Curtain Input",""))</x:f>
      </x:c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  <x:c r="AA50" s="101"/>
      <x:c r="AB50" s="101"/>
      <x:c r="AC50" s="101"/>
      <x:c r="AD50" s="101"/>
      <x:c r="AE50" s="101"/>
    </x:row>
    <x:row r="51">
      <x:c r="A5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51" s="100" t="str">
        <x:f>IF(INDEX('Curtain Input'!$A$3:$A$42,INT((ROW()-3)/4)+1)="","",INDEX('Curtain Input'!$AD$3:$AD$42,INT((ROW()-3)/4)+1))</x:f>
      </x:c>
      <x:c r="C51" s="100" t="str">
        <x:f>IF(INDEX('Curtain Input'!$A$3:$A$42,INT((ROW()-3)/4)+1)="","",INDEX('Curtain Input'!$A$3:$A$42,INT((ROW()-3)/4)+1))</x:f>
      </x:c>
      <x:c r="D51" s="100" t="str">
        <x:f>IF(INDEX('Curtain Input'!$A$3:$A$42,INT((ROW()-3)/4)+1)="","",CHOOSE(MOD(ROW()-3,4)+1,"Headbox front/back sections","Side guide pair","Barrel/curtain/bottom rail assembly","Control panel/endplate box"))</x:f>
      </x:c>
      <x:c r="E51" s="100" t="str">
        <x:f>IF(INDEX('Curtain Input'!$A$3:$A$42,INT((ROW()-3)/4)+1)="","",CHOOSE(MOD(ROW()-3,4)+1,2,2*INDEX('Curtain Input'!$J$3:$J$42,INT((ROW()-3)/4)+1),1,1))</x:f>
      </x:c>
      <x:c r="F5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5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5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51" s="124" t="str">
        <x:f>IF(INDEX('Curtain Input'!$A$3:$A$42,INT((ROW()-3)/4)+1)="","",CHOOSE(MOD(ROW()-3,4)+1,300,250,500,400))</x:f>
      </x:c>
      <x:c r="J51" s="124" t="str">
        <x:f>IF(INDEX('Curtain Input'!$A$3:$A$42,INT((ROW()-3)/4)+1)="","",CHOOSE(MOD(ROW()-3,4)+1,250,200,350,300))</x:f>
      </x:c>
      <x:c r="K51" s="100" t="str">
        <x:f>IF(INDEX('Curtain Input'!$A$3:$A$42,INT((ROW()-3)/4)+1)="","",IF(MOD(ROW()-3,4)+1=2,"Guide split parts from Curtain Input",""))</x:f>
      </x:c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  <x:c r="AA51" s="101"/>
      <x:c r="AB51" s="101"/>
      <x:c r="AC51" s="101"/>
      <x:c r="AD51" s="101"/>
      <x:c r="AE51" s="101"/>
    </x:row>
    <x:row r="52">
      <x:c r="A5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52" s="100" t="str">
        <x:f>IF(INDEX('Curtain Input'!$A$3:$A$42,INT((ROW()-3)/4)+1)="","",INDEX('Curtain Input'!$AD$3:$AD$42,INT((ROW()-3)/4)+1))</x:f>
      </x:c>
      <x:c r="C52" s="100" t="str">
        <x:f>IF(INDEX('Curtain Input'!$A$3:$A$42,INT((ROW()-3)/4)+1)="","",INDEX('Curtain Input'!$A$3:$A$42,INT((ROW()-3)/4)+1))</x:f>
      </x:c>
      <x:c r="D52" s="100" t="str">
        <x:f>IF(INDEX('Curtain Input'!$A$3:$A$42,INT((ROW()-3)/4)+1)="","",CHOOSE(MOD(ROW()-3,4)+1,"Headbox front/back sections","Side guide pair","Barrel/curtain/bottom rail assembly","Control panel/endplate box"))</x:f>
      </x:c>
      <x:c r="E52" s="100" t="str">
        <x:f>IF(INDEX('Curtain Input'!$A$3:$A$42,INT((ROW()-3)/4)+1)="","",CHOOSE(MOD(ROW()-3,4)+1,2,2*INDEX('Curtain Input'!$J$3:$J$42,INT((ROW()-3)/4)+1),1,1))</x:f>
      </x:c>
      <x:c r="F5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5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5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52" s="124" t="str">
        <x:f>IF(INDEX('Curtain Input'!$A$3:$A$42,INT((ROW()-3)/4)+1)="","",CHOOSE(MOD(ROW()-3,4)+1,300,250,500,400))</x:f>
      </x:c>
      <x:c r="J52" s="124" t="str">
        <x:f>IF(INDEX('Curtain Input'!$A$3:$A$42,INT((ROW()-3)/4)+1)="","",CHOOSE(MOD(ROW()-3,4)+1,250,200,350,300))</x:f>
      </x:c>
      <x:c r="K52" s="100" t="str">
        <x:f>IF(INDEX('Curtain Input'!$A$3:$A$42,INT((ROW()-3)/4)+1)="","",IF(MOD(ROW()-3,4)+1=2,"Guide split parts from Curtain Input",""))</x:f>
      </x:c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  <x:c r="AA52" s="101"/>
      <x:c r="AB52" s="101"/>
      <x:c r="AC52" s="101"/>
      <x:c r="AD52" s="101"/>
      <x:c r="AE52" s="101"/>
    </x:row>
    <x:row r="53">
      <x:c r="A5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53" s="100" t="str">
        <x:f>IF(INDEX('Curtain Input'!$A$3:$A$42,INT((ROW()-3)/4)+1)="","",INDEX('Curtain Input'!$AD$3:$AD$42,INT((ROW()-3)/4)+1))</x:f>
      </x:c>
      <x:c r="C53" s="100" t="str">
        <x:f>IF(INDEX('Curtain Input'!$A$3:$A$42,INT((ROW()-3)/4)+1)="","",INDEX('Curtain Input'!$A$3:$A$42,INT((ROW()-3)/4)+1))</x:f>
      </x:c>
      <x:c r="D53" s="100" t="str">
        <x:f>IF(INDEX('Curtain Input'!$A$3:$A$42,INT((ROW()-3)/4)+1)="","",CHOOSE(MOD(ROW()-3,4)+1,"Headbox front/back sections","Side guide pair","Barrel/curtain/bottom rail assembly","Control panel/endplate box"))</x:f>
      </x:c>
      <x:c r="E53" s="100" t="str">
        <x:f>IF(INDEX('Curtain Input'!$A$3:$A$42,INT((ROW()-3)/4)+1)="","",CHOOSE(MOD(ROW()-3,4)+1,2,2*INDEX('Curtain Input'!$J$3:$J$42,INT((ROW()-3)/4)+1),1,1))</x:f>
      </x:c>
      <x:c r="F5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5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5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53" s="124" t="str">
        <x:f>IF(INDEX('Curtain Input'!$A$3:$A$42,INT((ROW()-3)/4)+1)="","",CHOOSE(MOD(ROW()-3,4)+1,300,250,500,400))</x:f>
      </x:c>
      <x:c r="J53" s="124" t="str">
        <x:f>IF(INDEX('Curtain Input'!$A$3:$A$42,INT((ROW()-3)/4)+1)="","",CHOOSE(MOD(ROW()-3,4)+1,250,200,350,300))</x:f>
      </x:c>
      <x:c r="K53" s="100" t="str">
        <x:f>IF(INDEX('Curtain Input'!$A$3:$A$42,INT((ROW()-3)/4)+1)="","",IF(MOD(ROW()-3,4)+1=2,"Guide split parts from Curtain Input",""))</x:f>
      </x:c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  <x:c r="AA53" s="101"/>
      <x:c r="AB53" s="101"/>
      <x:c r="AC53" s="101"/>
      <x:c r="AD53" s="101"/>
      <x:c r="AE53" s="101"/>
    </x:row>
    <x:row r="54">
      <x:c r="A5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54" s="100" t="str">
        <x:f>IF(INDEX('Curtain Input'!$A$3:$A$42,INT((ROW()-3)/4)+1)="","",INDEX('Curtain Input'!$AD$3:$AD$42,INT((ROW()-3)/4)+1))</x:f>
      </x:c>
      <x:c r="C54" s="100" t="str">
        <x:f>IF(INDEX('Curtain Input'!$A$3:$A$42,INT((ROW()-3)/4)+1)="","",INDEX('Curtain Input'!$A$3:$A$42,INT((ROW()-3)/4)+1))</x:f>
      </x:c>
      <x:c r="D54" s="100" t="str">
        <x:f>IF(INDEX('Curtain Input'!$A$3:$A$42,INT((ROW()-3)/4)+1)="","",CHOOSE(MOD(ROW()-3,4)+1,"Headbox front/back sections","Side guide pair","Barrel/curtain/bottom rail assembly","Control panel/endplate box"))</x:f>
      </x:c>
      <x:c r="E54" s="100" t="str">
        <x:f>IF(INDEX('Curtain Input'!$A$3:$A$42,INT((ROW()-3)/4)+1)="","",CHOOSE(MOD(ROW()-3,4)+1,2,2*INDEX('Curtain Input'!$J$3:$J$42,INT((ROW()-3)/4)+1),1,1))</x:f>
      </x:c>
      <x:c r="F5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5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5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54" s="124" t="str">
        <x:f>IF(INDEX('Curtain Input'!$A$3:$A$42,INT((ROW()-3)/4)+1)="","",CHOOSE(MOD(ROW()-3,4)+1,300,250,500,400))</x:f>
      </x:c>
      <x:c r="J54" s="124" t="str">
        <x:f>IF(INDEX('Curtain Input'!$A$3:$A$42,INT((ROW()-3)/4)+1)="","",CHOOSE(MOD(ROW()-3,4)+1,250,200,350,300))</x:f>
      </x:c>
      <x:c r="K54" s="100" t="str">
        <x:f>IF(INDEX('Curtain Input'!$A$3:$A$42,INT((ROW()-3)/4)+1)="","",IF(MOD(ROW()-3,4)+1=2,"Guide split parts from Curtain Input",""))</x:f>
      </x:c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  <x:c r="AA54" s="101"/>
      <x:c r="AB54" s="101"/>
      <x:c r="AC54" s="101"/>
      <x:c r="AD54" s="101"/>
      <x:c r="AE54" s="101"/>
    </x:row>
    <x:row r="55">
      <x:c r="A5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55" s="100" t="str">
        <x:f>IF(INDEX('Curtain Input'!$A$3:$A$42,INT((ROW()-3)/4)+1)="","",INDEX('Curtain Input'!$AD$3:$AD$42,INT((ROW()-3)/4)+1))</x:f>
      </x:c>
      <x:c r="C55" s="100" t="str">
        <x:f>IF(INDEX('Curtain Input'!$A$3:$A$42,INT((ROW()-3)/4)+1)="","",INDEX('Curtain Input'!$A$3:$A$42,INT((ROW()-3)/4)+1))</x:f>
      </x:c>
      <x:c r="D55" s="100" t="str">
        <x:f>IF(INDEX('Curtain Input'!$A$3:$A$42,INT((ROW()-3)/4)+1)="","",CHOOSE(MOD(ROW()-3,4)+1,"Headbox front/back sections","Side guide pair","Barrel/curtain/bottom rail assembly","Control panel/endplate box"))</x:f>
      </x:c>
      <x:c r="E55" s="100" t="str">
        <x:f>IF(INDEX('Curtain Input'!$A$3:$A$42,INT((ROW()-3)/4)+1)="","",CHOOSE(MOD(ROW()-3,4)+1,2,2*INDEX('Curtain Input'!$J$3:$J$42,INT((ROW()-3)/4)+1),1,1))</x:f>
      </x:c>
      <x:c r="F5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5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5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55" s="124" t="str">
        <x:f>IF(INDEX('Curtain Input'!$A$3:$A$42,INT((ROW()-3)/4)+1)="","",CHOOSE(MOD(ROW()-3,4)+1,300,250,500,400))</x:f>
      </x:c>
      <x:c r="J55" s="124" t="str">
        <x:f>IF(INDEX('Curtain Input'!$A$3:$A$42,INT((ROW()-3)/4)+1)="","",CHOOSE(MOD(ROW()-3,4)+1,250,200,350,300))</x:f>
      </x:c>
      <x:c r="K55" s="100" t="str">
        <x:f>IF(INDEX('Curtain Input'!$A$3:$A$42,INT((ROW()-3)/4)+1)="","",IF(MOD(ROW()-3,4)+1=2,"Guide split parts from Curtain Input",""))</x:f>
      </x:c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  <x:c r="AA55" s="101"/>
      <x:c r="AB55" s="101"/>
      <x:c r="AC55" s="101"/>
      <x:c r="AD55" s="101"/>
      <x:c r="AE55" s="101"/>
    </x:row>
    <x:row r="56">
      <x:c r="A5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56" s="100" t="str">
        <x:f>IF(INDEX('Curtain Input'!$A$3:$A$42,INT((ROW()-3)/4)+1)="","",INDEX('Curtain Input'!$AD$3:$AD$42,INT((ROW()-3)/4)+1))</x:f>
      </x:c>
      <x:c r="C56" s="100" t="str">
        <x:f>IF(INDEX('Curtain Input'!$A$3:$A$42,INT((ROW()-3)/4)+1)="","",INDEX('Curtain Input'!$A$3:$A$42,INT((ROW()-3)/4)+1))</x:f>
      </x:c>
      <x:c r="D56" s="100" t="str">
        <x:f>IF(INDEX('Curtain Input'!$A$3:$A$42,INT((ROW()-3)/4)+1)="","",CHOOSE(MOD(ROW()-3,4)+1,"Headbox front/back sections","Side guide pair","Barrel/curtain/bottom rail assembly","Control panel/endplate box"))</x:f>
      </x:c>
      <x:c r="E56" s="100" t="str">
        <x:f>IF(INDEX('Curtain Input'!$A$3:$A$42,INT((ROW()-3)/4)+1)="","",CHOOSE(MOD(ROW()-3,4)+1,2,2*INDEX('Curtain Input'!$J$3:$J$42,INT((ROW()-3)/4)+1),1,1))</x:f>
      </x:c>
      <x:c r="F5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5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5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56" s="124" t="str">
        <x:f>IF(INDEX('Curtain Input'!$A$3:$A$42,INT((ROW()-3)/4)+1)="","",CHOOSE(MOD(ROW()-3,4)+1,300,250,500,400))</x:f>
      </x:c>
      <x:c r="J56" s="124" t="str">
        <x:f>IF(INDEX('Curtain Input'!$A$3:$A$42,INT((ROW()-3)/4)+1)="","",CHOOSE(MOD(ROW()-3,4)+1,250,200,350,300))</x:f>
      </x:c>
      <x:c r="K56" s="100" t="str">
        <x:f>IF(INDEX('Curtain Input'!$A$3:$A$42,INT((ROW()-3)/4)+1)="","",IF(MOD(ROW()-3,4)+1=2,"Guide split parts from Curtain Input",""))</x:f>
      </x:c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  <x:c r="AA56" s="101"/>
      <x:c r="AB56" s="101"/>
      <x:c r="AC56" s="101"/>
      <x:c r="AD56" s="101"/>
      <x:c r="AE56" s="101"/>
    </x:row>
    <x:row r="57">
      <x:c r="A5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57" s="100" t="str">
        <x:f>IF(INDEX('Curtain Input'!$A$3:$A$42,INT((ROW()-3)/4)+1)="","",INDEX('Curtain Input'!$AD$3:$AD$42,INT((ROW()-3)/4)+1))</x:f>
      </x:c>
      <x:c r="C57" s="100" t="str">
        <x:f>IF(INDEX('Curtain Input'!$A$3:$A$42,INT((ROW()-3)/4)+1)="","",INDEX('Curtain Input'!$A$3:$A$42,INT((ROW()-3)/4)+1))</x:f>
      </x:c>
      <x:c r="D57" s="100" t="str">
        <x:f>IF(INDEX('Curtain Input'!$A$3:$A$42,INT((ROW()-3)/4)+1)="","",CHOOSE(MOD(ROW()-3,4)+1,"Headbox front/back sections","Side guide pair","Barrel/curtain/bottom rail assembly","Control panel/endplate box"))</x:f>
      </x:c>
      <x:c r="E57" s="100" t="str">
        <x:f>IF(INDEX('Curtain Input'!$A$3:$A$42,INT((ROW()-3)/4)+1)="","",CHOOSE(MOD(ROW()-3,4)+1,2,2*INDEX('Curtain Input'!$J$3:$J$42,INT((ROW()-3)/4)+1),1,1))</x:f>
      </x:c>
      <x:c r="F5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5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5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57" s="124" t="str">
        <x:f>IF(INDEX('Curtain Input'!$A$3:$A$42,INT((ROW()-3)/4)+1)="","",CHOOSE(MOD(ROW()-3,4)+1,300,250,500,400))</x:f>
      </x:c>
      <x:c r="J57" s="124" t="str">
        <x:f>IF(INDEX('Curtain Input'!$A$3:$A$42,INT((ROW()-3)/4)+1)="","",CHOOSE(MOD(ROW()-3,4)+1,250,200,350,300))</x:f>
      </x:c>
      <x:c r="K57" s="100" t="str">
        <x:f>IF(INDEX('Curtain Input'!$A$3:$A$42,INT((ROW()-3)/4)+1)="","",IF(MOD(ROW()-3,4)+1=2,"Guide split parts from Curtain Input",""))</x:f>
      </x:c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  <x:c r="AA57" s="101"/>
      <x:c r="AB57" s="101"/>
      <x:c r="AC57" s="101"/>
      <x:c r="AD57" s="101"/>
      <x:c r="AE57" s="101"/>
    </x:row>
    <x:row r="58">
      <x:c r="A5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58" s="100" t="str">
        <x:f>IF(INDEX('Curtain Input'!$A$3:$A$42,INT((ROW()-3)/4)+1)="","",INDEX('Curtain Input'!$AD$3:$AD$42,INT((ROW()-3)/4)+1))</x:f>
      </x:c>
      <x:c r="C58" s="100" t="str">
        <x:f>IF(INDEX('Curtain Input'!$A$3:$A$42,INT((ROW()-3)/4)+1)="","",INDEX('Curtain Input'!$A$3:$A$42,INT((ROW()-3)/4)+1))</x:f>
      </x:c>
      <x:c r="D58" s="100" t="str">
        <x:f>IF(INDEX('Curtain Input'!$A$3:$A$42,INT((ROW()-3)/4)+1)="","",CHOOSE(MOD(ROW()-3,4)+1,"Headbox front/back sections","Side guide pair","Barrel/curtain/bottom rail assembly","Control panel/endplate box"))</x:f>
      </x:c>
      <x:c r="E58" s="100" t="str">
        <x:f>IF(INDEX('Curtain Input'!$A$3:$A$42,INT((ROW()-3)/4)+1)="","",CHOOSE(MOD(ROW()-3,4)+1,2,2*INDEX('Curtain Input'!$J$3:$J$42,INT((ROW()-3)/4)+1),1,1))</x:f>
      </x:c>
      <x:c r="F5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5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5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58" s="124" t="str">
        <x:f>IF(INDEX('Curtain Input'!$A$3:$A$42,INT((ROW()-3)/4)+1)="","",CHOOSE(MOD(ROW()-3,4)+1,300,250,500,400))</x:f>
      </x:c>
      <x:c r="J58" s="124" t="str">
        <x:f>IF(INDEX('Curtain Input'!$A$3:$A$42,INT((ROW()-3)/4)+1)="","",CHOOSE(MOD(ROW()-3,4)+1,250,200,350,300))</x:f>
      </x:c>
      <x:c r="K58" s="100" t="str">
        <x:f>IF(INDEX('Curtain Input'!$A$3:$A$42,INT((ROW()-3)/4)+1)="","",IF(MOD(ROW()-3,4)+1=2,"Guide split parts from Curtain Input",""))</x:f>
      </x:c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  <x:c r="AA58" s="101"/>
      <x:c r="AB58" s="101"/>
      <x:c r="AC58" s="101"/>
      <x:c r="AD58" s="101"/>
      <x:c r="AE58" s="101"/>
    </x:row>
    <x:row r="59">
      <x:c r="A5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59" s="100" t="str">
        <x:f>IF(INDEX('Curtain Input'!$A$3:$A$42,INT((ROW()-3)/4)+1)="","",INDEX('Curtain Input'!$AD$3:$AD$42,INT((ROW()-3)/4)+1))</x:f>
      </x:c>
      <x:c r="C59" s="100" t="str">
        <x:f>IF(INDEX('Curtain Input'!$A$3:$A$42,INT((ROW()-3)/4)+1)="","",INDEX('Curtain Input'!$A$3:$A$42,INT((ROW()-3)/4)+1))</x:f>
      </x:c>
      <x:c r="D59" s="100" t="str">
        <x:f>IF(INDEX('Curtain Input'!$A$3:$A$42,INT((ROW()-3)/4)+1)="","",CHOOSE(MOD(ROW()-3,4)+1,"Headbox front/back sections","Side guide pair","Barrel/curtain/bottom rail assembly","Control panel/endplate box"))</x:f>
      </x:c>
      <x:c r="E59" s="100" t="str">
        <x:f>IF(INDEX('Curtain Input'!$A$3:$A$42,INT((ROW()-3)/4)+1)="","",CHOOSE(MOD(ROW()-3,4)+1,2,2*INDEX('Curtain Input'!$J$3:$J$42,INT((ROW()-3)/4)+1),1,1))</x:f>
      </x:c>
      <x:c r="F5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5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5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59" s="124" t="str">
        <x:f>IF(INDEX('Curtain Input'!$A$3:$A$42,INT((ROW()-3)/4)+1)="","",CHOOSE(MOD(ROW()-3,4)+1,300,250,500,400))</x:f>
      </x:c>
      <x:c r="J59" s="124" t="str">
        <x:f>IF(INDEX('Curtain Input'!$A$3:$A$42,INT((ROW()-3)/4)+1)="","",CHOOSE(MOD(ROW()-3,4)+1,250,200,350,300))</x:f>
      </x:c>
      <x:c r="K59" s="100" t="str">
        <x:f>IF(INDEX('Curtain Input'!$A$3:$A$42,INT((ROW()-3)/4)+1)="","",IF(MOD(ROW()-3,4)+1=2,"Guide split parts from Curtain Input",""))</x:f>
      </x:c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  <x:c r="AA59" s="101"/>
      <x:c r="AB59" s="101"/>
      <x:c r="AC59" s="101"/>
      <x:c r="AD59" s="101"/>
      <x:c r="AE59" s="101"/>
    </x:row>
    <x:row r="60">
      <x:c r="A6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60" s="100" t="str">
        <x:f>IF(INDEX('Curtain Input'!$A$3:$A$42,INT((ROW()-3)/4)+1)="","",INDEX('Curtain Input'!$AD$3:$AD$42,INT((ROW()-3)/4)+1))</x:f>
      </x:c>
      <x:c r="C60" s="100" t="str">
        <x:f>IF(INDEX('Curtain Input'!$A$3:$A$42,INT((ROW()-3)/4)+1)="","",INDEX('Curtain Input'!$A$3:$A$42,INT((ROW()-3)/4)+1))</x:f>
      </x:c>
      <x:c r="D60" s="100" t="str">
        <x:f>IF(INDEX('Curtain Input'!$A$3:$A$42,INT((ROW()-3)/4)+1)="","",CHOOSE(MOD(ROW()-3,4)+1,"Headbox front/back sections","Side guide pair","Barrel/curtain/bottom rail assembly","Control panel/endplate box"))</x:f>
      </x:c>
      <x:c r="E60" s="100" t="str">
        <x:f>IF(INDEX('Curtain Input'!$A$3:$A$42,INT((ROW()-3)/4)+1)="","",CHOOSE(MOD(ROW()-3,4)+1,2,2*INDEX('Curtain Input'!$J$3:$J$42,INT((ROW()-3)/4)+1),1,1))</x:f>
      </x:c>
      <x:c r="F6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6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6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60" s="124" t="str">
        <x:f>IF(INDEX('Curtain Input'!$A$3:$A$42,INT((ROW()-3)/4)+1)="","",CHOOSE(MOD(ROW()-3,4)+1,300,250,500,400))</x:f>
      </x:c>
      <x:c r="J60" s="124" t="str">
        <x:f>IF(INDEX('Curtain Input'!$A$3:$A$42,INT((ROW()-3)/4)+1)="","",CHOOSE(MOD(ROW()-3,4)+1,250,200,350,300))</x:f>
      </x:c>
      <x:c r="K60" s="100" t="str">
        <x:f>IF(INDEX('Curtain Input'!$A$3:$A$42,INT((ROW()-3)/4)+1)="","",IF(MOD(ROW()-3,4)+1=2,"Guide split parts from Curtain Input",""))</x:f>
      </x:c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  <x:c r="AA60" s="101"/>
      <x:c r="AB60" s="101"/>
      <x:c r="AC60" s="101"/>
      <x:c r="AD60" s="101"/>
      <x:c r="AE60" s="101"/>
    </x:row>
    <x:row r="61">
      <x:c r="A6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61" s="100" t="str">
        <x:f>IF(INDEX('Curtain Input'!$A$3:$A$42,INT((ROW()-3)/4)+1)="","",INDEX('Curtain Input'!$AD$3:$AD$42,INT((ROW()-3)/4)+1))</x:f>
      </x:c>
      <x:c r="C61" s="100" t="str">
        <x:f>IF(INDEX('Curtain Input'!$A$3:$A$42,INT((ROW()-3)/4)+1)="","",INDEX('Curtain Input'!$A$3:$A$42,INT((ROW()-3)/4)+1))</x:f>
      </x:c>
      <x:c r="D61" s="100" t="str">
        <x:f>IF(INDEX('Curtain Input'!$A$3:$A$42,INT((ROW()-3)/4)+1)="","",CHOOSE(MOD(ROW()-3,4)+1,"Headbox front/back sections","Side guide pair","Barrel/curtain/bottom rail assembly","Control panel/endplate box"))</x:f>
      </x:c>
      <x:c r="E61" s="100" t="str">
        <x:f>IF(INDEX('Curtain Input'!$A$3:$A$42,INT((ROW()-3)/4)+1)="","",CHOOSE(MOD(ROW()-3,4)+1,2,2*INDEX('Curtain Input'!$J$3:$J$42,INT((ROW()-3)/4)+1),1,1))</x:f>
      </x:c>
      <x:c r="F6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6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6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61" s="124" t="str">
        <x:f>IF(INDEX('Curtain Input'!$A$3:$A$42,INT((ROW()-3)/4)+1)="","",CHOOSE(MOD(ROW()-3,4)+1,300,250,500,400))</x:f>
      </x:c>
      <x:c r="J61" s="124" t="str">
        <x:f>IF(INDEX('Curtain Input'!$A$3:$A$42,INT((ROW()-3)/4)+1)="","",CHOOSE(MOD(ROW()-3,4)+1,250,200,350,300))</x:f>
      </x:c>
      <x:c r="K61" s="100" t="str">
        <x:f>IF(INDEX('Curtain Input'!$A$3:$A$42,INT((ROW()-3)/4)+1)="","",IF(MOD(ROW()-3,4)+1=2,"Guide split parts from Curtain Input",""))</x:f>
      </x:c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  <x:c r="AA61" s="101"/>
      <x:c r="AB61" s="101"/>
      <x:c r="AC61" s="101"/>
      <x:c r="AD61" s="101"/>
      <x:c r="AE61" s="101"/>
    </x:row>
    <x:row r="62">
      <x:c r="A6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62" s="100" t="str">
        <x:f>IF(INDEX('Curtain Input'!$A$3:$A$42,INT((ROW()-3)/4)+1)="","",INDEX('Curtain Input'!$AD$3:$AD$42,INT((ROW()-3)/4)+1))</x:f>
      </x:c>
      <x:c r="C62" s="100" t="str">
        <x:f>IF(INDEX('Curtain Input'!$A$3:$A$42,INT((ROW()-3)/4)+1)="","",INDEX('Curtain Input'!$A$3:$A$42,INT((ROW()-3)/4)+1))</x:f>
      </x:c>
      <x:c r="D62" s="100" t="str">
        <x:f>IF(INDEX('Curtain Input'!$A$3:$A$42,INT((ROW()-3)/4)+1)="","",CHOOSE(MOD(ROW()-3,4)+1,"Headbox front/back sections","Side guide pair","Barrel/curtain/bottom rail assembly","Control panel/endplate box"))</x:f>
      </x:c>
      <x:c r="E62" s="100" t="str">
        <x:f>IF(INDEX('Curtain Input'!$A$3:$A$42,INT((ROW()-3)/4)+1)="","",CHOOSE(MOD(ROW()-3,4)+1,2,2*INDEX('Curtain Input'!$J$3:$J$42,INT((ROW()-3)/4)+1),1,1))</x:f>
      </x:c>
      <x:c r="F6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6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6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62" s="124" t="str">
        <x:f>IF(INDEX('Curtain Input'!$A$3:$A$42,INT((ROW()-3)/4)+1)="","",CHOOSE(MOD(ROW()-3,4)+1,300,250,500,400))</x:f>
      </x:c>
      <x:c r="J62" s="124" t="str">
        <x:f>IF(INDEX('Curtain Input'!$A$3:$A$42,INT((ROW()-3)/4)+1)="","",CHOOSE(MOD(ROW()-3,4)+1,250,200,350,300))</x:f>
      </x:c>
      <x:c r="K62" s="100" t="str">
        <x:f>IF(INDEX('Curtain Input'!$A$3:$A$42,INT((ROW()-3)/4)+1)="","",IF(MOD(ROW()-3,4)+1=2,"Guide split parts from Curtain Input",""))</x:f>
      </x:c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  <x:c r="AA62" s="101"/>
      <x:c r="AB62" s="101"/>
      <x:c r="AC62" s="101"/>
      <x:c r="AD62" s="101"/>
      <x:c r="AE62" s="101"/>
    </x:row>
    <x:row r="63">
      <x:c r="A6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63" s="100" t="str">
        <x:f>IF(INDEX('Curtain Input'!$A$3:$A$42,INT((ROW()-3)/4)+1)="","",INDEX('Curtain Input'!$AD$3:$AD$42,INT((ROW()-3)/4)+1))</x:f>
      </x:c>
      <x:c r="C63" s="100" t="str">
        <x:f>IF(INDEX('Curtain Input'!$A$3:$A$42,INT((ROW()-3)/4)+1)="","",INDEX('Curtain Input'!$A$3:$A$42,INT((ROW()-3)/4)+1))</x:f>
      </x:c>
      <x:c r="D63" s="100" t="str">
        <x:f>IF(INDEX('Curtain Input'!$A$3:$A$42,INT((ROW()-3)/4)+1)="","",CHOOSE(MOD(ROW()-3,4)+1,"Headbox front/back sections","Side guide pair","Barrel/curtain/bottom rail assembly","Control panel/endplate box"))</x:f>
      </x:c>
      <x:c r="E63" s="100" t="str">
        <x:f>IF(INDEX('Curtain Input'!$A$3:$A$42,INT((ROW()-3)/4)+1)="","",CHOOSE(MOD(ROW()-3,4)+1,2,2*INDEX('Curtain Input'!$J$3:$J$42,INT((ROW()-3)/4)+1),1,1))</x:f>
      </x:c>
      <x:c r="F6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6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6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63" s="124" t="str">
        <x:f>IF(INDEX('Curtain Input'!$A$3:$A$42,INT((ROW()-3)/4)+1)="","",CHOOSE(MOD(ROW()-3,4)+1,300,250,500,400))</x:f>
      </x:c>
      <x:c r="J63" s="124" t="str">
        <x:f>IF(INDEX('Curtain Input'!$A$3:$A$42,INT((ROW()-3)/4)+1)="","",CHOOSE(MOD(ROW()-3,4)+1,250,200,350,300))</x:f>
      </x:c>
      <x:c r="K63" s="100" t="str">
        <x:f>IF(INDEX('Curtain Input'!$A$3:$A$42,INT((ROW()-3)/4)+1)="","",IF(MOD(ROW()-3,4)+1=2,"Guide split parts from Curtain Input",""))</x:f>
      </x:c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  <x:c r="AA63" s="101"/>
      <x:c r="AB63" s="101"/>
      <x:c r="AC63" s="101"/>
      <x:c r="AD63" s="101"/>
      <x:c r="AE63" s="101"/>
    </x:row>
    <x:row r="64">
      <x:c r="A6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64" s="100" t="str">
        <x:f>IF(INDEX('Curtain Input'!$A$3:$A$42,INT((ROW()-3)/4)+1)="","",INDEX('Curtain Input'!$AD$3:$AD$42,INT((ROW()-3)/4)+1))</x:f>
      </x:c>
      <x:c r="C64" s="100" t="str">
        <x:f>IF(INDEX('Curtain Input'!$A$3:$A$42,INT((ROW()-3)/4)+1)="","",INDEX('Curtain Input'!$A$3:$A$42,INT((ROW()-3)/4)+1))</x:f>
      </x:c>
      <x:c r="D64" s="100" t="str">
        <x:f>IF(INDEX('Curtain Input'!$A$3:$A$42,INT((ROW()-3)/4)+1)="","",CHOOSE(MOD(ROW()-3,4)+1,"Headbox front/back sections","Side guide pair","Barrel/curtain/bottom rail assembly","Control panel/endplate box"))</x:f>
      </x:c>
      <x:c r="E64" s="100" t="str">
        <x:f>IF(INDEX('Curtain Input'!$A$3:$A$42,INT((ROW()-3)/4)+1)="","",CHOOSE(MOD(ROW()-3,4)+1,2,2*INDEX('Curtain Input'!$J$3:$J$42,INT((ROW()-3)/4)+1),1,1))</x:f>
      </x:c>
      <x:c r="F6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6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6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64" s="124" t="str">
        <x:f>IF(INDEX('Curtain Input'!$A$3:$A$42,INT((ROW()-3)/4)+1)="","",CHOOSE(MOD(ROW()-3,4)+1,300,250,500,400))</x:f>
      </x:c>
      <x:c r="J64" s="124" t="str">
        <x:f>IF(INDEX('Curtain Input'!$A$3:$A$42,INT((ROW()-3)/4)+1)="","",CHOOSE(MOD(ROW()-3,4)+1,250,200,350,300))</x:f>
      </x:c>
      <x:c r="K64" s="100" t="str">
        <x:f>IF(INDEX('Curtain Input'!$A$3:$A$42,INT((ROW()-3)/4)+1)="","",IF(MOD(ROW()-3,4)+1=2,"Guide split parts from Curtain Input",""))</x:f>
      </x:c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  <x:c r="AA64" s="101"/>
      <x:c r="AB64" s="101"/>
      <x:c r="AC64" s="101"/>
      <x:c r="AD64" s="101"/>
      <x:c r="AE64" s="101"/>
    </x:row>
    <x:row r="65">
      <x:c r="A6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65" s="100" t="str">
        <x:f>IF(INDEX('Curtain Input'!$A$3:$A$42,INT((ROW()-3)/4)+1)="","",INDEX('Curtain Input'!$AD$3:$AD$42,INT((ROW()-3)/4)+1))</x:f>
      </x:c>
      <x:c r="C65" s="100" t="str">
        <x:f>IF(INDEX('Curtain Input'!$A$3:$A$42,INT((ROW()-3)/4)+1)="","",INDEX('Curtain Input'!$A$3:$A$42,INT((ROW()-3)/4)+1))</x:f>
      </x:c>
      <x:c r="D65" s="100" t="str">
        <x:f>IF(INDEX('Curtain Input'!$A$3:$A$42,INT((ROW()-3)/4)+1)="","",CHOOSE(MOD(ROW()-3,4)+1,"Headbox front/back sections","Side guide pair","Barrel/curtain/bottom rail assembly","Control panel/endplate box"))</x:f>
      </x:c>
      <x:c r="E65" s="100" t="str">
        <x:f>IF(INDEX('Curtain Input'!$A$3:$A$42,INT((ROW()-3)/4)+1)="","",CHOOSE(MOD(ROW()-3,4)+1,2,2*INDEX('Curtain Input'!$J$3:$J$42,INT((ROW()-3)/4)+1),1,1))</x:f>
      </x:c>
      <x:c r="F6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6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6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65" s="124" t="str">
        <x:f>IF(INDEX('Curtain Input'!$A$3:$A$42,INT((ROW()-3)/4)+1)="","",CHOOSE(MOD(ROW()-3,4)+1,300,250,500,400))</x:f>
      </x:c>
      <x:c r="J65" s="124" t="str">
        <x:f>IF(INDEX('Curtain Input'!$A$3:$A$42,INT((ROW()-3)/4)+1)="","",CHOOSE(MOD(ROW()-3,4)+1,250,200,350,300))</x:f>
      </x:c>
      <x:c r="K65" s="100" t="str">
        <x:f>IF(INDEX('Curtain Input'!$A$3:$A$42,INT((ROW()-3)/4)+1)="","",IF(MOD(ROW()-3,4)+1=2,"Guide split parts from Curtain Input",""))</x:f>
      </x:c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  <x:c r="AA65" s="101"/>
      <x:c r="AB65" s="101"/>
      <x:c r="AC65" s="101"/>
      <x:c r="AD65" s="101"/>
      <x:c r="AE65" s="101"/>
    </x:row>
    <x:row r="66">
      <x:c r="A6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66" s="100" t="str">
        <x:f>IF(INDEX('Curtain Input'!$A$3:$A$42,INT((ROW()-3)/4)+1)="","",INDEX('Curtain Input'!$AD$3:$AD$42,INT((ROW()-3)/4)+1))</x:f>
      </x:c>
      <x:c r="C66" s="100" t="str">
        <x:f>IF(INDEX('Curtain Input'!$A$3:$A$42,INT((ROW()-3)/4)+1)="","",INDEX('Curtain Input'!$A$3:$A$42,INT((ROW()-3)/4)+1))</x:f>
      </x:c>
      <x:c r="D66" s="100" t="str">
        <x:f>IF(INDEX('Curtain Input'!$A$3:$A$42,INT((ROW()-3)/4)+1)="","",CHOOSE(MOD(ROW()-3,4)+1,"Headbox front/back sections","Side guide pair","Barrel/curtain/bottom rail assembly","Control panel/endplate box"))</x:f>
      </x:c>
      <x:c r="E66" s="100" t="str">
        <x:f>IF(INDEX('Curtain Input'!$A$3:$A$42,INT((ROW()-3)/4)+1)="","",CHOOSE(MOD(ROW()-3,4)+1,2,2*INDEX('Curtain Input'!$J$3:$J$42,INT((ROW()-3)/4)+1),1,1))</x:f>
      </x:c>
      <x:c r="F6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6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6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66" s="124" t="str">
        <x:f>IF(INDEX('Curtain Input'!$A$3:$A$42,INT((ROW()-3)/4)+1)="","",CHOOSE(MOD(ROW()-3,4)+1,300,250,500,400))</x:f>
      </x:c>
      <x:c r="J66" s="124" t="str">
        <x:f>IF(INDEX('Curtain Input'!$A$3:$A$42,INT((ROW()-3)/4)+1)="","",CHOOSE(MOD(ROW()-3,4)+1,250,200,350,300))</x:f>
      </x:c>
      <x:c r="K66" s="100" t="str">
        <x:f>IF(INDEX('Curtain Input'!$A$3:$A$42,INT((ROW()-3)/4)+1)="","",IF(MOD(ROW()-3,4)+1=2,"Guide split parts from Curtain Input",""))</x:f>
      </x:c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  <x:c r="AA66" s="101"/>
      <x:c r="AB66" s="101"/>
      <x:c r="AC66" s="101"/>
      <x:c r="AD66" s="101"/>
      <x:c r="AE66" s="101"/>
    </x:row>
    <x:row r="67">
      <x:c r="A6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67" s="100" t="str">
        <x:f>IF(INDEX('Curtain Input'!$A$3:$A$42,INT((ROW()-3)/4)+1)="","",INDEX('Curtain Input'!$AD$3:$AD$42,INT((ROW()-3)/4)+1))</x:f>
      </x:c>
      <x:c r="C67" s="100" t="str">
        <x:f>IF(INDEX('Curtain Input'!$A$3:$A$42,INT((ROW()-3)/4)+1)="","",INDEX('Curtain Input'!$A$3:$A$42,INT((ROW()-3)/4)+1))</x:f>
      </x:c>
      <x:c r="D67" s="100" t="str">
        <x:f>IF(INDEX('Curtain Input'!$A$3:$A$42,INT((ROW()-3)/4)+1)="","",CHOOSE(MOD(ROW()-3,4)+1,"Headbox front/back sections","Side guide pair","Barrel/curtain/bottom rail assembly","Control panel/endplate box"))</x:f>
      </x:c>
      <x:c r="E67" s="100" t="str">
        <x:f>IF(INDEX('Curtain Input'!$A$3:$A$42,INT((ROW()-3)/4)+1)="","",CHOOSE(MOD(ROW()-3,4)+1,2,2*INDEX('Curtain Input'!$J$3:$J$42,INT((ROW()-3)/4)+1),1,1))</x:f>
      </x:c>
      <x:c r="F6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6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6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67" s="124" t="str">
        <x:f>IF(INDEX('Curtain Input'!$A$3:$A$42,INT((ROW()-3)/4)+1)="","",CHOOSE(MOD(ROW()-3,4)+1,300,250,500,400))</x:f>
      </x:c>
      <x:c r="J67" s="124" t="str">
        <x:f>IF(INDEX('Curtain Input'!$A$3:$A$42,INT((ROW()-3)/4)+1)="","",CHOOSE(MOD(ROW()-3,4)+1,250,200,350,300))</x:f>
      </x:c>
      <x:c r="K67" s="100" t="str">
        <x:f>IF(INDEX('Curtain Input'!$A$3:$A$42,INT((ROW()-3)/4)+1)="","",IF(MOD(ROW()-3,4)+1=2,"Guide split parts from Curtain Input",""))</x:f>
      </x:c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  <x:c r="AA67" s="101"/>
      <x:c r="AB67" s="101"/>
      <x:c r="AC67" s="101"/>
      <x:c r="AD67" s="101"/>
      <x:c r="AE67" s="101"/>
    </x:row>
    <x:row r="68">
      <x:c r="A6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68" s="100" t="str">
        <x:f>IF(INDEX('Curtain Input'!$A$3:$A$42,INT((ROW()-3)/4)+1)="","",INDEX('Curtain Input'!$AD$3:$AD$42,INT((ROW()-3)/4)+1))</x:f>
      </x:c>
      <x:c r="C68" s="100" t="str">
        <x:f>IF(INDEX('Curtain Input'!$A$3:$A$42,INT((ROW()-3)/4)+1)="","",INDEX('Curtain Input'!$A$3:$A$42,INT((ROW()-3)/4)+1))</x:f>
      </x:c>
      <x:c r="D68" s="100" t="str">
        <x:f>IF(INDEX('Curtain Input'!$A$3:$A$42,INT((ROW()-3)/4)+1)="","",CHOOSE(MOD(ROW()-3,4)+1,"Headbox front/back sections","Side guide pair","Barrel/curtain/bottom rail assembly","Control panel/endplate box"))</x:f>
      </x:c>
      <x:c r="E68" s="100" t="str">
        <x:f>IF(INDEX('Curtain Input'!$A$3:$A$42,INT((ROW()-3)/4)+1)="","",CHOOSE(MOD(ROW()-3,4)+1,2,2*INDEX('Curtain Input'!$J$3:$J$42,INT((ROW()-3)/4)+1),1,1))</x:f>
      </x:c>
      <x:c r="F6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6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6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68" s="124" t="str">
        <x:f>IF(INDEX('Curtain Input'!$A$3:$A$42,INT((ROW()-3)/4)+1)="","",CHOOSE(MOD(ROW()-3,4)+1,300,250,500,400))</x:f>
      </x:c>
      <x:c r="J68" s="124" t="str">
        <x:f>IF(INDEX('Curtain Input'!$A$3:$A$42,INT((ROW()-3)/4)+1)="","",CHOOSE(MOD(ROW()-3,4)+1,250,200,350,300))</x:f>
      </x:c>
      <x:c r="K68" s="100" t="str">
        <x:f>IF(INDEX('Curtain Input'!$A$3:$A$42,INT((ROW()-3)/4)+1)="","",IF(MOD(ROW()-3,4)+1=2,"Guide split parts from Curtain Input",""))</x:f>
      </x:c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  <x:c r="AA68" s="101"/>
      <x:c r="AB68" s="101"/>
      <x:c r="AC68" s="101"/>
      <x:c r="AD68" s="101"/>
      <x:c r="AE68" s="101"/>
    </x:row>
    <x:row r="69">
      <x:c r="A6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69" s="100" t="str">
        <x:f>IF(INDEX('Curtain Input'!$A$3:$A$42,INT((ROW()-3)/4)+1)="","",INDEX('Curtain Input'!$AD$3:$AD$42,INT((ROW()-3)/4)+1))</x:f>
      </x:c>
      <x:c r="C69" s="100" t="str">
        <x:f>IF(INDEX('Curtain Input'!$A$3:$A$42,INT((ROW()-3)/4)+1)="","",INDEX('Curtain Input'!$A$3:$A$42,INT((ROW()-3)/4)+1))</x:f>
      </x:c>
      <x:c r="D69" s="100" t="str">
        <x:f>IF(INDEX('Curtain Input'!$A$3:$A$42,INT((ROW()-3)/4)+1)="","",CHOOSE(MOD(ROW()-3,4)+1,"Headbox front/back sections","Side guide pair","Barrel/curtain/bottom rail assembly","Control panel/endplate box"))</x:f>
      </x:c>
      <x:c r="E69" s="100" t="str">
        <x:f>IF(INDEX('Curtain Input'!$A$3:$A$42,INT((ROW()-3)/4)+1)="","",CHOOSE(MOD(ROW()-3,4)+1,2,2*INDEX('Curtain Input'!$J$3:$J$42,INT((ROW()-3)/4)+1),1,1))</x:f>
      </x:c>
      <x:c r="F6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6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6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69" s="124" t="str">
        <x:f>IF(INDEX('Curtain Input'!$A$3:$A$42,INT((ROW()-3)/4)+1)="","",CHOOSE(MOD(ROW()-3,4)+1,300,250,500,400))</x:f>
      </x:c>
      <x:c r="J69" s="124" t="str">
        <x:f>IF(INDEX('Curtain Input'!$A$3:$A$42,INT((ROW()-3)/4)+1)="","",CHOOSE(MOD(ROW()-3,4)+1,250,200,350,300))</x:f>
      </x:c>
      <x:c r="K69" s="100" t="str">
        <x:f>IF(INDEX('Curtain Input'!$A$3:$A$42,INT((ROW()-3)/4)+1)="","",IF(MOD(ROW()-3,4)+1=2,"Guide split parts from Curtain Input",""))</x:f>
      </x:c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  <x:c r="AA69" s="101"/>
      <x:c r="AB69" s="101"/>
      <x:c r="AC69" s="101"/>
      <x:c r="AD69" s="101"/>
      <x:c r="AE69" s="101"/>
    </x:row>
    <x:row r="70">
      <x:c r="A7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70" s="100" t="str">
        <x:f>IF(INDEX('Curtain Input'!$A$3:$A$42,INT((ROW()-3)/4)+1)="","",INDEX('Curtain Input'!$AD$3:$AD$42,INT((ROW()-3)/4)+1))</x:f>
      </x:c>
      <x:c r="C70" s="100" t="str">
        <x:f>IF(INDEX('Curtain Input'!$A$3:$A$42,INT((ROW()-3)/4)+1)="","",INDEX('Curtain Input'!$A$3:$A$42,INT((ROW()-3)/4)+1))</x:f>
      </x:c>
      <x:c r="D70" s="100" t="str">
        <x:f>IF(INDEX('Curtain Input'!$A$3:$A$42,INT((ROW()-3)/4)+1)="","",CHOOSE(MOD(ROW()-3,4)+1,"Headbox front/back sections","Side guide pair","Barrel/curtain/bottom rail assembly","Control panel/endplate box"))</x:f>
      </x:c>
      <x:c r="E70" s="100" t="str">
        <x:f>IF(INDEX('Curtain Input'!$A$3:$A$42,INT((ROW()-3)/4)+1)="","",CHOOSE(MOD(ROW()-3,4)+1,2,2*INDEX('Curtain Input'!$J$3:$J$42,INT((ROW()-3)/4)+1),1,1))</x:f>
      </x:c>
      <x:c r="F7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7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7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70" s="124" t="str">
        <x:f>IF(INDEX('Curtain Input'!$A$3:$A$42,INT((ROW()-3)/4)+1)="","",CHOOSE(MOD(ROW()-3,4)+1,300,250,500,400))</x:f>
      </x:c>
      <x:c r="J70" s="124" t="str">
        <x:f>IF(INDEX('Curtain Input'!$A$3:$A$42,INT((ROW()-3)/4)+1)="","",CHOOSE(MOD(ROW()-3,4)+1,250,200,350,300))</x:f>
      </x:c>
      <x:c r="K70" s="100" t="str">
        <x:f>IF(INDEX('Curtain Input'!$A$3:$A$42,INT((ROW()-3)/4)+1)="","",IF(MOD(ROW()-3,4)+1=2,"Guide split parts from Curtain Input",""))</x:f>
      </x:c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  <x:c r="AA70" s="101"/>
      <x:c r="AB70" s="101"/>
      <x:c r="AC70" s="101"/>
      <x:c r="AD70" s="101"/>
      <x:c r="AE70" s="101"/>
    </x:row>
    <x:row r="71">
      <x:c r="A7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71" s="100" t="str">
        <x:f>IF(INDEX('Curtain Input'!$A$3:$A$42,INT((ROW()-3)/4)+1)="","",INDEX('Curtain Input'!$AD$3:$AD$42,INT((ROW()-3)/4)+1))</x:f>
      </x:c>
      <x:c r="C71" s="100" t="str">
        <x:f>IF(INDEX('Curtain Input'!$A$3:$A$42,INT((ROW()-3)/4)+1)="","",INDEX('Curtain Input'!$A$3:$A$42,INT((ROW()-3)/4)+1))</x:f>
      </x:c>
      <x:c r="D71" s="100" t="str">
        <x:f>IF(INDEX('Curtain Input'!$A$3:$A$42,INT((ROW()-3)/4)+1)="","",CHOOSE(MOD(ROW()-3,4)+1,"Headbox front/back sections","Side guide pair","Barrel/curtain/bottom rail assembly","Control panel/endplate box"))</x:f>
      </x:c>
      <x:c r="E71" s="100" t="str">
        <x:f>IF(INDEX('Curtain Input'!$A$3:$A$42,INT((ROW()-3)/4)+1)="","",CHOOSE(MOD(ROW()-3,4)+1,2,2*INDEX('Curtain Input'!$J$3:$J$42,INT((ROW()-3)/4)+1),1,1))</x:f>
      </x:c>
      <x:c r="F7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7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7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71" s="124" t="str">
        <x:f>IF(INDEX('Curtain Input'!$A$3:$A$42,INT((ROW()-3)/4)+1)="","",CHOOSE(MOD(ROW()-3,4)+1,300,250,500,400))</x:f>
      </x:c>
      <x:c r="J71" s="124" t="str">
        <x:f>IF(INDEX('Curtain Input'!$A$3:$A$42,INT((ROW()-3)/4)+1)="","",CHOOSE(MOD(ROW()-3,4)+1,250,200,350,300))</x:f>
      </x:c>
      <x:c r="K71" s="100" t="str">
        <x:f>IF(INDEX('Curtain Input'!$A$3:$A$42,INT((ROW()-3)/4)+1)="","",IF(MOD(ROW()-3,4)+1=2,"Guide split parts from Curtain Input",""))</x:f>
      </x:c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  <x:c r="AA71" s="101"/>
      <x:c r="AB71" s="101"/>
      <x:c r="AC71" s="101"/>
      <x:c r="AD71" s="101"/>
      <x:c r="AE71" s="101"/>
    </x:row>
    <x:row r="72">
      <x:c r="A7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72" s="100" t="str">
        <x:f>IF(INDEX('Curtain Input'!$A$3:$A$42,INT((ROW()-3)/4)+1)="","",INDEX('Curtain Input'!$AD$3:$AD$42,INT((ROW()-3)/4)+1))</x:f>
      </x:c>
      <x:c r="C72" s="100" t="str">
        <x:f>IF(INDEX('Curtain Input'!$A$3:$A$42,INT((ROW()-3)/4)+1)="","",INDEX('Curtain Input'!$A$3:$A$42,INT((ROW()-3)/4)+1))</x:f>
      </x:c>
      <x:c r="D72" s="100" t="str">
        <x:f>IF(INDEX('Curtain Input'!$A$3:$A$42,INT((ROW()-3)/4)+1)="","",CHOOSE(MOD(ROW()-3,4)+1,"Headbox front/back sections","Side guide pair","Barrel/curtain/bottom rail assembly","Control panel/endplate box"))</x:f>
      </x:c>
      <x:c r="E72" s="100" t="str">
        <x:f>IF(INDEX('Curtain Input'!$A$3:$A$42,INT((ROW()-3)/4)+1)="","",CHOOSE(MOD(ROW()-3,4)+1,2,2*INDEX('Curtain Input'!$J$3:$J$42,INT((ROW()-3)/4)+1),1,1))</x:f>
      </x:c>
      <x:c r="F7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7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7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72" s="124" t="str">
        <x:f>IF(INDEX('Curtain Input'!$A$3:$A$42,INT((ROW()-3)/4)+1)="","",CHOOSE(MOD(ROW()-3,4)+1,300,250,500,400))</x:f>
      </x:c>
      <x:c r="J72" s="124" t="str">
        <x:f>IF(INDEX('Curtain Input'!$A$3:$A$42,INT((ROW()-3)/4)+1)="","",CHOOSE(MOD(ROW()-3,4)+1,250,200,350,300))</x:f>
      </x:c>
      <x:c r="K72" s="100" t="str">
        <x:f>IF(INDEX('Curtain Input'!$A$3:$A$42,INT((ROW()-3)/4)+1)="","",IF(MOD(ROW()-3,4)+1=2,"Guide split parts from Curtain Input",""))</x:f>
      </x:c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  <x:c r="AA72" s="101"/>
      <x:c r="AB72" s="101"/>
      <x:c r="AC72" s="101"/>
      <x:c r="AD72" s="101"/>
      <x:c r="AE72" s="101"/>
    </x:row>
    <x:row r="73">
      <x:c r="A7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73" s="100" t="str">
        <x:f>IF(INDEX('Curtain Input'!$A$3:$A$42,INT((ROW()-3)/4)+1)="","",INDEX('Curtain Input'!$AD$3:$AD$42,INT((ROW()-3)/4)+1))</x:f>
      </x:c>
      <x:c r="C73" s="100" t="str">
        <x:f>IF(INDEX('Curtain Input'!$A$3:$A$42,INT((ROW()-3)/4)+1)="","",INDEX('Curtain Input'!$A$3:$A$42,INT((ROW()-3)/4)+1))</x:f>
      </x:c>
      <x:c r="D73" s="100" t="str">
        <x:f>IF(INDEX('Curtain Input'!$A$3:$A$42,INT((ROW()-3)/4)+1)="","",CHOOSE(MOD(ROW()-3,4)+1,"Headbox front/back sections","Side guide pair","Barrel/curtain/bottom rail assembly","Control panel/endplate box"))</x:f>
      </x:c>
      <x:c r="E73" s="100" t="str">
        <x:f>IF(INDEX('Curtain Input'!$A$3:$A$42,INT((ROW()-3)/4)+1)="","",CHOOSE(MOD(ROW()-3,4)+1,2,2*INDEX('Curtain Input'!$J$3:$J$42,INT((ROW()-3)/4)+1),1,1))</x:f>
      </x:c>
      <x:c r="F7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7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7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73" s="124" t="str">
        <x:f>IF(INDEX('Curtain Input'!$A$3:$A$42,INT((ROW()-3)/4)+1)="","",CHOOSE(MOD(ROW()-3,4)+1,300,250,500,400))</x:f>
      </x:c>
      <x:c r="J73" s="124" t="str">
        <x:f>IF(INDEX('Curtain Input'!$A$3:$A$42,INT((ROW()-3)/4)+1)="","",CHOOSE(MOD(ROW()-3,4)+1,250,200,350,300))</x:f>
      </x:c>
      <x:c r="K73" s="100" t="str">
        <x:f>IF(INDEX('Curtain Input'!$A$3:$A$42,INT((ROW()-3)/4)+1)="","",IF(MOD(ROW()-3,4)+1=2,"Guide split parts from Curtain Input",""))</x:f>
      </x:c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  <x:c r="AA73" s="101"/>
      <x:c r="AB73" s="101"/>
      <x:c r="AC73" s="101"/>
      <x:c r="AD73" s="101"/>
      <x:c r="AE73" s="101"/>
    </x:row>
    <x:row r="74">
      <x:c r="A7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74" s="100" t="str">
        <x:f>IF(INDEX('Curtain Input'!$A$3:$A$42,INT((ROW()-3)/4)+1)="","",INDEX('Curtain Input'!$AD$3:$AD$42,INT((ROW()-3)/4)+1))</x:f>
      </x:c>
      <x:c r="C74" s="100" t="str">
        <x:f>IF(INDEX('Curtain Input'!$A$3:$A$42,INT((ROW()-3)/4)+1)="","",INDEX('Curtain Input'!$A$3:$A$42,INT((ROW()-3)/4)+1))</x:f>
      </x:c>
      <x:c r="D74" s="100" t="str">
        <x:f>IF(INDEX('Curtain Input'!$A$3:$A$42,INT((ROW()-3)/4)+1)="","",CHOOSE(MOD(ROW()-3,4)+1,"Headbox front/back sections","Side guide pair","Barrel/curtain/bottom rail assembly","Control panel/endplate box"))</x:f>
      </x:c>
      <x:c r="E74" s="100" t="str">
        <x:f>IF(INDEX('Curtain Input'!$A$3:$A$42,INT((ROW()-3)/4)+1)="","",CHOOSE(MOD(ROW()-3,4)+1,2,2*INDEX('Curtain Input'!$J$3:$J$42,INT((ROW()-3)/4)+1),1,1))</x:f>
      </x:c>
      <x:c r="F7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7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7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74" s="124" t="str">
        <x:f>IF(INDEX('Curtain Input'!$A$3:$A$42,INT((ROW()-3)/4)+1)="","",CHOOSE(MOD(ROW()-3,4)+1,300,250,500,400))</x:f>
      </x:c>
      <x:c r="J74" s="124" t="str">
        <x:f>IF(INDEX('Curtain Input'!$A$3:$A$42,INT((ROW()-3)/4)+1)="","",CHOOSE(MOD(ROW()-3,4)+1,250,200,350,300))</x:f>
      </x:c>
      <x:c r="K74" s="100" t="str">
        <x:f>IF(INDEX('Curtain Input'!$A$3:$A$42,INT((ROW()-3)/4)+1)="","",IF(MOD(ROW()-3,4)+1=2,"Guide split parts from Curtain Input",""))</x:f>
      </x:c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  <x:c r="AA74" s="101"/>
      <x:c r="AB74" s="101"/>
      <x:c r="AC74" s="101"/>
      <x:c r="AD74" s="101"/>
      <x:c r="AE74" s="101"/>
    </x:row>
    <x:row r="75">
      <x:c r="A7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75" s="100" t="str">
        <x:f>IF(INDEX('Curtain Input'!$A$3:$A$42,INT((ROW()-3)/4)+1)="","",INDEX('Curtain Input'!$AD$3:$AD$42,INT((ROW()-3)/4)+1))</x:f>
      </x:c>
      <x:c r="C75" s="100" t="str">
        <x:f>IF(INDEX('Curtain Input'!$A$3:$A$42,INT((ROW()-3)/4)+1)="","",INDEX('Curtain Input'!$A$3:$A$42,INT((ROW()-3)/4)+1))</x:f>
      </x:c>
      <x:c r="D75" s="100" t="str">
        <x:f>IF(INDEX('Curtain Input'!$A$3:$A$42,INT((ROW()-3)/4)+1)="","",CHOOSE(MOD(ROW()-3,4)+1,"Headbox front/back sections","Side guide pair","Barrel/curtain/bottom rail assembly","Control panel/endplate box"))</x:f>
      </x:c>
      <x:c r="E75" s="100" t="str">
        <x:f>IF(INDEX('Curtain Input'!$A$3:$A$42,INT((ROW()-3)/4)+1)="","",CHOOSE(MOD(ROW()-3,4)+1,2,2*INDEX('Curtain Input'!$J$3:$J$42,INT((ROW()-3)/4)+1),1,1))</x:f>
      </x:c>
      <x:c r="F7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7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7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75" s="124" t="str">
        <x:f>IF(INDEX('Curtain Input'!$A$3:$A$42,INT((ROW()-3)/4)+1)="","",CHOOSE(MOD(ROW()-3,4)+1,300,250,500,400))</x:f>
      </x:c>
      <x:c r="J75" s="124" t="str">
        <x:f>IF(INDEX('Curtain Input'!$A$3:$A$42,INT((ROW()-3)/4)+1)="","",CHOOSE(MOD(ROW()-3,4)+1,250,200,350,300))</x:f>
      </x:c>
      <x:c r="K75" s="100" t="str">
        <x:f>IF(INDEX('Curtain Input'!$A$3:$A$42,INT((ROW()-3)/4)+1)="","",IF(MOD(ROW()-3,4)+1=2,"Guide split parts from Curtain Input",""))</x:f>
      </x:c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  <x:c r="AA75" s="101"/>
      <x:c r="AB75" s="101"/>
      <x:c r="AC75" s="101"/>
      <x:c r="AD75" s="101"/>
      <x:c r="AE75" s="101"/>
    </x:row>
    <x:row r="76">
      <x:c r="A7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76" s="100" t="str">
        <x:f>IF(INDEX('Curtain Input'!$A$3:$A$42,INT((ROW()-3)/4)+1)="","",INDEX('Curtain Input'!$AD$3:$AD$42,INT((ROW()-3)/4)+1))</x:f>
      </x:c>
      <x:c r="C76" s="100" t="str">
        <x:f>IF(INDEX('Curtain Input'!$A$3:$A$42,INT((ROW()-3)/4)+1)="","",INDEX('Curtain Input'!$A$3:$A$42,INT((ROW()-3)/4)+1))</x:f>
      </x:c>
      <x:c r="D76" s="100" t="str">
        <x:f>IF(INDEX('Curtain Input'!$A$3:$A$42,INT((ROW()-3)/4)+1)="","",CHOOSE(MOD(ROW()-3,4)+1,"Headbox front/back sections","Side guide pair","Barrel/curtain/bottom rail assembly","Control panel/endplate box"))</x:f>
      </x:c>
      <x:c r="E76" s="100" t="str">
        <x:f>IF(INDEX('Curtain Input'!$A$3:$A$42,INT((ROW()-3)/4)+1)="","",CHOOSE(MOD(ROW()-3,4)+1,2,2*INDEX('Curtain Input'!$J$3:$J$42,INT((ROW()-3)/4)+1),1,1))</x:f>
      </x:c>
      <x:c r="F7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7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7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76" s="124" t="str">
        <x:f>IF(INDEX('Curtain Input'!$A$3:$A$42,INT((ROW()-3)/4)+1)="","",CHOOSE(MOD(ROW()-3,4)+1,300,250,500,400))</x:f>
      </x:c>
      <x:c r="J76" s="124" t="str">
        <x:f>IF(INDEX('Curtain Input'!$A$3:$A$42,INT((ROW()-3)/4)+1)="","",CHOOSE(MOD(ROW()-3,4)+1,250,200,350,300))</x:f>
      </x:c>
      <x:c r="K76" s="100" t="str">
        <x:f>IF(INDEX('Curtain Input'!$A$3:$A$42,INT((ROW()-3)/4)+1)="","",IF(MOD(ROW()-3,4)+1=2,"Guide split parts from Curtain Input",""))</x:f>
      </x:c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  <x:c r="AA76" s="101"/>
      <x:c r="AB76" s="101"/>
      <x:c r="AC76" s="101"/>
      <x:c r="AD76" s="101"/>
      <x:c r="AE76" s="101"/>
    </x:row>
    <x:row r="77">
      <x:c r="A7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77" s="100" t="str">
        <x:f>IF(INDEX('Curtain Input'!$A$3:$A$42,INT((ROW()-3)/4)+1)="","",INDEX('Curtain Input'!$AD$3:$AD$42,INT((ROW()-3)/4)+1))</x:f>
      </x:c>
      <x:c r="C77" s="100" t="str">
        <x:f>IF(INDEX('Curtain Input'!$A$3:$A$42,INT((ROW()-3)/4)+1)="","",INDEX('Curtain Input'!$A$3:$A$42,INT((ROW()-3)/4)+1))</x:f>
      </x:c>
      <x:c r="D77" s="100" t="str">
        <x:f>IF(INDEX('Curtain Input'!$A$3:$A$42,INT((ROW()-3)/4)+1)="","",CHOOSE(MOD(ROW()-3,4)+1,"Headbox front/back sections","Side guide pair","Barrel/curtain/bottom rail assembly","Control panel/endplate box"))</x:f>
      </x:c>
      <x:c r="E77" s="100" t="str">
        <x:f>IF(INDEX('Curtain Input'!$A$3:$A$42,INT((ROW()-3)/4)+1)="","",CHOOSE(MOD(ROW()-3,4)+1,2,2*INDEX('Curtain Input'!$J$3:$J$42,INT((ROW()-3)/4)+1),1,1))</x:f>
      </x:c>
      <x:c r="F7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7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7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77" s="124" t="str">
        <x:f>IF(INDEX('Curtain Input'!$A$3:$A$42,INT((ROW()-3)/4)+1)="","",CHOOSE(MOD(ROW()-3,4)+1,300,250,500,400))</x:f>
      </x:c>
      <x:c r="J77" s="124" t="str">
        <x:f>IF(INDEX('Curtain Input'!$A$3:$A$42,INT((ROW()-3)/4)+1)="","",CHOOSE(MOD(ROW()-3,4)+1,250,200,350,300))</x:f>
      </x:c>
      <x:c r="K77" s="100" t="str">
        <x:f>IF(INDEX('Curtain Input'!$A$3:$A$42,INT((ROW()-3)/4)+1)="","",IF(MOD(ROW()-3,4)+1=2,"Guide split parts from Curtain Input",""))</x:f>
      </x:c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  <x:c r="AA77" s="101"/>
      <x:c r="AB77" s="101"/>
      <x:c r="AC77" s="101"/>
      <x:c r="AD77" s="101"/>
      <x:c r="AE77" s="101"/>
    </x:row>
    <x:row r="78">
      <x:c r="A7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78" s="100" t="str">
        <x:f>IF(INDEX('Curtain Input'!$A$3:$A$42,INT((ROW()-3)/4)+1)="","",INDEX('Curtain Input'!$AD$3:$AD$42,INT((ROW()-3)/4)+1))</x:f>
      </x:c>
      <x:c r="C78" s="100" t="str">
        <x:f>IF(INDEX('Curtain Input'!$A$3:$A$42,INT((ROW()-3)/4)+1)="","",INDEX('Curtain Input'!$A$3:$A$42,INT((ROW()-3)/4)+1))</x:f>
      </x:c>
      <x:c r="D78" s="100" t="str">
        <x:f>IF(INDEX('Curtain Input'!$A$3:$A$42,INT((ROW()-3)/4)+1)="","",CHOOSE(MOD(ROW()-3,4)+1,"Headbox front/back sections","Side guide pair","Barrel/curtain/bottom rail assembly","Control panel/endplate box"))</x:f>
      </x:c>
      <x:c r="E78" s="100" t="str">
        <x:f>IF(INDEX('Curtain Input'!$A$3:$A$42,INT((ROW()-3)/4)+1)="","",CHOOSE(MOD(ROW()-3,4)+1,2,2*INDEX('Curtain Input'!$J$3:$J$42,INT((ROW()-3)/4)+1),1,1))</x:f>
      </x:c>
      <x:c r="F7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7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7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78" s="124" t="str">
        <x:f>IF(INDEX('Curtain Input'!$A$3:$A$42,INT((ROW()-3)/4)+1)="","",CHOOSE(MOD(ROW()-3,4)+1,300,250,500,400))</x:f>
      </x:c>
      <x:c r="J78" s="124" t="str">
        <x:f>IF(INDEX('Curtain Input'!$A$3:$A$42,INT((ROW()-3)/4)+1)="","",CHOOSE(MOD(ROW()-3,4)+1,250,200,350,300))</x:f>
      </x:c>
      <x:c r="K78" s="100" t="str">
        <x:f>IF(INDEX('Curtain Input'!$A$3:$A$42,INT((ROW()-3)/4)+1)="","",IF(MOD(ROW()-3,4)+1=2,"Guide split parts from Curtain Input",""))</x:f>
      </x:c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  <x:c r="AA78" s="101"/>
      <x:c r="AB78" s="101"/>
      <x:c r="AC78" s="101"/>
      <x:c r="AD78" s="101"/>
      <x:c r="AE78" s="101"/>
    </x:row>
    <x:row r="79">
      <x:c r="A7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79" s="100" t="str">
        <x:f>IF(INDEX('Curtain Input'!$A$3:$A$42,INT((ROW()-3)/4)+1)="","",INDEX('Curtain Input'!$AD$3:$AD$42,INT((ROW()-3)/4)+1))</x:f>
      </x:c>
      <x:c r="C79" s="100" t="str">
        <x:f>IF(INDEX('Curtain Input'!$A$3:$A$42,INT((ROW()-3)/4)+1)="","",INDEX('Curtain Input'!$A$3:$A$42,INT((ROW()-3)/4)+1))</x:f>
      </x:c>
      <x:c r="D79" s="100" t="str">
        <x:f>IF(INDEX('Curtain Input'!$A$3:$A$42,INT((ROW()-3)/4)+1)="","",CHOOSE(MOD(ROW()-3,4)+1,"Headbox front/back sections","Side guide pair","Barrel/curtain/bottom rail assembly","Control panel/endplate box"))</x:f>
      </x:c>
      <x:c r="E79" s="100" t="str">
        <x:f>IF(INDEX('Curtain Input'!$A$3:$A$42,INT((ROW()-3)/4)+1)="","",CHOOSE(MOD(ROW()-3,4)+1,2,2*INDEX('Curtain Input'!$J$3:$J$42,INT((ROW()-3)/4)+1),1,1))</x:f>
      </x:c>
      <x:c r="F7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7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7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79" s="124" t="str">
        <x:f>IF(INDEX('Curtain Input'!$A$3:$A$42,INT((ROW()-3)/4)+1)="","",CHOOSE(MOD(ROW()-3,4)+1,300,250,500,400))</x:f>
      </x:c>
      <x:c r="J79" s="124" t="str">
        <x:f>IF(INDEX('Curtain Input'!$A$3:$A$42,INT((ROW()-3)/4)+1)="","",CHOOSE(MOD(ROW()-3,4)+1,250,200,350,300))</x:f>
      </x:c>
      <x:c r="K79" s="100" t="str">
        <x:f>IF(INDEX('Curtain Input'!$A$3:$A$42,INT((ROW()-3)/4)+1)="","",IF(MOD(ROW()-3,4)+1=2,"Guide split parts from Curtain Input",""))</x:f>
      </x:c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  <x:c r="AA79" s="101"/>
      <x:c r="AB79" s="101"/>
      <x:c r="AC79" s="101"/>
      <x:c r="AD79" s="101"/>
      <x:c r="AE79" s="101"/>
    </x:row>
    <x:row r="80">
      <x:c r="A8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80" s="100" t="str">
        <x:f>IF(INDEX('Curtain Input'!$A$3:$A$42,INT((ROW()-3)/4)+1)="","",INDEX('Curtain Input'!$AD$3:$AD$42,INT((ROW()-3)/4)+1))</x:f>
      </x:c>
      <x:c r="C80" s="100" t="str">
        <x:f>IF(INDEX('Curtain Input'!$A$3:$A$42,INT((ROW()-3)/4)+1)="","",INDEX('Curtain Input'!$A$3:$A$42,INT((ROW()-3)/4)+1))</x:f>
      </x:c>
      <x:c r="D80" s="100" t="str">
        <x:f>IF(INDEX('Curtain Input'!$A$3:$A$42,INT((ROW()-3)/4)+1)="","",CHOOSE(MOD(ROW()-3,4)+1,"Headbox front/back sections","Side guide pair","Barrel/curtain/bottom rail assembly","Control panel/endplate box"))</x:f>
      </x:c>
      <x:c r="E80" s="100" t="str">
        <x:f>IF(INDEX('Curtain Input'!$A$3:$A$42,INT((ROW()-3)/4)+1)="","",CHOOSE(MOD(ROW()-3,4)+1,2,2*INDEX('Curtain Input'!$J$3:$J$42,INT((ROW()-3)/4)+1),1,1))</x:f>
      </x:c>
      <x:c r="F8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8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8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80" s="124" t="str">
        <x:f>IF(INDEX('Curtain Input'!$A$3:$A$42,INT((ROW()-3)/4)+1)="","",CHOOSE(MOD(ROW()-3,4)+1,300,250,500,400))</x:f>
      </x:c>
      <x:c r="J80" s="124" t="str">
        <x:f>IF(INDEX('Curtain Input'!$A$3:$A$42,INT((ROW()-3)/4)+1)="","",CHOOSE(MOD(ROW()-3,4)+1,250,200,350,300))</x:f>
      </x:c>
      <x:c r="K80" s="100" t="str">
        <x:f>IF(INDEX('Curtain Input'!$A$3:$A$42,INT((ROW()-3)/4)+1)="","",IF(MOD(ROW()-3,4)+1=2,"Guide split parts from Curtain Input",""))</x:f>
      </x:c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  <x:c r="AA80" s="101"/>
      <x:c r="AB80" s="101"/>
      <x:c r="AC80" s="101"/>
      <x:c r="AD80" s="101"/>
      <x:c r="AE80" s="101"/>
    </x:row>
    <x:row r="81">
      <x:c r="A8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81" s="100" t="str">
        <x:f>IF(INDEX('Curtain Input'!$A$3:$A$42,INT((ROW()-3)/4)+1)="","",INDEX('Curtain Input'!$AD$3:$AD$42,INT((ROW()-3)/4)+1))</x:f>
      </x:c>
      <x:c r="C81" s="100" t="str">
        <x:f>IF(INDEX('Curtain Input'!$A$3:$A$42,INT((ROW()-3)/4)+1)="","",INDEX('Curtain Input'!$A$3:$A$42,INT((ROW()-3)/4)+1))</x:f>
      </x:c>
      <x:c r="D81" s="100" t="str">
        <x:f>IF(INDEX('Curtain Input'!$A$3:$A$42,INT((ROW()-3)/4)+1)="","",CHOOSE(MOD(ROW()-3,4)+1,"Headbox front/back sections","Side guide pair","Barrel/curtain/bottom rail assembly","Control panel/endplate box"))</x:f>
      </x:c>
      <x:c r="E81" s="100" t="str">
        <x:f>IF(INDEX('Curtain Input'!$A$3:$A$42,INT((ROW()-3)/4)+1)="","",CHOOSE(MOD(ROW()-3,4)+1,2,2*INDEX('Curtain Input'!$J$3:$J$42,INT((ROW()-3)/4)+1),1,1))</x:f>
      </x:c>
      <x:c r="F8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8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8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81" s="124" t="str">
        <x:f>IF(INDEX('Curtain Input'!$A$3:$A$42,INT((ROW()-3)/4)+1)="","",CHOOSE(MOD(ROW()-3,4)+1,300,250,500,400))</x:f>
      </x:c>
      <x:c r="J81" s="124" t="str">
        <x:f>IF(INDEX('Curtain Input'!$A$3:$A$42,INT((ROW()-3)/4)+1)="","",CHOOSE(MOD(ROW()-3,4)+1,250,200,350,300))</x:f>
      </x:c>
      <x:c r="K81" s="100" t="str">
        <x:f>IF(INDEX('Curtain Input'!$A$3:$A$42,INT((ROW()-3)/4)+1)="","",IF(MOD(ROW()-3,4)+1=2,"Guide split parts from Curtain Input",""))</x:f>
      </x:c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  <x:c r="AA81" s="101"/>
      <x:c r="AB81" s="101"/>
      <x:c r="AC81" s="101"/>
      <x:c r="AD81" s="101"/>
      <x:c r="AE81" s="101"/>
    </x:row>
    <x:row r="82">
      <x:c r="A8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82" s="100" t="str">
        <x:f>IF(INDEX('Curtain Input'!$A$3:$A$42,INT((ROW()-3)/4)+1)="","",INDEX('Curtain Input'!$AD$3:$AD$42,INT((ROW()-3)/4)+1))</x:f>
      </x:c>
      <x:c r="C82" s="100" t="str">
        <x:f>IF(INDEX('Curtain Input'!$A$3:$A$42,INT((ROW()-3)/4)+1)="","",INDEX('Curtain Input'!$A$3:$A$42,INT((ROW()-3)/4)+1))</x:f>
      </x:c>
      <x:c r="D82" s="100" t="str">
        <x:f>IF(INDEX('Curtain Input'!$A$3:$A$42,INT((ROW()-3)/4)+1)="","",CHOOSE(MOD(ROW()-3,4)+1,"Headbox front/back sections","Side guide pair","Barrel/curtain/bottom rail assembly","Control panel/endplate box"))</x:f>
      </x:c>
      <x:c r="E82" s="100" t="str">
        <x:f>IF(INDEX('Curtain Input'!$A$3:$A$42,INT((ROW()-3)/4)+1)="","",CHOOSE(MOD(ROW()-3,4)+1,2,2*INDEX('Curtain Input'!$J$3:$J$42,INT((ROW()-3)/4)+1),1,1))</x:f>
      </x:c>
      <x:c r="F8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8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8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82" s="124" t="str">
        <x:f>IF(INDEX('Curtain Input'!$A$3:$A$42,INT((ROW()-3)/4)+1)="","",CHOOSE(MOD(ROW()-3,4)+1,300,250,500,400))</x:f>
      </x:c>
      <x:c r="J82" s="124" t="str">
        <x:f>IF(INDEX('Curtain Input'!$A$3:$A$42,INT((ROW()-3)/4)+1)="","",CHOOSE(MOD(ROW()-3,4)+1,250,200,350,300))</x:f>
      </x:c>
      <x:c r="K82" s="100" t="str">
        <x:f>IF(INDEX('Curtain Input'!$A$3:$A$42,INT((ROW()-3)/4)+1)="","",IF(MOD(ROW()-3,4)+1=2,"Guide split parts from Curtain Input",""))</x:f>
      </x:c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  <x:c r="AA82" s="101"/>
      <x:c r="AB82" s="101"/>
      <x:c r="AC82" s="101"/>
      <x:c r="AD82" s="101"/>
      <x:c r="AE82" s="101"/>
    </x:row>
    <x:row r="83">
      <x:c r="A8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83" s="100" t="str">
        <x:f>IF(INDEX('Curtain Input'!$A$3:$A$42,INT((ROW()-3)/4)+1)="","",INDEX('Curtain Input'!$AD$3:$AD$42,INT((ROW()-3)/4)+1))</x:f>
      </x:c>
      <x:c r="C83" s="100" t="str">
        <x:f>IF(INDEX('Curtain Input'!$A$3:$A$42,INT((ROW()-3)/4)+1)="","",INDEX('Curtain Input'!$A$3:$A$42,INT((ROW()-3)/4)+1))</x:f>
      </x:c>
      <x:c r="D83" s="100" t="str">
        <x:f>IF(INDEX('Curtain Input'!$A$3:$A$42,INT((ROW()-3)/4)+1)="","",CHOOSE(MOD(ROW()-3,4)+1,"Headbox front/back sections","Side guide pair","Barrel/curtain/bottom rail assembly","Control panel/endplate box"))</x:f>
      </x:c>
      <x:c r="E83" s="100" t="str">
        <x:f>IF(INDEX('Curtain Input'!$A$3:$A$42,INT((ROW()-3)/4)+1)="","",CHOOSE(MOD(ROW()-3,4)+1,2,2*INDEX('Curtain Input'!$J$3:$J$42,INT((ROW()-3)/4)+1),1,1))</x:f>
      </x:c>
      <x:c r="F8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8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8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83" s="124" t="str">
        <x:f>IF(INDEX('Curtain Input'!$A$3:$A$42,INT((ROW()-3)/4)+1)="","",CHOOSE(MOD(ROW()-3,4)+1,300,250,500,400))</x:f>
      </x:c>
      <x:c r="J83" s="124" t="str">
        <x:f>IF(INDEX('Curtain Input'!$A$3:$A$42,INT((ROW()-3)/4)+1)="","",CHOOSE(MOD(ROW()-3,4)+1,250,200,350,300))</x:f>
      </x:c>
      <x:c r="K83" s="100" t="str">
        <x:f>IF(INDEX('Curtain Input'!$A$3:$A$42,INT((ROW()-3)/4)+1)="","",IF(MOD(ROW()-3,4)+1=2,"Guide split parts from Curtain Input",""))</x:f>
      </x:c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  <x:c r="AA83" s="101"/>
      <x:c r="AB83" s="101"/>
      <x:c r="AC83" s="101"/>
      <x:c r="AD83" s="101"/>
      <x:c r="AE83" s="101"/>
    </x:row>
    <x:row r="84">
      <x:c r="A8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84" s="100" t="str">
        <x:f>IF(INDEX('Curtain Input'!$A$3:$A$42,INT((ROW()-3)/4)+1)="","",INDEX('Curtain Input'!$AD$3:$AD$42,INT((ROW()-3)/4)+1))</x:f>
      </x:c>
      <x:c r="C84" s="100" t="str">
        <x:f>IF(INDEX('Curtain Input'!$A$3:$A$42,INT((ROW()-3)/4)+1)="","",INDEX('Curtain Input'!$A$3:$A$42,INT((ROW()-3)/4)+1))</x:f>
      </x:c>
      <x:c r="D84" s="100" t="str">
        <x:f>IF(INDEX('Curtain Input'!$A$3:$A$42,INT((ROW()-3)/4)+1)="","",CHOOSE(MOD(ROW()-3,4)+1,"Headbox front/back sections","Side guide pair","Barrel/curtain/bottom rail assembly","Control panel/endplate box"))</x:f>
      </x:c>
      <x:c r="E84" s="100" t="str">
        <x:f>IF(INDEX('Curtain Input'!$A$3:$A$42,INT((ROW()-3)/4)+1)="","",CHOOSE(MOD(ROW()-3,4)+1,2,2*INDEX('Curtain Input'!$J$3:$J$42,INT((ROW()-3)/4)+1),1,1))</x:f>
      </x:c>
      <x:c r="F8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8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8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84" s="124" t="str">
        <x:f>IF(INDEX('Curtain Input'!$A$3:$A$42,INT((ROW()-3)/4)+1)="","",CHOOSE(MOD(ROW()-3,4)+1,300,250,500,400))</x:f>
      </x:c>
      <x:c r="J84" s="124" t="str">
        <x:f>IF(INDEX('Curtain Input'!$A$3:$A$42,INT((ROW()-3)/4)+1)="","",CHOOSE(MOD(ROW()-3,4)+1,250,200,350,300))</x:f>
      </x:c>
      <x:c r="K84" s="100" t="str">
        <x:f>IF(INDEX('Curtain Input'!$A$3:$A$42,INT((ROW()-3)/4)+1)="","",IF(MOD(ROW()-3,4)+1=2,"Guide split parts from Curtain Input",""))</x:f>
      </x:c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  <x:c r="AA84" s="101"/>
      <x:c r="AB84" s="101"/>
      <x:c r="AC84" s="101"/>
      <x:c r="AD84" s="101"/>
      <x:c r="AE84" s="101"/>
    </x:row>
    <x:row r="85">
      <x:c r="A8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85" s="100" t="str">
        <x:f>IF(INDEX('Curtain Input'!$A$3:$A$42,INT((ROW()-3)/4)+1)="","",INDEX('Curtain Input'!$AD$3:$AD$42,INT((ROW()-3)/4)+1))</x:f>
      </x:c>
      <x:c r="C85" s="100" t="str">
        <x:f>IF(INDEX('Curtain Input'!$A$3:$A$42,INT((ROW()-3)/4)+1)="","",INDEX('Curtain Input'!$A$3:$A$42,INT((ROW()-3)/4)+1))</x:f>
      </x:c>
      <x:c r="D85" s="100" t="str">
        <x:f>IF(INDEX('Curtain Input'!$A$3:$A$42,INT((ROW()-3)/4)+1)="","",CHOOSE(MOD(ROW()-3,4)+1,"Headbox front/back sections","Side guide pair","Barrel/curtain/bottom rail assembly","Control panel/endplate box"))</x:f>
      </x:c>
      <x:c r="E85" s="100" t="str">
        <x:f>IF(INDEX('Curtain Input'!$A$3:$A$42,INT((ROW()-3)/4)+1)="","",CHOOSE(MOD(ROW()-3,4)+1,2,2*INDEX('Curtain Input'!$J$3:$J$42,INT((ROW()-3)/4)+1),1,1))</x:f>
      </x:c>
      <x:c r="F8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8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8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85" s="124" t="str">
        <x:f>IF(INDEX('Curtain Input'!$A$3:$A$42,INT((ROW()-3)/4)+1)="","",CHOOSE(MOD(ROW()-3,4)+1,300,250,500,400))</x:f>
      </x:c>
      <x:c r="J85" s="124" t="str">
        <x:f>IF(INDEX('Curtain Input'!$A$3:$A$42,INT((ROW()-3)/4)+1)="","",CHOOSE(MOD(ROW()-3,4)+1,250,200,350,300))</x:f>
      </x:c>
      <x:c r="K85" s="100" t="str">
        <x:f>IF(INDEX('Curtain Input'!$A$3:$A$42,INT((ROW()-3)/4)+1)="","",IF(MOD(ROW()-3,4)+1=2,"Guide split parts from Curtain Input",""))</x:f>
      </x:c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  <x:c r="AA85" s="101"/>
      <x:c r="AB85" s="101"/>
      <x:c r="AC85" s="101"/>
      <x:c r="AD85" s="101"/>
      <x:c r="AE85" s="101"/>
    </x:row>
    <x:row r="86">
      <x:c r="A8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86" s="100" t="str">
        <x:f>IF(INDEX('Curtain Input'!$A$3:$A$42,INT((ROW()-3)/4)+1)="","",INDEX('Curtain Input'!$AD$3:$AD$42,INT((ROW()-3)/4)+1))</x:f>
      </x:c>
      <x:c r="C86" s="100" t="str">
        <x:f>IF(INDEX('Curtain Input'!$A$3:$A$42,INT((ROW()-3)/4)+1)="","",INDEX('Curtain Input'!$A$3:$A$42,INT((ROW()-3)/4)+1))</x:f>
      </x:c>
      <x:c r="D86" s="100" t="str">
        <x:f>IF(INDEX('Curtain Input'!$A$3:$A$42,INT((ROW()-3)/4)+1)="","",CHOOSE(MOD(ROW()-3,4)+1,"Headbox front/back sections","Side guide pair","Barrel/curtain/bottom rail assembly","Control panel/endplate box"))</x:f>
      </x:c>
      <x:c r="E86" s="100" t="str">
        <x:f>IF(INDEX('Curtain Input'!$A$3:$A$42,INT((ROW()-3)/4)+1)="","",CHOOSE(MOD(ROW()-3,4)+1,2,2*INDEX('Curtain Input'!$J$3:$J$42,INT((ROW()-3)/4)+1),1,1))</x:f>
      </x:c>
      <x:c r="F8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8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8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86" s="124" t="str">
        <x:f>IF(INDEX('Curtain Input'!$A$3:$A$42,INT((ROW()-3)/4)+1)="","",CHOOSE(MOD(ROW()-3,4)+1,300,250,500,400))</x:f>
      </x:c>
      <x:c r="J86" s="124" t="str">
        <x:f>IF(INDEX('Curtain Input'!$A$3:$A$42,INT((ROW()-3)/4)+1)="","",CHOOSE(MOD(ROW()-3,4)+1,250,200,350,300))</x:f>
      </x:c>
      <x:c r="K86" s="100" t="str">
        <x:f>IF(INDEX('Curtain Input'!$A$3:$A$42,INT((ROW()-3)/4)+1)="","",IF(MOD(ROW()-3,4)+1=2,"Guide split parts from Curtain Input",""))</x:f>
      </x:c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  <x:c r="AA86" s="101"/>
      <x:c r="AB86" s="101"/>
      <x:c r="AC86" s="101"/>
      <x:c r="AD86" s="101"/>
      <x:c r="AE86" s="101"/>
    </x:row>
    <x:row r="87">
      <x:c r="A8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87" s="100" t="str">
        <x:f>IF(INDEX('Curtain Input'!$A$3:$A$42,INT((ROW()-3)/4)+1)="","",INDEX('Curtain Input'!$AD$3:$AD$42,INT((ROW()-3)/4)+1))</x:f>
      </x:c>
      <x:c r="C87" s="100" t="str">
        <x:f>IF(INDEX('Curtain Input'!$A$3:$A$42,INT((ROW()-3)/4)+1)="","",INDEX('Curtain Input'!$A$3:$A$42,INT((ROW()-3)/4)+1))</x:f>
      </x:c>
      <x:c r="D87" s="100" t="str">
        <x:f>IF(INDEX('Curtain Input'!$A$3:$A$42,INT((ROW()-3)/4)+1)="","",CHOOSE(MOD(ROW()-3,4)+1,"Headbox front/back sections","Side guide pair","Barrel/curtain/bottom rail assembly","Control panel/endplate box"))</x:f>
      </x:c>
      <x:c r="E87" s="100" t="str">
        <x:f>IF(INDEX('Curtain Input'!$A$3:$A$42,INT((ROW()-3)/4)+1)="","",CHOOSE(MOD(ROW()-3,4)+1,2,2*INDEX('Curtain Input'!$J$3:$J$42,INT((ROW()-3)/4)+1),1,1))</x:f>
      </x:c>
      <x:c r="F8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8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8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87" s="124" t="str">
        <x:f>IF(INDEX('Curtain Input'!$A$3:$A$42,INT((ROW()-3)/4)+1)="","",CHOOSE(MOD(ROW()-3,4)+1,300,250,500,400))</x:f>
      </x:c>
      <x:c r="J87" s="124" t="str">
        <x:f>IF(INDEX('Curtain Input'!$A$3:$A$42,INT((ROW()-3)/4)+1)="","",CHOOSE(MOD(ROW()-3,4)+1,250,200,350,300))</x:f>
      </x:c>
      <x:c r="K87" s="100" t="str">
        <x:f>IF(INDEX('Curtain Input'!$A$3:$A$42,INT((ROW()-3)/4)+1)="","",IF(MOD(ROW()-3,4)+1=2,"Guide split parts from Curtain Input",""))</x:f>
      </x:c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  <x:c r="AA87" s="101"/>
      <x:c r="AB87" s="101"/>
      <x:c r="AC87" s="101"/>
      <x:c r="AD87" s="101"/>
      <x:c r="AE87" s="101"/>
    </x:row>
    <x:row r="88">
      <x:c r="A8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88" s="100" t="str">
        <x:f>IF(INDEX('Curtain Input'!$A$3:$A$42,INT((ROW()-3)/4)+1)="","",INDEX('Curtain Input'!$AD$3:$AD$42,INT((ROW()-3)/4)+1))</x:f>
      </x:c>
      <x:c r="C88" s="100" t="str">
        <x:f>IF(INDEX('Curtain Input'!$A$3:$A$42,INT((ROW()-3)/4)+1)="","",INDEX('Curtain Input'!$A$3:$A$42,INT((ROW()-3)/4)+1))</x:f>
      </x:c>
      <x:c r="D88" s="100" t="str">
        <x:f>IF(INDEX('Curtain Input'!$A$3:$A$42,INT((ROW()-3)/4)+1)="","",CHOOSE(MOD(ROW()-3,4)+1,"Headbox front/back sections","Side guide pair","Barrel/curtain/bottom rail assembly","Control panel/endplate box"))</x:f>
      </x:c>
      <x:c r="E88" s="100" t="str">
        <x:f>IF(INDEX('Curtain Input'!$A$3:$A$42,INT((ROW()-3)/4)+1)="","",CHOOSE(MOD(ROW()-3,4)+1,2,2*INDEX('Curtain Input'!$J$3:$J$42,INT((ROW()-3)/4)+1),1,1))</x:f>
      </x:c>
      <x:c r="F8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8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8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88" s="124" t="str">
        <x:f>IF(INDEX('Curtain Input'!$A$3:$A$42,INT((ROW()-3)/4)+1)="","",CHOOSE(MOD(ROW()-3,4)+1,300,250,500,400))</x:f>
      </x:c>
      <x:c r="J88" s="124" t="str">
        <x:f>IF(INDEX('Curtain Input'!$A$3:$A$42,INT((ROW()-3)/4)+1)="","",CHOOSE(MOD(ROW()-3,4)+1,250,200,350,300))</x:f>
      </x:c>
      <x:c r="K88" s="100" t="str">
        <x:f>IF(INDEX('Curtain Input'!$A$3:$A$42,INT((ROW()-3)/4)+1)="","",IF(MOD(ROW()-3,4)+1=2,"Guide split parts from Curtain Input",""))</x:f>
      </x:c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  <x:c r="AA88" s="101"/>
      <x:c r="AB88" s="101"/>
      <x:c r="AC88" s="101"/>
      <x:c r="AD88" s="101"/>
      <x:c r="AE88" s="101"/>
    </x:row>
    <x:row r="89">
      <x:c r="A8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89" s="100" t="str">
        <x:f>IF(INDEX('Curtain Input'!$A$3:$A$42,INT((ROW()-3)/4)+1)="","",INDEX('Curtain Input'!$AD$3:$AD$42,INT((ROW()-3)/4)+1))</x:f>
      </x:c>
      <x:c r="C89" s="100" t="str">
        <x:f>IF(INDEX('Curtain Input'!$A$3:$A$42,INT((ROW()-3)/4)+1)="","",INDEX('Curtain Input'!$A$3:$A$42,INT((ROW()-3)/4)+1))</x:f>
      </x:c>
      <x:c r="D89" s="100" t="str">
        <x:f>IF(INDEX('Curtain Input'!$A$3:$A$42,INT((ROW()-3)/4)+1)="","",CHOOSE(MOD(ROW()-3,4)+1,"Headbox front/back sections","Side guide pair","Barrel/curtain/bottom rail assembly","Control panel/endplate box"))</x:f>
      </x:c>
      <x:c r="E89" s="100" t="str">
        <x:f>IF(INDEX('Curtain Input'!$A$3:$A$42,INT((ROW()-3)/4)+1)="","",CHOOSE(MOD(ROW()-3,4)+1,2,2*INDEX('Curtain Input'!$J$3:$J$42,INT((ROW()-3)/4)+1),1,1))</x:f>
      </x:c>
      <x:c r="F8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8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8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89" s="124" t="str">
        <x:f>IF(INDEX('Curtain Input'!$A$3:$A$42,INT((ROW()-3)/4)+1)="","",CHOOSE(MOD(ROW()-3,4)+1,300,250,500,400))</x:f>
      </x:c>
      <x:c r="J89" s="124" t="str">
        <x:f>IF(INDEX('Curtain Input'!$A$3:$A$42,INT((ROW()-3)/4)+1)="","",CHOOSE(MOD(ROW()-3,4)+1,250,200,350,300))</x:f>
      </x:c>
      <x:c r="K89" s="100" t="str">
        <x:f>IF(INDEX('Curtain Input'!$A$3:$A$42,INT((ROW()-3)/4)+1)="","",IF(MOD(ROW()-3,4)+1=2,"Guide split parts from Curtain Input",""))</x:f>
      </x:c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  <x:c r="AA89" s="101"/>
      <x:c r="AB89" s="101"/>
      <x:c r="AC89" s="101"/>
      <x:c r="AD89" s="101"/>
      <x:c r="AE89" s="101"/>
    </x:row>
    <x:row r="90">
      <x:c r="A9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90" s="100" t="str">
        <x:f>IF(INDEX('Curtain Input'!$A$3:$A$42,INT((ROW()-3)/4)+1)="","",INDEX('Curtain Input'!$AD$3:$AD$42,INT((ROW()-3)/4)+1))</x:f>
      </x:c>
      <x:c r="C90" s="100" t="str">
        <x:f>IF(INDEX('Curtain Input'!$A$3:$A$42,INT((ROW()-3)/4)+1)="","",INDEX('Curtain Input'!$A$3:$A$42,INT((ROW()-3)/4)+1))</x:f>
      </x:c>
      <x:c r="D90" s="100" t="str">
        <x:f>IF(INDEX('Curtain Input'!$A$3:$A$42,INT((ROW()-3)/4)+1)="","",CHOOSE(MOD(ROW()-3,4)+1,"Headbox front/back sections","Side guide pair","Barrel/curtain/bottom rail assembly","Control panel/endplate box"))</x:f>
      </x:c>
      <x:c r="E90" s="100" t="str">
        <x:f>IF(INDEX('Curtain Input'!$A$3:$A$42,INT((ROW()-3)/4)+1)="","",CHOOSE(MOD(ROW()-3,4)+1,2,2*INDEX('Curtain Input'!$J$3:$J$42,INT((ROW()-3)/4)+1),1,1))</x:f>
      </x:c>
      <x:c r="F9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9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9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90" s="124" t="str">
        <x:f>IF(INDEX('Curtain Input'!$A$3:$A$42,INT((ROW()-3)/4)+1)="","",CHOOSE(MOD(ROW()-3,4)+1,300,250,500,400))</x:f>
      </x:c>
      <x:c r="J90" s="124" t="str">
        <x:f>IF(INDEX('Curtain Input'!$A$3:$A$42,INT((ROW()-3)/4)+1)="","",CHOOSE(MOD(ROW()-3,4)+1,250,200,350,300))</x:f>
      </x:c>
      <x:c r="K90" s="100" t="str">
        <x:f>IF(INDEX('Curtain Input'!$A$3:$A$42,INT((ROW()-3)/4)+1)="","",IF(MOD(ROW()-3,4)+1=2,"Guide split parts from Curtain Input",""))</x:f>
      </x:c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  <x:c r="AA90" s="101"/>
      <x:c r="AB90" s="101"/>
      <x:c r="AC90" s="101"/>
      <x:c r="AD90" s="101"/>
      <x:c r="AE90" s="101"/>
    </x:row>
    <x:row r="91">
      <x:c r="A9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91" s="100" t="str">
        <x:f>IF(INDEX('Curtain Input'!$A$3:$A$42,INT((ROW()-3)/4)+1)="","",INDEX('Curtain Input'!$AD$3:$AD$42,INT((ROW()-3)/4)+1))</x:f>
      </x:c>
      <x:c r="C91" s="100" t="str">
        <x:f>IF(INDEX('Curtain Input'!$A$3:$A$42,INT((ROW()-3)/4)+1)="","",INDEX('Curtain Input'!$A$3:$A$42,INT((ROW()-3)/4)+1))</x:f>
      </x:c>
      <x:c r="D91" s="100" t="str">
        <x:f>IF(INDEX('Curtain Input'!$A$3:$A$42,INT((ROW()-3)/4)+1)="","",CHOOSE(MOD(ROW()-3,4)+1,"Headbox front/back sections","Side guide pair","Barrel/curtain/bottom rail assembly","Control panel/endplate box"))</x:f>
      </x:c>
      <x:c r="E91" s="100" t="str">
        <x:f>IF(INDEX('Curtain Input'!$A$3:$A$42,INT((ROW()-3)/4)+1)="","",CHOOSE(MOD(ROW()-3,4)+1,2,2*INDEX('Curtain Input'!$J$3:$J$42,INT((ROW()-3)/4)+1),1,1))</x:f>
      </x:c>
      <x:c r="F9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9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9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91" s="124" t="str">
        <x:f>IF(INDEX('Curtain Input'!$A$3:$A$42,INT((ROW()-3)/4)+1)="","",CHOOSE(MOD(ROW()-3,4)+1,300,250,500,400))</x:f>
      </x:c>
      <x:c r="J91" s="124" t="str">
        <x:f>IF(INDEX('Curtain Input'!$A$3:$A$42,INT((ROW()-3)/4)+1)="","",CHOOSE(MOD(ROW()-3,4)+1,250,200,350,300))</x:f>
      </x:c>
      <x:c r="K91" s="100" t="str">
        <x:f>IF(INDEX('Curtain Input'!$A$3:$A$42,INT((ROW()-3)/4)+1)="","",IF(MOD(ROW()-3,4)+1=2,"Guide split parts from Curtain Input",""))</x:f>
      </x:c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  <x:c r="AA91" s="101"/>
      <x:c r="AB91" s="101"/>
      <x:c r="AC91" s="101"/>
      <x:c r="AD91" s="101"/>
      <x:c r="AE91" s="101"/>
    </x:row>
    <x:row r="92">
      <x:c r="A9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92" s="100" t="str">
        <x:f>IF(INDEX('Curtain Input'!$A$3:$A$42,INT((ROW()-3)/4)+1)="","",INDEX('Curtain Input'!$AD$3:$AD$42,INT((ROW()-3)/4)+1))</x:f>
      </x:c>
      <x:c r="C92" s="100" t="str">
        <x:f>IF(INDEX('Curtain Input'!$A$3:$A$42,INT((ROW()-3)/4)+1)="","",INDEX('Curtain Input'!$A$3:$A$42,INT((ROW()-3)/4)+1))</x:f>
      </x:c>
      <x:c r="D92" s="100" t="str">
        <x:f>IF(INDEX('Curtain Input'!$A$3:$A$42,INT((ROW()-3)/4)+1)="","",CHOOSE(MOD(ROW()-3,4)+1,"Headbox front/back sections","Side guide pair","Barrel/curtain/bottom rail assembly","Control panel/endplate box"))</x:f>
      </x:c>
      <x:c r="E92" s="100" t="str">
        <x:f>IF(INDEX('Curtain Input'!$A$3:$A$42,INT((ROW()-3)/4)+1)="","",CHOOSE(MOD(ROW()-3,4)+1,2,2*INDEX('Curtain Input'!$J$3:$J$42,INT((ROW()-3)/4)+1),1,1))</x:f>
      </x:c>
      <x:c r="F9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9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9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92" s="124" t="str">
        <x:f>IF(INDEX('Curtain Input'!$A$3:$A$42,INT((ROW()-3)/4)+1)="","",CHOOSE(MOD(ROW()-3,4)+1,300,250,500,400))</x:f>
      </x:c>
      <x:c r="J92" s="124" t="str">
        <x:f>IF(INDEX('Curtain Input'!$A$3:$A$42,INT((ROW()-3)/4)+1)="","",CHOOSE(MOD(ROW()-3,4)+1,250,200,350,300))</x:f>
      </x:c>
      <x:c r="K92" s="100" t="str">
        <x:f>IF(INDEX('Curtain Input'!$A$3:$A$42,INT((ROW()-3)/4)+1)="","",IF(MOD(ROW()-3,4)+1=2,"Guide split parts from Curtain Input",""))</x:f>
      </x:c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  <x:c r="AA92" s="101"/>
      <x:c r="AB92" s="101"/>
      <x:c r="AC92" s="101"/>
      <x:c r="AD92" s="101"/>
      <x:c r="AE92" s="101"/>
    </x:row>
    <x:row r="93">
      <x:c r="A9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93" s="100" t="str">
        <x:f>IF(INDEX('Curtain Input'!$A$3:$A$42,INT((ROW()-3)/4)+1)="","",INDEX('Curtain Input'!$AD$3:$AD$42,INT((ROW()-3)/4)+1))</x:f>
      </x:c>
      <x:c r="C93" s="100" t="str">
        <x:f>IF(INDEX('Curtain Input'!$A$3:$A$42,INT((ROW()-3)/4)+1)="","",INDEX('Curtain Input'!$A$3:$A$42,INT((ROW()-3)/4)+1))</x:f>
      </x:c>
      <x:c r="D93" s="100" t="str">
        <x:f>IF(INDEX('Curtain Input'!$A$3:$A$42,INT((ROW()-3)/4)+1)="","",CHOOSE(MOD(ROW()-3,4)+1,"Headbox front/back sections","Side guide pair","Barrel/curtain/bottom rail assembly","Control panel/endplate box"))</x:f>
      </x:c>
      <x:c r="E93" s="100" t="str">
        <x:f>IF(INDEX('Curtain Input'!$A$3:$A$42,INT((ROW()-3)/4)+1)="","",CHOOSE(MOD(ROW()-3,4)+1,2,2*INDEX('Curtain Input'!$J$3:$J$42,INT((ROW()-3)/4)+1),1,1))</x:f>
      </x:c>
      <x:c r="F9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9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9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93" s="124" t="str">
        <x:f>IF(INDEX('Curtain Input'!$A$3:$A$42,INT((ROW()-3)/4)+1)="","",CHOOSE(MOD(ROW()-3,4)+1,300,250,500,400))</x:f>
      </x:c>
      <x:c r="J93" s="124" t="str">
        <x:f>IF(INDEX('Curtain Input'!$A$3:$A$42,INT((ROW()-3)/4)+1)="","",CHOOSE(MOD(ROW()-3,4)+1,250,200,350,300))</x:f>
      </x:c>
      <x:c r="K93" s="100" t="str">
        <x:f>IF(INDEX('Curtain Input'!$A$3:$A$42,INT((ROW()-3)/4)+1)="","",IF(MOD(ROW()-3,4)+1=2,"Guide split parts from Curtain Input",""))</x:f>
      </x:c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  <x:c r="AA93" s="101"/>
      <x:c r="AB93" s="101"/>
      <x:c r="AC93" s="101"/>
      <x:c r="AD93" s="101"/>
      <x:c r="AE93" s="101"/>
    </x:row>
    <x:row r="94">
      <x:c r="A9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94" s="100" t="str">
        <x:f>IF(INDEX('Curtain Input'!$A$3:$A$42,INT((ROW()-3)/4)+1)="","",INDEX('Curtain Input'!$AD$3:$AD$42,INT((ROW()-3)/4)+1))</x:f>
      </x:c>
      <x:c r="C94" s="100" t="str">
        <x:f>IF(INDEX('Curtain Input'!$A$3:$A$42,INT((ROW()-3)/4)+1)="","",INDEX('Curtain Input'!$A$3:$A$42,INT((ROW()-3)/4)+1))</x:f>
      </x:c>
      <x:c r="D94" s="100" t="str">
        <x:f>IF(INDEX('Curtain Input'!$A$3:$A$42,INT((ROW()-3)/4)+1)="","",CHOOSE(MOD(ROW()-3,4)+1,"Headbox front/back sections","Side guide pair","Barrel/curtain/bottom rail assembly","Control panel/endplate box"))</x:f>
      </x:c>
      <x:c r="E94" s="100" t="str">
        <x:f>IF(INDEX('Curtain Input'!$A$3:$A$42,INT((ROW()-3)/4)+1)="","",CHOOSE(MOD(ROW()-3,4)+1,2,2*INDEX('Curtain Input'!$J$3:$J$42,INT((ROW()-3)/4)+1),1,1))</x:f>
      </x:c>
      <x:c r="F9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9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9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94" s="124" t="str">
        <x:f>IF(INDEX('Curtain Input'!$A$3:$A$42,INT((ROW()-3)/4)+1)="","",CHOOSE(MOD(ROW()-3,4)+1,300,250,500,400))</x:f>
      </x:c>
      <x:c r="J94" s="124" t="str">
        <x:f>IF(INDEX('Curtain Input'!$A$3:$A$42,INT((ROW()-3)/4)+1)="","",CHOOSE(MOD(ROW()-3,4)+1,250,200,350,300))</x:f>
      </x:c>
      <x:c r="K94" s="100" t="str">
        <x:f>IF(INDEX('Curtain Input'!$A$3:$A$42,INT((ROW()-3)/4)+1)="","",IF(MOD(ROW()-3,4)+1=2,"Guide split parts from Curtain Input",""))</x:f>
      </x:c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  <x:c r="AA94" s="101"/>
      <x:c r="AB94" s="101"/>
      <x:c r="AC94" s="101"/>
      <x:c r="AD94" s="101"/>
      <x:c r="AE94" s="101"/>
    </x:row>
    <x:row r="95">
      <x:c r="A9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95" s="100" t="str">
        <x:f>IF(INDEX('Curtain Input'!$A$3:$A$42,INT((ROW()-3)/4)+1)="","",INDEX('Curtain Input'!$AD$3:$AD$42,INT((ROW()-3)/4)+1))</x:f>
      </x:c>
      <x:c r="C95" s="100" t="str">
        <x:f>IF(INDEX('Curtain Input'!$A$3:$A$42,INT((ROW()-3)/4)+1)="","",INDEX('Curtain Input'!$A$3:$A$42,INT((ROW()-3)/4)+1))</x:f>
      </x:c>
      <x:c r="D95" s="100" t="str">
        <x:f>IF(INDEX('Curtain Input'!$A$3:$A$42,INT((ROW()-3)/4)+1)="","",CHOOSE(MOD(ROW()-3,4)+1,"Headbox front/back sections","Side guide pair","Barrel/curtain/bottom rail assembly","Control panel/endplate box"))</x:f>
      </x:c>
      <x:c r="E95" s="100" t="str">
        <x:f>IF(INDEX('Curtain Input'!$A$3:$A$42,INT((ROW()-3)/4)+1)="","",CHOOSE(MOD(ROW()-3,4)+1,2,2*INDEX('Curtain Input'!$J$3:$J$42,INT((ROW()-3)/4)+1),1,1))</x:f>
      </x:c>
      <x:c r="F9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9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9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95" s="124" t="str">
        <x:f>IF(INDEX('Curtain Input'!$A$3:$A$42,INT((ROW()-3)/4)+1)="","",CHOOSE(MOD(ROW()-3,4)+1,300,250,500,400))</x:f>
      </x:c>
      <x:c r="J95" s="124" t="str">
        <x:f>IF(INDEX('Curtain Input'!$A$3:$A$42,INT((ROW()-3)/4)+1)="","",CHOOSE(MOD(ROW()-3,4)+1,250,200,350,300))</x:f>
      </x:c>
      <x:c r="K95" s="100" t="str">
        <x:f>IF(INDEX('Curtain Input'!$A$3:$A$42,INT((ROW()-3)/4)+1)="","",IF(MOD(ROW()-3,4)+1=2,"Guide split parts from Curtain Input",""))</x:f>
      </x:c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  <x:c r="AA95" s="101"/>
      <x:c r="AB95" s="101"/>
      <x:c r="AC95" s="101"/>
      <x:c r="AD95" s="101"/>
      <x:c r="AE95" s="101"/>
    </x:row>
    <x:row r="96">
      <x:c r="A9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96" s="100" t="str">
        <x:f>IF(INDEX('Curtain Input'!$A$3:$A$42,INT((ROW()-3)/4)+1)="","",INDEX('Curtain Input'!$AD$3:$AD$42,INT((ROW()-3)/4)+1))</x:f>
      </x:c>
      <x:c r="C96" s="100" t="str">
        <x:f>IF(INDEX('Curtain Input'!$A$3:$A$42,INT((ROW()-3)/4)+1)="","",INDEX('Curtain Input'!$A$3:$A$42,INT((ROW()-3)/4)+1))</x:f>
      </x:c>
      <x:c r="D96" s="100" t="str">
        <x:f>IF(INDEX('Curtain Input'!$A$3:$A$42,INT((ROW()-3)/4)+1)="","",CHOOSE(MOD(ROW()-3,4)+1,"Headbox front/back sections","Side guide pair","Barrel/curtain/bottom rail assembly","Control panel/endplate box"))</x:f>
      </x:c>
      <x:c r="E96" s="100" t="str">
        <x:f>IF(INDEX('Curtain Input'!$A$3:$A$42,INT((ROW()-3)/4)+1)="","",CHOOSE(MOD(ROW()-3,4)+1,2,2*INDEX('Curtain Input'!$J$3:$J$42,INT((ROW()-3)/4)+1),1,1))</x:f>
      </x:c>
      <x:c r="F9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9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9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96" s="124" t="str">
        <x:f>IF(INDEX('Curtain Input'!$A$3:$A$42,INT((ROW()-3)/4)+1)="","",CHOOSE(MOD(ROW()-3,4)+1,300,250,500,400))</x:f>
      </x:c>
      <x:c r="J96" s="124" t="str">
        <x:f>IF(INDEX('Curtain Input'!$A$3:$A$42,INT((ROW()-3)/4)+1)="","",CHOOSE(MOD(ROW()-3,4)+1,250,200,350,300))</x:f>
      </x:c>
      <x:c r="K96" s="100" t="str">
        <x:f>IF(INDEX('Curtain Input'!$A$3:$A$42,INT((ROW()-3)/4)+1)="","",IF(MOD(ROW()-3,4)+1=2,"Guide split parts from Curtain Input",""))</x:f>
      </x:c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  <x:c r="AA96" s="101"/>
      <x:c r="AB96" s="101"/>
      <x:c r="AC96" s="101"/>
      <x:c r="AD96" s="101"/>
      <x:c r="AE96" s="101"/>
    </x:row>
    <x:row r="97">
      <x:c r="A9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97" s="100" t="str">
        <x:f>IF(INDEX('Curtain Input'!$A$3:$A$42,INT((ROW()-3)/4)+1)="","",INDEX('Curtain Input'!$AD$3:$AD$42,INT((ROW()-3)/4)+1))</x:f>
      </x:c>
      <x:c r="C97" s="100" t="str">
        <x:f>IF(INDEX('Curtain Input'!$A$3:$A$42,INT((ROW()-3)/4)+1)="","",INDEX('Curtain Input'!$A$3:$A$42,INT((ROW()-3)/4)+1))</x:f>
      </x:c>
      <x:c r="D97" s="100" t="str">
        <x:f>IF(INDEX('Curtain Input'!$A$3:$A$42,INT((ROW()-3)/4)+1)="","",CHOOSE(MOD(ROW()-3,4)+1,"Headbox front/back sections","Side guide pair","Barrel/curtain/bottom rail assembly","Control panel/endplate box"))</x:f>
      </x:c>
      <x:c r="E97" s="100" t="str">
        <x:f>IF(INDEX('Curtain Input'!$A$3:$A$42,INT((ROW()-3)/4)+1)="","",CHOOSE(MOD(ROW()-3,4)+1,2,2*INDEX('Curtain Input'!$J$3:$J$42,INT((ROW()-3)/4)+1),1,1))</x:f>
      </x:c>
      <x:c r="F9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9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9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97" s="124" t="str">
        <x:f>IF(INDEX('Curtain Input'!$A$3:$A$42,INT((ROW()-3)/4)+1)="","",CHOOSE(MOD(ROW()-3,4)+1,300,250,500,400))</x:f>
      </x:c>
      <x:c r="J97" s="124" t="str">
        <x:f>IF(INDEX('Curtain Input'!$A$3:$A$42,INT((ROW()-3)/4)+1)="","",CHOOSE(MOD(ROW()-3,4)+1,250,200,350,300))</x:f>
      </x:c>
      <x:c r="K97" s="100" t="str">
        <x:f>IF(INDEX('Curtain Input'!$A$3:$A$42,INT((ROW()-3)/4)+1)="","",IF(MOD(ROW()-3,4)+1=2,"Guide split parts from Curtain Input",""))</x:f>
      </x:c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  <x:c r="AA97" s="101"/>
      <x:c r="AB97" s="101"/>
      <x:c r="AC97" s="101"/>
      <x:c r="AD97" s="101"/>
      <x:c r="AE97" s="101"/>
    </x:row>
    <x:row r="98">
      <x:c r="A9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98" s="100" t="str">
        <x:f>IF(INDEX('Curtain Input'!$A$3:$A$42,INT((ROW()-3)/4)+1)="","",INDEX('Curtain Input'!$AD$3:$AD$42,INT((ROW()-3)/4)+1))</x:f>
      </x:c>
      <x:c r="C98" s="100" t="str">
        <x:f>IF(INDEX('Curtain Input'!$A$3:$A$42,INT((ROW()-3)/4)+1)="","",INDEX('Curtain Input'!$A$3:$A$42,INT((ROW()-3)/4)+1))</x:f>
      </x:c>
      <x:c r="D98" s="100" t="str">
        <x:f>IF(INDEX('Curtain Input'!$A$3:$A$42,INT((ROW()-3)/4)+1)="","",CHOOSE(MOD(ROW()-3,4)+1,"Headbox front/back sections","Side guide pair","Barrel/curtain/bottom rail assembly","Control panel/endplate box"))</x:f>
      </x:c>
      <x:c r="E98" s="100" t="str">
        <x:f>IF(INDEX('Curtain Input'!$A$3:$A$42,INT((ROW()-3)/4)+1)="","",CHOOSE(MOD(ROW()-3,4)+1,2,2*INDEX('Curtain Input'!$J$3:$J$42,INT((ROW()-3)/4)+1),1,1))</x:f>
      </x:c>
      <x:c r="F9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9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9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98" s="124" t="str">
        <x:f>IF(INDEX('Curtain Input'!$A$3:$A$42,INT((ROW()-3)/4)+1)="","",CHOOSE(MOD(ROW()-3,4)+1,300,250,500,400))</x:f>
      </x:c>
      <x:c r="J98" s="124" t="str">
        <x:f>IF(INDEX('Curtain Input'!$A$3:$A$42,INT((ROW()-3)/4)+1)="","",CHOOSE(MOD(ROW()-3,4)+1,250,200,350,300))</x:f>
      </x:c>
      <x:c r="K98" s="100" t="str">
        <x:f>IF(INDEX('Curtain Input'!$A$3:$A$42,INT((ROW()-3)/4)+1)="","",IF(MOD(ROW()-3,4)+1=2,"Guide split parts from Curtain Input",""))</x:f>
      </x:c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  <x:c r="AA98" s="101"/>
      <x:c r="AB98" s="101"/>
      <x:c r="AC98" s="101"/>
      <x:c r="AD98" s="101"/>
      <x:c r="AE98" s="101"/>
    </x:row>
    <x:row r="99">
      <x:c r="A9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99" s="100" t="str">
        <x:f>IF(INDEX('Curtain Input'!$A$3:$A$42,INT((ROW()-3)/4)+1)="","",INDEX('Curtain Input'!$AD$3:$AD$42,INT((ROW()-3)/4)+1))</x:f>
      </x:c>
      <x:c r="C99" s="100" t="str">
        <x:f>IF(INDEX('Curtain Input'!$A$3:$A$42,INT((ROW()-3)/4)+1)="","",INDEX('Curtain Input'!$A$3:$A$42,INT((ROW()-3)/4)+1))</x:f>
      </x:c>
      <x:c r="D99" s="100" t="str">
        <x:f>IF(INDEX('Curtain Input'!$A$3:$A$42,INT((ROW()-3)/4)+1)="","",CHOOSE(MOD(ROW()-3,4)+1,"Headbox front/back sections","Side guide pair","Barrel/curtain/bottom rail assembly","Control panel/endplate box"))</x:f>
      </x:c>
      <x:c r="E99" s="100" t="str">
        <x:f>IF(INDEX('Curtain Input'!$A$3:$A$42,INT((ROW()-3)/4)+1)="","",CHOOSE(MOD(ROW()-3,4)+1,2,2*INDEX('Curtain Input'!$J$3:$J$42,INT((ROW()-3)/4)+1),1,1))</x:f>
      </x:c>
      <x:c r="F9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9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9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99" s="124" t="str">
        <x:f>IF(INDEX('Curtain Input'!$A$3:$A$42,INT((ROW()-3)/4)+1)="","",CHOOSE(MOD(ROW()-3,4)+1,300,250,500,400))</x:f>
      </x:c>
      <x:c r="J99" s="124" t="str">
        <x:f>IF(INDEX('Curtain Input'!$A$3:$A$42,INT((ROW()-3)/4)+1)="","",CHOOSE(MOD(ROW()-3,4)+1,250,200,350,300))</x:f>
      </x:c>
      <x:c r="K99" s="100" t="str">
        <x:f>IF(INDEX('Curtain Input'!$A$3:$A$42,INT((ROW()-3)/4)+1)="","",IF(MOD(ROW()-3,4)+1=2,"Guide split parts from Curtain Input",""))</x:f>
      </x:c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  <x:c r="AA99" s="101"/>
      <x:c r="AB99" s="101"/>
      <x:c r="AC99" s="101"/>
      <x:c r="AD99" s="101"/>
      <x:c r="AE99" s="101"/>
    </x:row>
    <x:row r="100">
      <x:c r="A10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00" s="100" t="str">
        <x:f>IF(INDEX('Curtain Input'!$A$3:$A$42,INT((ROW()-3)/4)+1)="","",INDEX('Curtain Input'!$AD$3:$AD$42,INT((ROW()-3)/4)+1))</x:f>
      </x:c>
      <x:c r="C100" s="100" t="str">
        <x:f>IF(INDEX('Curtain Input'!$A$3:$A$42,INT((ROW()-3)/4)+1)="","",INDEX('Curtain Input'!$A$3:$A$42,INT((ROW()-3)/4)+1))</x:f>
      </x:c>
      <x:c r="D100" s="100" t="str">
        <x:f>IF(INDEX('Curtain Input'!$A$3:$A$42,INT((ROW()-3)/4)+1)="","",CHOOSE(MOD(ROW()-3,4)+1,"Headbox front/back sections","Side guide pair","Barrel/curtain/bottom rail assembly","Control panel/endplate box"))</x:f>
      </x:c>
      <x:c r="E100" s="100" t="str">
        <x:f>IF(INDEX('Curtain Input'!$A$3:$A$42,INT((ROW()-3)/4)+1)="","",CHOOSE(MOD(ROW()-3,4)+1,2,2*INDEX('Curtain Input'!$J$3:$J$42,INT((ROW()-3)/4)+1),1,1))</x:f>
      </x:c>
      <x:c r="F10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0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0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00" s="124" t="str">
        <x:f>IF(INDEX('Curtain Input'!$A$3:$A$42,INT((ROW()-3)/4)+1)="","",CHOOSE(MOD(ROW()-3,4)+1,300,250,500,400))</x:f>
      </x:c>
      <x:c r="J100" s="124" t="str">
        <x:f>IF(INDEX('Curtain Input'!$A$3:$A$42,INT((ROW()-3)/4)+1)="","",CHOOSE(MOD(ROW()-3,4)+1,250,200,350,300))</x:f>
      </x:c>
      <x:c r="K100" s="100" t="str">
        <x:f>IF(INDEX('Curtain Input'!$A$3:$A$42,INT((ROW()-3)/4)+1)="","",IF(MOD(ROW()-3,4)+1=2,"Guide split parts from Curtain Input",""))</x:f>
      </x:c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  <x:c r="AA100" s="101"/>
      <x:c r="AB100" s="101"/>
      <x:c r="AC100" s="101"/>
      <x:c r="AD100" s="101"/>
      <x:c r="AE100" s="101"/>
    </x:row>
    <x:row r="101">
      <x:c r="A10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01" s="100" t="str">
        <x:f>IF(INDEX('Curtain Input'!$A$3:$A$42,INT((ROW()-3)/4)+1)="","",INDEX('Curtain Input'!$AD$3:$AD$42,INT((ROW()-3)/4)+1))</x:f>
      </x:c>
      <x:c r="C101" s="100" t="str">
        <x:f>IF(INDEX('Curtain Input'!$A$3:$A$42,INT((ROW()-3)/4)+1)="","",INDEX('Curtain Input'!$A$3:$A$42,INT((ROW()-3)/4)+1))</x:f>
      </x:c>
      <x:c r="D101" s="100" t="str">
        <x:f>IF(INDEX('Curtain Input'!$A$3:$A$42,INT((ROW()-3)/4)+1)="","",CHOOSE(MOD(ROW()-3,4)+1,"Headbox front/back sections","Side guide pair","Barrel/curtain/bottom rail assembly","Control panel/endplate box"))</x:f>
      </x:c>
      <x:c r="E101" s="100" t="str">
        <x:f>IF(INDEX('Curtain Input'!$A$3:$A$42,INT((ROW()-3)/4)+1)="","",CHOOSE(MOD(ROW()-3,4)+1,2,2*INDEX('Curtain Input'!$J$3:$J$42,INT((ROW()-3)/4)+1),1,1))</x:f>
      </x:c>
      <x:c r="F10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0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0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01" s="124" t="str">
        <x:f>IF(INDEX('Curtain Input'!$A$3:$A$42,INT((ROW()-3)/4)+1)="","",CHOOSE(MOD(ROW()-3,4)+1,300,250,500,400))</x:f>
      </x:c>
      <x:c r="J101" s="124" t="str">
        <x:f>IF(INDEX('Curtain Input'!$A$3:$A$42,INT((ROW()-3)/4)+1)="","",CHOOSE(MOD(ROW()-3,4)+1,250,200,350,300))</x:f>
      </x:c>
      <x:c r="K101" s="100" t="str">
        <x:f>IF(INDEX('Curtain Input'!$A$3:$A$42,INT((ROW()-3)/4)+1)="","",IF(MOD(ROW()-3,4)+1=2,"Guide split parts from Curtain Input",""))</x:f>
      </x:c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  <x:c r="AA101" s="101"/>
      <x:c r="AB101" s="101"/>
      <x:c r="AC101" s="101"/>
      <x:c r="AD101" s="101"/>
      <x:c r="AE101" s="101"/>
    </x:row>
    <x:row r="102">
      <x:c r="A10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02" s="100" t="str">
        <x:f>IF(INDEX('Curtain Input'!$A$3:$A$42,INT((ROW()-3)/4)+1)="","",INDEX('Curtain Input'!$AD$3:$AD$42,INT((ROW()-3)/4)+1))</x:f>
      </x:c>
      <x:c r="C102" s="100" t="str">
        <x:f>IF(INDEX('Curtain Input'!$A$3:$A$42,INT((ROW()-3)/4)+1)="","",INDEX('Curtain Input'!$A$3:$A$42,INT((ROW()-3)/4)+1))</x:f>
      </x:c>
      <x:c r="D102" s="100" t="str">
        <x:f>IF(INDEX('Curtain Input'!$A$3:$A$42,INT((ROW()-3)/4)+1)="","",CHOOSE(MOD(ROW()-3,4)+1,"Headbox front/back sections","Side guide pair","Barrel/curtain/bottom rail assembly","Control panel/endplate box"))</x:f>
      </x:c>
      <x:c r="E102" s="100" t="str">
        <x:f>IF(INDEX('Curtain Input'!$A$3:$A$42,INT((ROW()-3)/4)+1)="","",CHOOSE(MOD(ROW()-3,4)+1,2,2*INDEX('Curtain Input'!$J$3:$J$42,INT((ROW()-3)/4)+1),1,1))</x:f>
      </x:c>
      <x:c r="F10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0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0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02" s="124" t="str">
        <x:f>IF(INDEX('Curtain Input'!$A$3:$A$42,INT((ROW()-3)/4)+1)="","",CHOOSE(MOD(ROW()-3,4)+1,300,250,500,400))</x:f>
      </x:c>
      <x:c r="J102" s="124" t="str">
        <x:f>IF(INDEX('Curtain Input'!$A$3:$A$42,INT((ROW()-3)/4)+1)="","",CHOOSE(MOD(ROW()-3,4)+1,250,200,350,300))</x:f>
      </x:c>
      <x:c r="K102" s="100" t="str">
        <x:f>IF(INDEX('Curtain Input'!$A$3:$A$42,INT((ROW()-3)/4)+1)="","",IF(MOD(ROW()-3,4)+1=2,"Guide split parts from Curtain Input",""))</x:f>
      </x:c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  <x:c r="AA102" s="101"/>
      <x:c r="AB102" s="101"/>
      <x:c r="AC102" s="101"/>
      <x:c r="AD102" s="101"/>
      <x:c r="AE102" s="101"/>
    </x:row>
    <x:row r="103">
      <x:c r="A10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03" s="100" t="str">
        <x:f>IF(INDEX('Curtain Input'!$A$3:$A$42,INT((ROW()-3)/4)+1)="","",INDEX('Curtain Input'!$AD$3:$AD$42,INT((ROW()-3)/4)+1))</x:f>
      </x:c>
      <x:c r="C103" s="100" t="str">
        <x:f>IF(INDEX('Curtain Input'!$A$3:$A$42,INT((ROW()-3)/4)+1)="","",INDEX('Curtain Input'!$A$3:$A$42,INT((ROW()-3)/4)+1))</x:f>
      </x:c>
      <x:c r="D103" s="100" t="str">
        <x:f>IF(INDEX('Curtain Input'!$A$3:$A$42,INT((ROW()-3)/4)+1)="","",CHOOSE(MOD(ROW()-3,4)+1,"Headbox front/back sections","Side guide pair","Barrel/curtain/bottom rail assembly","Control panel/endplate box"))</x:f>
      </x:c>
      <x:c r="E103" s="100" t="str">
        <x:f>IF(INDEX('Curtain Input'!$A$3:$A$42,INT((ROW()-3)/4)+1)="","",CHOOSE(MOD(ROW()-3,4)+1,2,2*INDEX('Curtain Input'!$J$3:$J$42,INT((ROW()-3)/4)+1),1,1))</x:f>
      </x:c>
      <x:c r="F10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0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0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03" s="124" t="str">
        <x:f>IF(INDEX('Curtain Input'!$A$3:$A$42,INT((ROW()-3)/4)+1)="","",CHOOSE(MOD(ROW()-3,4)+1,300,250,500,400))</x:f>
      </x:c>
      <x:c r="J103" s="124" t="str">
        <x:f>IF(INDEX('Curtain Input'!$A$3:$A$42,INT((ROW()-3)/4)+1)="","",CHOOSE(MOD(ROW()-3,4)+1,250,200,350,300))</x:f>
      </x:c>
      <x:c r="K103" s="100" t="str">
        <x:f>IF(INDEX('Curtain Input'!$A$3:$A$42,INT((ROW()-3)/4)+1)="","",IF(MOD(ROW()-3,4)+1=2,"Guide split parts from Curtain Input",""))</x:f>
      </x:c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  <x:c r="AA103" s="101"/>
      <x:c r="AB103" s="101"/>
      <x:c r="AC103" s="101"/>
      <x:c r="AD103" s="101"/>
      <x:c r="AE103" s="101"/>
    </x:row>
    <x:row r="104">
      <x:c r="A10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04" s="100" t="str">
        <x:f>IF(INDEX('Curtain Input'!$A$3:$A$42,INT((ROW()-3)/4)+1)="","",INDEX('Curtain Input'!$AD$3:$AD$42,INT((ROW()-3)/4)+1))</x:f>
      </x:c>
      <x:c r="C104" s="100" t="str">
        <x:f>IF(INDEX('Curtain Input'!$A$3:$A$42,INT((ROW()-3)/4)+1)="","",INDEX('Curtain Input'!$A$3:$A$42,INT((ROW()-3)/4)+1))</x:f>
      </x:c>
      <x:c r="D104" s="100" t="str">
        <x:f>IF(INDEX('Curtain Input'!$A$3:$A$42,INT((ROW()-3)/4)+1)="","",CHOOSE(MOD(ROW()-3,4)+1,"Headbox front/back sections","Side guide pair","Barrel/curtain/bottom rail assembly","Control panel/endplate box"))</x:f>
      </x:c>
      <x:c r="E104" s="100" t="str">
        <x:f>IF(INDEX('Curtain Input'!$A$3:$A$42,INT((ROW()-3)/4)+1)="","",CHOOSE(MOD(ROW()-3,4)+1,2,2*INDEX('Curtain Input'!$J$3:$J$42,INT((ROW()-3)/4)+1),1,1))</x:f>
      </x:c>
      <x:c r="F10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0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0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04" s="124" t="str">
        <x:f>IF(INDEX('Curtain Input'!$A$3:$A$42,INT((ROW()-3)/4)+1)="","",CHOOSE(MOD(ROW()-3,4)+1,300,250,500,400))</x:f>
      </x:c>
      <x:c r="J104" s="124" t="str">
        <x:f>IF(INDEX('Curtain Input'!$A$3:$A$42,INT((ROW()-3)/4)+1)="","",CHOOSE(MOD(ROW()-3,4)+1,250,200,350,300))</x:f>
      </x:c>
      <x:c r="K104" s="100" t="str">
        <x:f>IF(INDEX('Curtain Input'!$A$3:$A$42,INT((ROW()-3)/4)+1)="","",IF(MOD(ROW()-3,4)+1=2,"Guide split parts from Curtain Input",""))</x:f>
      </x:c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  <x:c r="AA104" s="101"/>
      <x:c r="AB104" s="101"/>
      <x:c r="AC104" s="101"/>
      <x:c r="AD104" s="101"/>
      <x:c r="AE104" s="101"/>
    </x:row>
    <x:row r="105">
      <x:c r="A10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05" s="100" t="str">
        <x:f>IF(INDEX('Curtain Input'!$A$3:$A$42,INT((ROW()-3)/4)+1)="","",INDEX('Curtain Input'!$AD$3:$AD$42,INT((ROW()-3)/4)+1))</x:f>
      </x:c>
      <x:c r="C105" s="100" t="str">
        <x:f>IF(INDEX('Curtain Input'!$A$3:$A$42,INT((ROW()-3)/4)+1)="","",INDEX('Curtain Input'!$A$3:$A$42,INT((ROW()-3)/4)+1))</x:f>
      </x:c>
      <x:c r="D105" s="100" t="str">
        <x:f>IF(INDEX('Curtain Input'!$A$3:$A$42,INT((ROW()-3)/4)+1)="","",CHOOSE(MOD(ROW()-3,4)+1,"Headbox front/back sections","Side guide pair","Barrel/curtain/bottom rail assembly","Control panel/endplate box"))</x:f>
      </x:c>
      <x:c r="E105" s="100" t="str">
        <x:f>IF(INDEX('Curtain Input'!$A$3:$A$42,INT((ROW()-3)/4)+1)="","",CHOOSE(MOD(ROW()-3,4)+1,2,2*INDEX('Curtain Input'!$J$3:$J$42,INT((ROW()-3)/4)+1),1,1))</x:f>
      </x:c>
      <x:c r="F10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0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0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05" s="124" t="str">
        <x:f>IF(INDEX('Curtain Input'!$A$3:$A$42,INT((ROW()-3)/4)+1)="","",CHOOSE(MOD(ROW()-3,4)+1,300,250,500,400))</x:f>
      </x:c>
      <x:c r="J105" s="124" t="str">
        <x:f>IF(INDEX('Curtain Input'!$A$3:$A$42,INT((ROW()-3)/4)+1)="","",CHOOSE(MOD(ROW()-3,4)+1,250,200,350,300))</x:f>
      </x:c>
      <x:c r="K105" s="100" t="str">
        <x:f>IF(INDEX('Curtain Input'!$A$3:$A$42,INT((ROW()-3)/4)+1)="","",IF(MOD(ROW()-3,4)+1=2,"Guide split parts from Curtain Input",""))</x:f>
      </x:c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  <x:c r="AA105" s="101"/>
      <x:c r="AB105" s="101"/>
      <x:c r="AC105" s="101"/>
      <x:c r="AD105" s="101"/>
      <x:c r="AE105" s="101"/>
    </x:row>
    <x:row r="106">
      <x:c r="A10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06" s="100" t="str">
        <x:f>IF(INDEX('Curtain Input'!$A$3:$A$42,INT((ROW()-3)/4)+1)="","",INDEX('Curtain Input'!$AD$3:$AD$42,INT((ROW()-3)/4)+1))</x:f>
      </x:c>
      <x:c r="C106" s="100" t="str">
        <x:f>IF(INDEX('Curtain Input'!$A$3:$A$42,INT((ROW()-3)/4)+1)="","",INDEX('Curtain Input'!$A$3:$A$42,INT((ROW()-3)/4)+1))</x:f>
      </x:c>
      <x:c r="D106" s="100" t="str">
        <x:f>IF(INDEX('Curtain Input'!$A$3:$A$42,INT((ROW()-3)/4)+1)="","",CHOOSE(MOD(ROW()-3,4)+1,"Headbox front/back sections","Side guide pair","Barrel/curtain/bottom rail assembly","Control panel/endplate box"))</x:f>
      </x:c>
      <x:c r="E106" s="100" t="str">
        <x:f>IF(INDEX('Curtain Input'!$A$3:$A$42,INT((ROW()-3)/4)+1)="","",CHOOSE(MOD(ROW()-3,4)+1,2,2*INDEX('Curtain Input'!$J$3:$J$42,INT((ROW()-3)/4)+1),1,1))</x:f>
      </x:c>
      <x:c r="F10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0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0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06" s="124" t="str">
        <x:f>IF(INDEX('Curtain Input'!$A$3:$A$42,INT((ROW()-3)/4)+1)="","",CHOOSE(MOD(ROW()-3,4)+1,300,250,500,400))</x:f>
      </x:c>
      <x:c r="J106" s="124" t="str">
        <x:f>IF(INDEX('Curtain Input'!$A$3:$A$42,INT((ROW()-3)/4)+1)="","",CHOOSE(MOD(ROW()-3,4)+1,250,200,350,300))</x:f>
      </x:c>
      <x:c r="K106" s="100" t="str">
        <x:f>IF(INDEX('Curtain Input'!$A$3:$A$42,INT((ROW()-3)/4)+1)="","",IF(MOD(ROW()-3,4)+1=2,"Guide split parts from Curtain Input",""))</x:f>
      </x:c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  <x:c r="AA106" s="101"/>
      <x:c r="AB106" s="101"/>
      <x:c r="AC106" s="101"/>
      <x:c r="AD106" s="101"/>
      <x:c r="AE106" s="101"/>
    </x:row>
    <x:row r="107">
      <x:c r="A10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07" s="100" t="str">
        <x:f>IF(INDEX('Curtain Input'!$A$3:$A$42,INT((ROW()-3)/4)+1)="","",INDEX('Curtain Input'!$AD$3:$AD$42,INT((ROW()-3)/4)+1))</x:f>
      </x:c>
      <x:c r="C107" s="100" t="str">
        <x:f>IF(INDEX('Curtain Input'!$A$3:$A$42,INT((ROW()-3)/4)+1)="","",INDEX('Curtain Input'!$A$3:$A$42,INT((ROW()-3)/4)+1))</x:f>
      </x:c>
      <x:c r="D107" s="100" t="str">
        <x:f>IF(INDEX('Curtain Input'!$A$3:$A$42,INT((ROW()-3)/4)+1)="","",CHOOSE(MOD(ROW()-3,4)+1,"Headbox front/back sections","Side guide pair","Barrel/curtain/bottom rail assembly","Control panel/endplate box"))</x:f>
      </x:c>
      <x:c r="E107" s="100" t="str">
        <x:f>IF(INDEX('Curtain Input'!$A$3:$A$42,INT((ROW()-3)/4)+1)="","",CHOOSE(MOD(ROW()-3,4)+1,2,2*INDEX('Curtain Input'!$J$3:$J$42,INT((ROW()-3)/4)+1),1,1))</x:f>
      </x:c>
      <x:c r="F10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0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0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07" s="124" t="str">
        <x:f>IF(INDEX('Curtain Input'!$A$3:$A$42,INT((ROW()-3)/4)+1)="","",CHOOSE(MOD(ROW()-3,4)+1,300,250,500,400))</x:f>
      </x:c>
      <x:c r="J107" s="124" t="str">
        <x:f>IF(INDEX('Curtain Input'!$A$3:$A$42,INT((ROW()-3)/4)+1)="","",CHOOSE(MOD(ROW()-3,4)+1,250,200,350,300))</x:f>
      </x:c>
      <x:c r="K107" s="100" t="str">
        <x:f>IF(INDEX('Curtain Input'!$A$3:$A$42,INT((ROW()-3)/4)+1)="","",IF(MOD(ROW()-3,4)+1=2,"Guide split parts from Curtain Input",""))</x:f>
      </x:c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  <x:c r="AA107" s="101"/>
      <x:c r="AB107" s="101"/>
      <x:c r="AC107" s="101"/>
      <x:c r="AD107" s="101"/>
      <x:c r="AE107" s="101"/>
    </x:row>
    <x:row r="108">
      <x:c r="A10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08" s="100" t="str">
        <x:f>IF(INDEX('Curtain Input'!$A$3:$A$42,INT((ROW()-3)/4)+1)="","",INDEX('Curtain Input'!$AD$3:$AD$42,INT((ROW()-3)/4)+1))</x:f>
      </x:c>
      <x:c r="C108" s="100" t="str">
        <x:f>IF(INDEX('Curtain Input'!$A$3:$A$42,INT((ROW()-3)/4)+1)="","",INDEX('Curtain Input'!$A$3:$A$42,INT((ROW()-3)/4)+1))</x:f>
      </x:c>
      <x:c r="D108" s="100" t="str">
        <x:f>IF(INDEX('Curtain Input'!$A$3:$A$42,INT((ROW()-3)/4)+1)="","",CHOOSE(MOD(ROW()-3,4)+1,"Headbox front/back sections","Side guide pair","Barrel/curtain/bottom rail assembly","Control panel/endplate box"))</x:f>
      </x:c>
      <x:c r="E108" s="100" t="str">
        <x:f>IF(INDEX('Curtain Input'!$A$3:$A$42,INT((ROW()-3)/4)+1)="","",CHOOSE(MOD(ROW()-3,4)+1,2,2*INDEX('Curtain Input'!$J$3:$J$42,INT((ROW()-3)/4)+1),1,1))</x:f>
      </x:c>
      <x:c r="F10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0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0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08" s="124" t="str">
        <x:f>IF(INDEX('Curtain Input'!$A$3:$A$42,INT((ROW()-3)/4)+1)="","",CHOOSE(MOD(ROW()-3,4)+1,300,250,500,400))</x:f>
      </x:c>
      <x:c r="J108" s="124" t="str">
        <x:f>IF(INDEX('Curtain Input'!$A$3:$A$42,INT((ROW()-3)/4)+1)="","",CHOOSE(MOD(ROW()-3,4)+1,250,200,350,300))</x:f>
      </x:c>
      <x:c r="K108" s="100" t="str">
        <x:f>IF(INDEX('Curtain Input'!$A$3:$A$42,INT((ROW()-3)/4)+1)="","",IF(MOD(ROW()-3,4)+1=2,"Guide split parts from Curtain Input",""))</x:f>
      </x:c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  <x:c r="AA108" s="101"/>
      <x:c r="AB108" s="101"/>
      <x:c r="AC108" s="101"/>
      <x:c r="AD108" s="101"/>
      <x:c r="AE108" s="101"/>
    </x:row>
    <x:row r="109">
      <x:c r="A10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09" s="100" t="str">
        <x:f>IF(INDEX('Curtain Input'!$A$3:$A$42,INT((ROW()-3)/4)+1)="","",INDEX('Curtain Input'!$AD$3:$AD$42,INT((ROW()-3)/4)+1))</x:f>
      </x:c>
      <x:c r="C109" s="100" t="str">
        <x:f>IF(INDEX('Curtain Input'!$A$3:$A$42,INT((ROW()-3)/4)+1)="","",INDEX('Curtain Input'!$A$3:$A$42,INT((ROW()-3)/4)+1))</x:f>
      </x:c>
      <x:c r="D109" s="100" t="str">
        <x:f>IF(INDEX('Curtain Input'!$A$3:$A$42,INT((ROW()-3)/4)+1)="","",CHOOSE(MOD(ROW()-3,4)+1,"Headbox front/back sections","Side guide pair","Barrel/curtain/bottom rail assembly","Control panel/endplate box"))</x:f>
      </x:c>
      <x:c r="E109" s="100" t="str">
        <x:f>IF(INDEX('Curtain Input'!$A$3:$A$42,INT((ROW()-3)/4)+1)="","",CHOOSE(MOD(ROW()-3,4)+1,2,2*INDEX('Curtain Input'!$J$3:$J$42,INT((ROW()-3)/4)+1),1,1))</x:f>
      </x:c>
      <x:c r="F10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0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0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09" s="124" t="str">
        <x:f>IF(INDEX('Curtain Input'!$A$3:$A$42,INT((ROW()-3)/4)+1)="","",CHOOSE(MOD(ROW()-3,4)+1,300,250,500,400))</x:f>
      </x:c>
      <x:c r="J109" s="124" t="str">
        <x:f>IF(INDEX('Curtain Input'!$A$3:$A$42,INT((ROW()-3)/4)+1)="","",CHOOSE(MOD(ROW()-3,4)+1,250,200,350,300))</x:f>
      </x:c>
      <x:c r="K109" s="100" t="str">
        <x:f>IF(INDEX('Curtain Input'!$A$3:$A$42,INT((ROW()-3)/4)+1)="","",IF(MOD(ROW()-3,4)+1=2,"Guide split parts from Curtain Input",""))</x:f>
      </x:c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  <x:c r="AA109" s="101"/>
      <x:c r="AB109" s="101"/>
      <x:c r="AC109" s="101"/>
      <x:c r="AD109" s="101"/>
      <x:c r="AE109" s="101"/>
    </x:row>
    <x:row r="110">
      <x:c r="A11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10" s="100" t="str">
        <x:f>IF(INDEX('Curtain Input'!$A$3:$A$42,INT((ROW()-3)/4)+1)="","",INDEX('Curtain Input'!$AD$3:$AD$42,INT((ROW()-3)/4)+1))</x:f>
      </x:c>
      <x:c r="C110" s="100" t="str">
        <x:f>IF(INDEX('Curtain Input'!$A$3:$A$42,INT((ROW()-3)/4)+1)="","",INDEX('Curtain Input'!$A$3:$A$42,INT((ROW()-3)/4)+1))</x:f>
      </x:c>
      <x:c r="D110" s="100" t="str">
        <x:f>IF(INDEX('Curtain Input'!$A$3:$A$42,INT((ROW()-3)/4)+1)="","",CHOOSE(MOD(ROW()-3,4)+1,"Headbox front/back sections","Side guide pair","Barrel/curtain/bottom rail assembly","Control panel/endplate box"))</x:f>
      </x:c>
      <x:c r="E110" s="100" t="str">
        <x:f>IF(INDEX('Curtain Input'!$A$3:$A$42,INT((ROW()-3)/4)+1)="","",CHOOSE(MOD(ROW()-3,4)+1,2,2*INDEX('Curtain Input'!$J$3:$J$42,INT((ROW()-3)/4)+1),1,1))</x:f>
      </x:c>
      <x:c r="F11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1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1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10" s="124" t="str">
        <x:f>IF(INDEX('Curtain Input'!$A$3:$A$42,INT((ROW()-3)/4)+1)="","",CHOOSE(MOD(ROW()-3,4)+1,300,250,500,400))</x:f>
      </x:c>
      <x:c r="J110" s="124" t="str">
        <x:f>IF(INDEX('Curtain Input'!$A$3:$A$42,INT((ROW()-3)/4)+1)="","",CHOOSE(MOD(ROW()-3,4)+1,250,200,350,300))</x:f>
      </x:c>
      <x:c r="K110" s="100" t="str">
        <x:f>IF(INDEX('Curtain Input'!$A$3:$A$42,INT((ROW()-3)/4)+1)="","",IF(MOD(ROW()-3,4)+1=2,"Guide split parts from Curtain Input",""))</x:f>
      </x:c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  <x:c r="AA110" s="101"/>
      <x:c r="AB110" s="101"/>
      <x:c r="AC110" s="101"/>
      <x:c r="AD110" s="101"/>
      <x:c r="AE110" s="101"/>
    </x:row>
    <x:row r="111">
      <x:c r="A11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11" s="100" t="str">
        <x:f>IF(INDEX('Curtain Input'!$A$3:$A$42,INT((ROW()-3)/4)+1)="","",INDEX('Curtain Input'!$AD$3:$AD$42,INT((ROW()-3)/4)+1))</x:f>
      </x:c>
      <x:c r="C111" s="100" t="str">
        <x:f>IF(INDEX('Curtain Input'!$A$3:$A$42,INT((ROW()-3)/4)+1)="","",INDEX('Curtain Input'!$A$3:$A$42,INT((ROW()-3)/4)+1))</x:f>
      </x:c>
      <x:c r="D111" s="100" t="str">
        <x:f>IF(INDEX('Curtain Input'!$A$3:$A$42,INT((ROW()-3)/4)+1)="","",CHOOSE(MOD(ROW()-3,4)+1,"Headbox front/back sections","Side guide pair","Barrel/curtain/bottom rail assembly","Control panel/endplate box"))</x:f>
      </x:c>
      <x:c r="E111" s="100" t="str">
        <x:f>IF(INDEX('Curtain Input'!$A$3:$A$42,INT((ROW()-3)/4)+1)="","",CHOOSE(MOD(ROW()-3,4)+1,2,2*INDEX('Curtain Input'!$J$3:$J$42,INT((ROW()-3)/4)+1),1,1))</x:f>
      </x:c>
      <x:c r="F11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1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1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11" s="124" t="str">
        <x:f>IF(INDEX('Curtain Input'!$A$3:$A$42,INT((ROW()-3)/4)+1)="","",CHOOSE(MOD(ROW()-3,4)+1,300,250,500,400))</x:f>
      </x:c>
      <x:c r="J111" s="124" t="str">
        <x:f>IF(INDEX('Curtain Input'!$A$3:$A$42,INT((ROW()-3)/4)+1)="","",CHOOSE(MOD(ROW()-3,4)+1,250,200,350,300))</x:f>
      </x:c>
      <x:c r="K111" s="100" t="str">
        <x:f>IF(INDEX('Curtain Input'!$A$3:$A$42,INT((ROW()-3)/4)+1)="","",IF(MOD(ROW()-3,4)+1=2,"Guide split parts from Curtain Input",""))</x:f>
      </x:c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  <x:c r="AA111" s="101"/>
      <x:c r="AB111" s="101"/>
      <x:c r="AC111" s="101"/>
      <x:c r="AD111" s="101"/>
      <x:c r="AE111" s="101"/>
    </x:row>
    <x:row r="112">
      <x:c r="A11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12" s="100" t="str">
        <x:f>IF(INDEX('Curtain Input'!$A$3:$A$42,INT((ROW()-3)/4)+1)="","",INDEX('Curtain Input'!$AD$3:$AD$42,INT((ROW()-3)/4)+1))</x:f>
      </x:c>
      <x:c r="C112" s="100" t="str">
        <x:f>IF(INDEX('Curtain Input'!$A$3:$A$42,INT((ROW()-3)/4)+1)="","",INDEX('Curtain Input'!$A$3:$A$42,INT((ROW()-3)/4)+1))</x:f>
      </x:c>
      <x:c r="D112" s="100" t="str">
        <x:f>IF(INDEX('Curtain Input'!$A$3:$A$42,INT((ROW()-3)/4)+1)="","",CHOOSE(MOD(ROW()-3,4)+1,"Headbox front/back sections","Side guide pair","Barrel/curtain/bottom rail assembly","Control panel/endplate box"))</x:f>
      </x:c>
      <x:c r="E112" s="100" t="str">
        <x:f>IF(INDEX('Curtain Input'!$A$3:$A$42,INT((ROW()-3)/4)+1)="","",CHOOSE(MOD(ROW()-3,4)+1,2,2*INDEX('Curtain Input'!$J$3:$J$42,INT((ROW()-3)/4)+1),1,1))</x:f>
      </x:c>
      <x:c r="F11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1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1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12" s="124" t="str">
        <x:f>IF(INDEX('Curtain Input'!$A$3:$A$42,INT((ROW()-3)/4)+1)="","",CHOOSE(MOD(ROW()-3,4)+1,300,250,500,400))</x:f>
      </x:c>
      <x:c r="J112" s="124" t="str">
        <x:f>IF(INDEX('Curtain Input'!$A$3:$A$42,INT((ROW()-3)/4)+1)="","",CHOOSE(MOD(ROW()-3,4)+1,250,200,350,300))</x:f>
      </x:c>
      <x:c r="K112" s="100" t="str">
        <x:f>IF(INDEX('Curtain Input'!$A$3:$A$42,INT((ROW()-3)/4)+1)="","",IF(MOD(ROW()-3,4)+1=2,"Guide split parts from Curtain Input",""))</x:f>
      </x:c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  <x:c r="AA112" s="101"/>
      <x:c r="AB112" s="101"/>
      <x:c r="AC112" s="101"/>
      <x:c r="AD112" s="101"/>
      <x:c r="AE112" s="101"/>
    </x:row>
    <x:row r="113">
      <x:c r="A11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13" s="100" t="str">
        <x:f>IF(INDEX('Curtain Input'!$A$3:$A$42,INT((ROW()-3)/4)+1)="","",INDEX('Curtain Input'!$AD$3:$AD$42,INT((ROW()-3)/4)+1))</x:f>
      </x:c>
      <x:c r="C113" s="100" t="str">
        <x:f>IF(INDEX('Curtain Input'!$A$3:$A$42,INT((ROW()-3)/4)+1)="","",INDEX('Curtain Input'!$A$3:$A$42,INT((ROW()-3)/4)+1))</x:f>
      </x:c>
      <x:c r="D113" s="100" t="str">
        <x:f>IF(INDEX('Curtain Input'!$A$3:$A$42,INT((ROW()-3)/4)+1)="","",CHOOSE(MOD(ROW()-3,4)+1,"Headbox front/back sections","Side guide pair","Barrel/curtain/bottom rail assembly","Control panel/endplate box"))</x:f>
      </x:c>
      <x:c r="E113" s="100" t="str">
        <x:f>IF(INDEX('Curtain Input'!$A$3:$A$42,INT((ROW()-3)/4)+1)="","",CHOOSE(MOD(ROW()-3,4)+1,2,2*INDEX('Curtain Input'!$J$3:$J$42,INT((ROW()-3)/4)+1),1,1))</x:f>
      </x:c>
      <x:c r="F11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1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1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13" s="124" t="str">
        <x:f>IF(INDEX('Curtain Input'!$A$3:$A$42,INT((ROW()-3)/4)+1)="","",CHOOSE(MOD(ROW()-3,4)+1,300,250,500,400))</x:f>
      </x:c>
      <x:c r="J113" s="124" t="str">
        <x:f>IF(INDEX('Curtain Input'!$A$3:$A$42,INT((ROW()-3)/4)+1)="","",CHOOSE(MOD(ROW()-3,4)+1,250,200,350,300))</x:f>
      </x:c>
      <x:c r="K113" s="100" t="str">
        <x:f>IF(INDEX('Curtain Input'!$A$3:$A$42,INT((ROW()-3)/4)+1)="","",IF(MOD(ROW()-3,4)+1=2,"Guide split parts from Curtain Input",""))</x:f>
      </x:c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  <x:c r="AA113" s="101"/>
      <x:c r="AB113" s="101"/>
      <x:c r="AC113" s="101"/>
      <x:c r="AD113" s="101"/>
      <x:c r="AE113" s="101"/>
    </x:row>
    <x:row r="114">
      <x:c r="A11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14" s="100" t="str">
        <x:f>IF(INDEX('Curtain Input'!$A$3:$A$42,INT((ROW()-3)/4)+1)="","",INDEX('Curtain Input'!$AD$3:$AD$42,INT((ROW()-3)/4)+1))</x:f>
      </x:c>
      <x:c r="C114" s="100" t="str">
        <x:f>IF(INDEX('Curtain Input'!$A$3:$A$42,INT((ROW()-3)/4)+1)="","",INDEX('Curtain Input'!$A$3:$A$42,INT((ROW()-3)/4)+1))</x:f>
      </x:c>
      <x:c r="D114" s="100" t="str">
        <x:f>IF(INDEX('Curtain Input'!$A$3:$A$42,INT((ROW()-3)/4)+1)="","",CHOOSE(MOD(ROW()-3,4)+1,"Headbox front/back sections","Side guide pair","Barrel/curtain/bottom rail assembly","Control panel/endplate box"))</x:f>
      </x:c>
      <x:c r="E114" s="100" t="str">
        <x:f>IF(INDEX('Curtain Input'!$A$3:$A$42,INT((ROW()-3)/4)+1)="","",CHOOSE(MOD(ROW()-3,4)+1,2,2*INDEX('Curtain Input'!$J$3:$J$42,INT((ROW()-3)/4)+1),1,1))</x:f>
      </x:c>
      <x:c r="F11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1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1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14" s="124" t="str">
        <x:f>IF(INDEX('Curtain Input'!$A$3:$A$42,INT((ROW()-3)/4)+1)="","",CHOOSE(MOD(ROW()-3,4)+1,300,250,500,400))</x:f>
      </x:c>
      <x:c r="J114" s="124" t="str">
        <x:f>IF(INDEX('Curtain Input'!$A$3:$A$42,INT((ROW()-3)/4)+1)="","",CHOOSE(MOD(ROW()-3,4)+1,250,200,350,300))</x:f>
      </x:c>
      <x:c r="K114" s="100" t="str">
        <x:f>IF(INDEX('Curtain Input'!$A$3:$A$42,INT((ROW()-3)/4)+1)="","",IF(MOD(ROW()-3,4)+1=2,"Guide split parts from Curtain Input",""))</x:f>
      </x:c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  <x:c r="AA114" s="101"/>
      <x:c r="AB114" s="101"/>
      <x:c r="AC114" s="101"/>
      <x:c r="AD114" s="101"/>
      <x:c r="AE114" s="101"/>
    </x:row>
    <x:row r="115">
      <x:c r="A11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15" s="100" t="str">
        <x:f>IF(INDEX('Curtain Input'!$A$3:$A$42,INT((ROW()-3)/4)+1)="","",INDEX('Curtain Input'!$AD$3:$AD$42,INT((ROW()-3)/4)+1))</x:f>
      </x:c>
      <x:c r="C115" s="100" t="str">
        <x:f>IF(INDEX('Curtain Input'!$A$3:$A$42,INT((ROW()-3)/4)+1)="","",INDEX('Curtain Input'!$A$3:$A$42,INT((ROW()-3)/4)+1))</x:f>
      </x:c>
      <x:c r="D115" s="100" t="str">
        <x:f>IF(INDEX('Curtain Input'!$A$3:$A$42,INT((ROW()-3)/4)+1)="","",CHOOSE(MOD(ROW()-3,4)+1,"Headbox front/back sections","Side guide pair","Barrel/curtain/bottom rail assembly","Control panel/endplate box"))</x:f>
      </x:c>
      <x:c r="E115" s="100" t="str">
        <x:f>IF(INDEX('Curtain Input'!$A$3:$A$42,INT((ROW()-3)/4)+1)="","",CHOOSE(MOD(ROW()-3,4)+1,2,2*INDEX('Curtain Input'!$J$3:$J$42,INT((ROW()-3)/4)+1),1,1))</x:f>
      </x:c>
      <x:c r="F11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1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1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15" s="124" t="str">
        <x:f>IF(INDEX('Curtain Input'!$A$3:$A$42,INT((ROW()-3)/4)+1)="","",CHOOSE(MOD(ROW()-3,4)+1,300,250,500,400))</x:f>
      </x:c>
      <x:c r="J115" s="124" t="str">
        <x:f>IF(INDEX('Curtain Input'!$A$3:$A$42,INT((ROW()-3)/4)+1)="","",CHOOSE(MOD(ROW()-3,4)+1,250,200,350,300))</x:f>
      </x:c>
      <x:c r="K115" s="100" t="str">
        <x:f>IF(INDEX('Curtain Input'!$A$3:$A$42,INT((ROW()-3)/4)+1)="","",IF(MOD(ROW()-3,4)+1=2,"Guide split parts from Curtain Input",""))</x:f>
      </x:c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  <x:c r="AA115" s="101"/>
      <x:c r="AB115" s="101"/>
      <x:c r="AC115" s="101"/>
      <x:c r="AD115" s="101"/>
      <x:c r="AE115" s="101"/>
    </x:row>
    <x:row r="116">
      <x:c r="A11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16" s="100" t="str">
        <x:f>IF(INDEX('Curtain Input'!$A$3:$A$42,INT((ROW()-3)/4)+1)="","",INDEX('Curtain Input'!$AD$3:$AD$42,INT((ROW()-3)/4)+1))</x:f>
      </x:c>
      <x:c r="C116" s="100" t="str">
        <x:f>IF(INDEX('Curtain Input'!$A$3:$A$42,INT((ROW()-3)/4)+1)="","",INDEX('Curtain Input'!$A$3:$A$42,INT((ROW()-3)/4)+1))</x:f>
      </x:c>
      <x:c r="D116" s="100" t="str">
        <x:f>IF(INDEX('Curtain Input'!$A$3:$A$42,INT((ROW()-3)/4)+1)="","",CHOOSE(MOD(ROW()-3,4)+1,"Headbox front/back sections","Side guide pair","Barrel/curtain/bottom rail assembly","Control panel/endplate box"))</x:f>
      </x:c>
      <x:c r="E116" s="100" t="str">
        <x:f>IF(INDEX('Curtain Input'!$A$3:$A$42,INT((ROW()-3)/4)+1)="","",CHOOSE(MOD(ROW()-3,4)+1,2,2*INDEX('Curtain Input'!$J$3:$J$42,INT((ROW()-3)/4)+1),1,1))</x:f>
      </x:c>
      <x:c r="F11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1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1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16" s="124" t="str">
        <x:f>IF(INDEX('Curtain Input'!$A$3:$A$42,INT((ROW()-3)/4)+1)="","",CHOOSE(MOD(ROW()-3,4)+1,300,250,500,400))</x:f>
      </x:c>
      <x:c r="J116" s="124" t="str">
        <x:f>IF(INDEX('Curtain Input'!$A$3:$A$42,INT((ROW()-3)/4)+1)="","",CHOOSE(MOD(ROW()-3,4)+1,250,200,350,300))</x:f>
      </x:c>
      <x:c r="K116" s="100" t="str">
        <x:f>IF(INDEX('Curtain Input'!$A$3:$A$42,INT((ROW()-3)/4)+1)="","",IF(MOD(ROW()-3,4)+1=2,"Guide split parts from Curtain Input",""))</x:f>
      </x:c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  <x:c r="AA116" s="101"/>
      <x:c r="AB116" s="101"/>
      <x:c r="AC116" s="101"/>
      <x:c r="AD116" s="101"/>
      <x:c r="AE116" s="101"/>
    </x:row>
    <x:row r="117">
      <x:c r="A11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17" s="100" t="str">
        <x:f>IF(INDEX('Curtain Input'!$A$3:$A$42,INT((ROW()-3)/4)+1)="","",INDEX('Curtain Input'!$AD$3:$AD$42,INT((ROW()-3)/4)+1))</x:f>
      </x:c>
      <x:c r="C117" s="100" t="str">
        <x:f>IF(INDEX('Curtain Input'!$A$3:$A$42,INT((ROW()-3)/4)+1)="","",INDEX('Curtain Input'!$A$3:$A$42,INT((ROW()-3)/4)+1))</x:f>
      </x:c>
      <x:c r="D117" s="100" t="str">
        <x:f>IF(INDEX('Curtain Input'!$A$3:$A$42,INT((ROW()-3)/4)+1)="","",CHOOSE(MOD(ROW()-3,4)+1,"Headbox front/back sections","Side guide pair","Barrel/curtain/bottom rail assembly","Control panel/endplate box"))</x:f>
      </x:c>
      <x:c r="E117" s="100" t="str">
        <x:f>IF(INDEX('Curtain Input'!$A$3:$A$42,INT((ROW()-3)/4)+1)="","",CHOOSE(MOD(ROW()-3,4)+1,2,2*INDEX('Curtain Input'!$J$3:$J$42,INT((ROW()-3)/4)+1),1,1))</x:f>
      </x:c>
      <x:c r="F11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1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1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17" s="124" t="str">
        <x:f>IF(INDEX('Curtain Input'!$A$3:$A$42,INT((ROW()-3)/4)+1)="","",CHOOSE(MOD(ROW()-3,4)+1,300,250,500,400))</x:f>
      </x:c>
      <x:c r="J117" s="124" t="str">
        <x:f>IF(INDEX('Curtain Input'!$A$3:$A$42,INT((ROW()-3)/4)+1)="","",CHOOSE(MOD(ROW()-3,4)+1,250,200,350,300))</x:f>
      </x:c>
      <x:c r="K117" s="100" t="str">
        <x:f>IF(INDEX('Curtain Input'!$A$3:$A$42,INT((ROW()-3)/4)+1)="","",IF(MOD(ROW()-3,4)+1=2,"Guide split parts from Curtain Input",""))</x:f>
      </x:c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  <x:c r="AA117" s="101"/>
      <x:c r="AB117" s="101"/>
      <x:c r="AC117" s="101"/>
      <x:c r="AD117" s="101"/>
      <x:c r="AE117" s="101"/>
    </x:row>
    <x:row r="118">
      <x:c r="A11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18" s="100" t="str">
        <x:f>IF(INDEX('Curtain Input'!$A$3:$A$42,INT((ROW()-3)/4)+1)="","",INDEX('Curtain Input'!$AD$3:$AD$42,INT((ROW()-3)/4)+1))</x:f>
      </x:c>
      <x:c r="C118" s="100" t="str">
        <x:f>IF(INDEX('Curtain Input'!$A$3:$A$42,INT((ROW()-3)/4)+1)="","",INDEX('Curtain Input'!$A$3:$A$42,INT((ROW()-3)/4)+1))</x:f>
      </x:c>
      <x:c r="D118" s="100" t="str">
        <x:f>IF(INDEX('Curtain Input'!$A$3:$A$42,INT((ROW()-3)/4)+1)="","",CHOOSE(MOD(ROW()-3,4)+1,"Headbox front/back sections","Side guide pair","Barrel/curtain/bottom rail assembly","Control panel/endplate box"))</x:f>
      </x:c>
      <x:c r="E118" s="100" t="str">
        <x:f>IF(INDEX('Curtain Input'!$A$3:$A$42,INT((ROW()-3)/4)+1)="","",CHOOSE(MOD(ROW()-3,4)+1,2,2*INDEX('Curtain Input'!$J$3:$J$42,INT((ROW()-3)/4)+1),1,1))</x:f>
      </x:c>
      <x:c r="F11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1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1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18" s="124" t="str">
        <x:f>IF(INDEX('Curtain Input'!$A$3:$A$42,INT((ROW()-3)/4)+1)="","",CHOOSE(MOD(ROW()-3,4)+1,300,250,500,400))</x:f>
      </x:c>
      <x:c r="J118" s="124" t="str">
        <x:f>IF(INDEX('Curtain Input'!$A$3:$A$42,INT((ROW()-3)/4)+1)="","",CHOOSE(MOD(ROW()-3,4)+1,250,200,350,300))</x:f>
      </x:c>
      <x:c r="K118" s="100" t="str">
        <x:f>IF(INDEX('Curtain Input'!$A$3:$A$42,INT((ROW()-3)/4)+1)="","",IF(MOD(ROW()-3,4)+1=2,"Guide split parts from Curtain Input",""))</x:f>
      </x:c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  <x:c r="AA118" s="101"/>
      <x:c r="AB118" s="101"/>
      <x:c r="AC118" s="101"/>
      <x:c r="AD118" s="101"/>
      <x:c r="AE118" s="101"/>
    </x:row>
    <x:row r="119">
      <x:c r="A11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19" s="100" t="str">
        <x:f>IF(INDEX('Curtain Input'!$A$3:$A$42,INT((ROW()-3)/4)+1)="","",INDEX('Curtain Input'!$AD$3:$AD$42,INT((ROW()-3)/4)+1))</x:f>
      </x:c>
      <x:c r="C119" s="100" t="str">
        <x:f>IF(INDEX('Curtain Input'!$A$3:$A$42,INT((ROW()-3)/4)+1)="","",INDEX('Curtain Input'!$A$3:$A$42,INT((ROW()-3)/4)+1))</x:f>
      </x:c>
      <x:c r="D119" s="100" t="str">
        <x:f>IF(INDEX('Curtain Input'!$A$3:$A$42,INT((ROW()-3)/4)+1)="","",CHOOSE(MOD(ROW()-3,4)+1,"Headbox front/back sections","Side guide pair","Barrel/curtain/bottom rail assembly","Control panel/endplate box"))</x:f>
      </x:c>
      <x:c r="E119" s="100" t="str">
        <x:f>IF(INDEX('Curtain Input'!$A$3:$A$42,INT((ROW()-3)/4)+1)="","",CHOOSE(MOD(ROW()-3,4)+1,2,2*INDEX('Curtain Input'!$J$3:$J$42,INT((ROW()-3)/4)+1),1,1))</x:f>
      </x:c>
      <x:c r="F11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1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1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19" s="124" t="str">
        <x:f>IF(INDEX('Curtain Input'!$A$3:$A$42,INT((ROW()-3)/4)+1)="","",CHOOSE(MOD(ROW()-3,4)+1,300,250,500,400))</x:f>
      </x:c>
      <x:c r="J119" s="124" t="str">
        <x:f>IF(INDEX('Curtain Input'!$A$3:$A$42,INT((ROW()-3)/4)+1)="","",CHOOSE(MOD(ROW()-3,4)+1,250,200,350,300))</x:f>
      </x:c>
      <x:c r="K119" s="100" t="str">
        <x:f>IF(INDEX('Curtain Input'!$A$3:$A$42,INT((ROW()-3)/4)+1)="","",IF(MOD(ROW()-3,4)+1=2,"Guide split parts from Curtain Input",""))</x:f>
      </x:c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  <x:c r="AA119" s="101"/>
      <x:c r="AB119" s="101"/>
      <x:c r="AC119" s="101"/>
      <x:c r="AD119" s="101"/>
      <x:c r="AE119" s="101"/>
    </x:row>
    <x:row r="120">
      <x:c r="A12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20" s="100" t="str">
        <x:f>IF(INDEX('Curtain Input'!$A$3:$A$42,INT((ROW()-3)/4)+1)="","",INDEX('Curtain Input'!$AD$3:$AD$42,INT((ROW()-3)/4)+1))</x:f>
      </x:c>
      <x:c r="C120" s="100" t="str">
        <x:f>IF(INDEX('Curtain Input'!$A$3:$A$42,INT((ROW()-3)/4)+1)="","",INDEX('Curtain Input'!$A$3:$A$42,INT((ROW()-3)/4)+1))</x:f>
      </x:c>
      <x:c r="D120" s="100" t="str">
        <x:f>IF(INDEX('Curtain Input'!$A$3:$A$42,INT((ROW()-3)/4)+1)="","",CHOOSE(MOD(ROW()-3,4)+1,"Headbox front/back sections","Side guide pair","Barrel/curtain/bottom rail assembly","Control panel/endplate box"))</x:f>
      </x:c>
      <x:c r="E120" s="100" t="str">
        <x:f>IF(INDEX('Curtain Input'!$A$3:$A$42,INT((ROW()-3)/4)+1)="","",CHOOSE(MOD(ROW()-3,4)+1,2,2*INDEX('Curtain Input'!$J$3:$J$42,INT((ROW()-3)/4)+1),1,1))</x:f>
      </x:c>
      <x:c r="F12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2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2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20" s="124" t="str">
        <x:f>IF(INDEX('Curtain Input'!$A$3:$A$42,INT((ROW()-3)/4)+1)="","",CHOOSE(MOD(ROW()-3,4)+1,300,250,500,400))</x:f>
      </x:c>
      <x:c r="J120" s="124" t="str">
        <x:f>IF(INDEX('Curtain Input'!$A$3:$A$42,INT((ROW()-3)/4)+1)="","",CHOOSE(MOD(ROW()-3,4)+1,250,200,350,300))</x:f>
      </x:c>
      <x:c r="K120" s="100" t="str">
        <x:f>IF(INDEX('Curtain Input'!$A$3:$A$42,INT((ROW()-3)/4)+1)="","",IF(MOD(ROW()-3,4)+1=2,"Guide split parts from Curtain Input",""))</x:f>
      </x:c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  <x:c r="AA120" s="101"/>
      <x:c r="AB120" s="101"/>
      <x:c r="AC120" s="101"/>
      <x:c r="AD120" s="101"/>
      <x:c r="AE120" s="101"/>
    </x:row>
    <x:row r="121">
      <x:c r="A12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21" s="100" t="str">
        <x:f>IF(INDEX('Curtain Input'!$A$3:$A$42,INT((ROW()-3)/4)+1)="","",INDEX('Curtain Input'!$AD$3:$AD$42,INT((ROW()-3)/4)+1))</x:f>
      </x:c>
      <x:c r="C121" s="100" t="str">
        <x:f>IF(INDEX('Curtain Input'!$A$3:$A$42,INT((ROW()-3)/4)+1)="","",INDEX('Curtain Input'!$A$3:$A$42,INT((ROW()-3)/4)+1))</x:f>
      </x:c>
      <x:c r="D121" s="100" t="str">
        <x:f>IF(INDEX('Curtain Input'!$A$3:$A$42,INT((ROW()-3)/4)+1)="","",CHOOSE(MOD(ROW()-3,4)+1,"Headbox front/back sections","Side guide pair","Barrel/curtain/bottom rail assembly","Control panel/endplate box"))</x:f>
      </x:c>
      <x:c r="E121" s="100" t="str">
        <x:f>IF(INDEX('Curtain Input'!$A$3:$A$42,INT((ROW()-3)/4)+1)="","",CHOOSE(MOD(ROW()-3,4)+1,2,2*INDEX('Curtain Input'!$J$3:$J$42,INT((ROW()-3)/4)+1),1,1))</x:f>
      </x:c>
      <x:c r="F12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2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2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21" s="124" t="str">
        <x:f>IF(INDEX('Curtain Input'!$A$3:$A$42,INT((ROW()-3)/4)+1)="","",CHOOSE(MOD(ROW()-3,4)+1,300,250,500,400))</x:f>
      </x:c>
      <x:c r="J121" s="124" t="str">
        <x:f>IF(INDEX('Curtain Input'!$A$3:$A$42,INT((ROW()-3)/4)+1)="","",CHOOSE(MOD(ROW()-3,4)+1,250,200,350,300))</x:f>
      </x:c>
      <x:c r="K121" s="100" t="str">
        <x:f>IF(INDEX('Curtain Input'!$A$3:$A$42,INT((ROW()-3)/4)+1)="","",IF(MOD(ROW()-3,4)+1=2,"Guide split parts from Curtain Input",""))</x:f>
      </x:c>
      <x:c r="L121" s="101"/>
      <x:c r="M121" s="101"/>
      <x:c r="N121" s="101"/>
      <x:c r="O121" s="101"/>
      <x:c r="P121" s="101"/>
      <x:c r="Q121" s="101"/>
      <x:c r="R121" s="101"/>
      <x:c r="S121" s="101"/>
      <x:c r="T121" s="101"/>
      <x:c r="U121" s="101"/>
      <x:c r="V121" s="101"/>
      <x:c r="W121" s="101"/>
      <x:c r="X121" s="101"/>
      <x:c r="Y121" s="101"/>
      <x:c r="Z121" s="101"/>
      <x:c r="AA121" s="101"/>
      <x:c r="AB121" s="101"/>
      <x:c r="AC121" s="101"/>
      <x:c r="AD121" s="101"/>
      <x:c r="AE121" s="101"/>
    </x:row>
    <x:row r="122">
      <x:c r="A12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22" s="100" t="str">
        <x:f>IF(INDEX('Curtain Input'!$A$3:$A$42,INT((ROW()-3)/4)+1)="","",INDEX('Curtain Input'!$AD$3:$AD$42,INT((ROW()-3)/4)+1))</x:f>
      </x:c>
      <x:c r="C122" s="100" t="str">
        <x:f>IF(INDEX('Curtain Input'!$A$3:$A$42,INT((ROW()-3)/4)+1)="","",INDEX('Curtain Input'!$A$3:$A$42,INT((ROW()-3)/4)+1))</x:f>
      </x:c>
      <x:c r="D122" s="100" t="str">
        <x:f>IF(INDEX('Curtain Input'!$A$3:$A$42,INT((ROW()-3)/4)+1)="","",CHOOSE(MOD(ROW()-3,4)+1,"Headbox front/back sections","Side guide pair","Barrel/curtain/bottom rail assembly","Control panel/endplate box"))</x:f>
      </x:c>
      <x:c r="E122" s="100" t="str">
        <x:f>IF(INDEX('Curtain Input'!$A$3:$A$42,INT((ROW()-3)/4)+1)="","",CHOOSE(MOD(ROW()-3,4)+1,2,2*INDEX('Curtain Input'!$J$3:$J$42,INT((ROW()-3)/4)+1),1,1))</x:f>
      </x:c>
      <x:c r="F12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2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2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22" s="124" t="str">
        <x:f>IF(INDEX('Curtain Input'!$A$3:$A$42,INT((ROW()-3)/4)+1)="","",CHOOSE(MOD(ROW()-3,4)+1,300,250,500,400))</x:f>
      </x:c>
      <x:c r="J122" s="124" t="str">
        <x:f>IF(INDEX('Curtain Input'!$A$3:$A$42,INT((ROW()-3)/4)+1)="","",CHOOSE(MOD(ROW()-3,4)+1,250,200,350,300))</x:f>
      </x:c>
      <x:c r="K122" s="100" t="str">
        <x:f>IF(INDEX('Curtain Input'!$A$3:$A$42,INT((ROW()-3)/4)+1)="","",IF(MOD(ROW()-3,4)+1=2,"Guide split parts from Curtain Input",""))</x:f>
      </x:c>
      <x:c r="L122" s="101"/>
      <x:c r="M122" s="101"/>
      <x:c r="N122" s="101"/>
      <x:c r="O122" s="101"/>
      <x:c r="P122" s="101"/>
      <x:c r="Q122" s="101"/>
      <x:c r="R122" s="101"/>
      <x:c r="S122" s="101"/>
      <x:c r="T122" s="101"/>
      <x:c r="U122" s="101"/>
      <x:c r="V122" s="101"/>
      <x:c r="W122" s="101"/>
      <x:c r="X122" s="101"/>
      <x:c r="Y122" s="101"/>
      <x:c r="Z122" s="101"/>
      <x:c r="AA122" s="101"/>
      <x:c r="AB122" s="101"/>
      <x:c r="AC122" s="101"/>
      <x:c r="AD122" s="101"/>
      <x:c r="AE122" s="101"/>
    </x:row>
    <x:row r="123">
      <x:c r="A12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23" s="100" t="str">
        <x:f>IF(INDEX('Curtain Input'!$A$3:$A$42,INT((ROW()-3)/4)+1)="","",INDEX('Curtain Input'!$AD$3:$AD$42,INT((ROW()-3)/4)+1))</x:f>
      </x:c>
      <x:c r="C123" s="100" t="str">
        <x:f>IF(INDEX('Curtain Input'!$A$3:$A$42,INT((ROW()-3)/4)+1)="","",INDEX('Curtain Input'!$A$3:$A$42,INT((ROW()-3)/4)+1))</x:f>
      </x:c>
      <x:c r="D123" s="100" t="str">
        <x:f>IF(INDEX('Curtain Input'!$A$3:$A$42,INT((ROW()-3)/4)+1)="","",CHOOSE(MOD(ROW()-3,4)+1,"Headbox front/back sections","Side guide pair","Barrel/curtain/bottom rail assembly","Control panel/endplate box"))</x:f>
      </x:c>
      <x:c r="E123" s="100" t="str">
        <x:f>IF(INDEX('Curtain Input'!$A$3:$A$42,INT((ROW()-3)/4)+1)="","",CHOOSE(MOD(ROW()-3,4)+1,2,2*INDEX('Curtain Input'!$J$3:$J$42,INT((ROW()-3)/4)+1),1,1))</x:f>
      </x:c>
      <x:c r="F12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2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2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23" s="124" t="str">
        <x:f>IF(INDEX('Curtain Input'!$A$3:$A$42,INT((ROW()-3)/4)+1)="","",CHOOSE(MOD(ROW()-3,4)+1,300,250,500,400))</x:f>
      </x:c>
      <x:c r="J123" s="124" t="str">
        <x:f>IF(INDEX('Curtain Input'!$A$3:$A$42,INT((ROW()-3)/4)+1)="","",CHOOSE(MOD(ROW()-3,4)+1,250,200,350,300))</x:f>
      </x:c>
      <x:c r="K123" s="100" t="str">
        <x:f>IF(INDEX('Curtain Input'!$A$3:$A$42,INT((ROW()-3)/4)+1)="","",IF(MOD(ROW()-3,4)+1=2,"Guide split parts from Curtain Input",""))</x:f>
      </x:c>
      <x:c r="L123" s="101"/>
      <x:c r="M123" s="101"/>
      <x:c r="N123" s="101"/>
      <x:c r="O123" s="101"/>
      <x:c r="P123" s="101"/>
      <x:c r="Q123" s="101"/>
      <x:c r="R123" s="101"/>
      <x:c r="S123" s="101"/>
      <x:c r="T123" s="101"/>
      <x:c r="U123" s="101"/>
      <x:c r="V123" s="101"/>
      <x:c r="W123" s="101"/>
      <x:c r="X123" s="101"/>
      <x:c r="Y123" s="101"/>
      <x:c r="Z123" s="101"/>
      <x:c r="AA123" s="101"/>
      <x:c r="AB123" s="101"/>
      <x:c r="AC123" s="101"/>
      <x:c r="AD123" s="101"/>
      <x:c r="AE123" s="101"/>
    </x:row>
    <x:row r="124">
      <x:c r="A12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24" s="100" t="str">
        <x:f>IF(INDEX('Curtain Input'!$A$3:$A$42,INT((ROW()-3)/4)+1)="","",INDEX('Curtain Input'!$AD$3:$AD$42,INT((ROW()-3)/4)+1))</x:f>
      </x:c>
      <x:c r="C124" s="100" t="str">
        <x:f>IF(INDEX('Curtain Input'!$A$3:$A$42,INT((ROW()-3)/4)+1)="","",INDEX('Curtain Input'!$A$3:$A$42,INT((ROW()-3)/4)+1))</x:f>
      </x:c>
      <x:c r="D124" s="100" t="str">
        <x:f>IF(INDEX('Curtain Input'!$A$3:$A$42,INT((ROW()-3)/4)+1)="","",CHOOSE(MOD(ROW()-3,4)+1,"Headbox front/back sections","Side guide pair","Barrel/curtain/bottom rail assembly","Control panel/endplate box"))</x:f>
      </x:c>
      <x:c r="E124" s="100" t="str">
        <x:f>IF(INDEX('Curtain Input'!$A$3:$A$42,INT((ROW()-3)/4)+1)="","",CHOOSE(MOD(ROW()-3,4)+1,2,2*INDEX('Curtain Input'!$J$3:$J$42,INT((ROW()-3)/4)+1),1,1))</x:f>
      </x:c>
      <x:c r="F12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2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2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24" s="124" t="str">
        <x:f>IF(INDEX('Curtain Input'!$A$3:$A$42,INT((ROW()-3)/4)+1)="","",CHOOSE(MOD(ROW()-3,4)+1,300,250,500,400))</x:f>
      </x:c>
      <x:c r="J124" s="124" t="str">
        <x:f>IF(INDEX('Curtain Input'!$A$3:$A$42,INT((ROW()-3)/4)+1)="","",CHOOSE(MOD(ROW()-3,4)+1,250,200,350,300))</x:f>
      </x:c>
      <x:c r="K124" s="100" t="str">
        <x:f>IF(INDEX('Curtain Input'!$A$3:$A$42,INT((ROW()-3)/4)+1)="","",IF(MOD(ROW()-3,4)+1=2,"Guide split parts from Curtain Input",""))</x:f>
      </x:c>
      <x:c r="L124" s="101"/>
      <x:c r="M124" s="101"/>
      <x:c r="N124" s="101"/>
      <x:c r="O124" s="101"/>
      <x:c r="P124" s="101"/>
      <x:c r="Q124" s="101"/>
      <x:c r="R124" s="101"/>
      <x:c r="S124" s="101"/>
      <x:c r="T124" s="101"/>
      <x:c r="U124" s="101"/>
      <x:c r="V124" s="101"/>
      <x:c r="W124" s="101"/>
      <x:c r="X124" s="101"/>
      <x:c r="Y124" s="101"/>
      <x:c r="Z124" s="101"/>
      <x:c r="AA124" s="101"/>
      <x:c r="AB124" s="101"/>
      <x:c r="AC124" s="101"/>
      <x:c r="AD124" s="101"/>
      <x:c r="AE124" s="101"/>
    </x:row>
    <x:row r="125">
      <x:c r="A12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25" s="100" t="str">
        <x:f>IF(INDEX('Curtain Input'!$A$3:$A$42,INT((ROW()-3)/4)+1)="","",INDEX('Curtain Input'!$AD$3:$AD$42,INT((ROW()-3)/4)+1))</x:f>
      </x:c>
      <x:c r="C125" s="100" t="str">
        <x:f>IF(INDEX('Curtain Input'!$A$3:$A$42,INT((ROW()-3)/4)+1)="","",INDEX('Curtain Input'!$A$3:$A$42,INT((ROW()-3)/4)+1))</x:f>
      </x:c>
      <x:c r="D125" s="100" t="str">
        <x:f>IF(INDEX('Curtain Input'!$A$3:$A$42,INT((ROW()-3)/4)+1)="","",CHOOSE(MOD(ROW()-3,4)+1,"Headbox front/back sections","Side guide pair","Barrel/curtain/bottom rail assembly","Control panel/endplate box"))</x:f>
      </x:c>
      <x:c r="E125" s="100" t="str">
        <x:f>IF(INDEX('Curtain Input'!$A$3:$A$42,INT((ROW()-3)/4)+1)="","",CHOOSE(MOD(ROW()-3,4)+1,2,2*INDEX('Curtain Input'!$J$3:$J$42,INT((ROW()-3)/4)+1),1,1))</x:f>
      </x:c>
      <x:c r="F12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2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2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25" s="124" t="str">
        <x:f>IF(INDEX('Curtain Input'!$A$3:$A$42,INT((ROW()-3)/4)+1)="","",CHOOSE(MOD(ROW()-3,4)+1,300,250,500,400))</x:f>
      </x:c>
      <x:c r="J125" s="124" t="str">
        <x:f>IF(INDEX('Curtain Input'!$A$3:$A$42,INT((ROW()-3)/4)+1)="","",CHOOSE(MOD(ROW()-3,4)+1,250,200,350,300))</x:f>
      </x:c>
      <x:c r="K125" s="100" t="str">
        <x:f>IF(INDEX('Curtain Input'!$A$3:$A$42,INT((ROW()-3)/4)+1)="","",IF(MOD(ROW()-3,4)+1=2,"Guide split parts from Curtain Input",""))</x:f>
      </x:c>
      <x:c r="L125" s="101"/>
      <x:c r="M125" s="101"/>
      <x:c r="N125" s="101"/>
      <x:c r="O125" s="101"/>
      <x:c r="P125" s="101"/>
      <x:c r="Q125" s="101"/>
      <x:c r="R125" s="101"/>
      <x:c r="S125" s="101"/>
      <x:c r="T125" s="101"/>
      <x:c r="U125" s="101"/>
      <x:c r="V125" s="101"/>
      <x:c r="W125" s="101"/>
      <x:c r="X125" s="101"/>
      <x:c r="Y125" s="101"/>
      <x:c r="Z125" s="101"/>
      <x:c r="AA125" s="101"/>
      <x:c r="AB125" s="101"/>
      <x:c r="AC125" s="101"/>
      <x:c r="AD125" s="101"/>
      <x:c r="AE125" s="101"/>
    </x:row>
    <x:row r="126">
      <x:c r="A12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26" s="100" t="str">
        <x:f>IF(INDEX('Curtain Input'!$A$3:$A$42,INT((ROW()-3)/4)+1)="","",INDEX('Curtain Input'!$AD$3:$AD$42,INT((ROW()-3)/4)+1))</x:f>
      </x:c>
      <x:c r="C126" s="100" t="str">
        <x:f>IF(INDEX('Curtain Input'!$A$3:$A$42,INT((ROW()-3)/4)+1)="","",INDEX('Curtain Input'!$A$3:$A$42,INT((ROW()-3)/4)+1))</x:f>
      </x:c>
      <x:c r="D126" s="100" t="str">
        <x:f>IF(INDEX('Curtain Input'!$A$3:$A$42,INT((ROW()-3)/4)+1)="","",CHOOSE(MOD(ROW()-3,4)+1,"Headbox front/back sections","Side guide pair","Barrel/curtain/bottom rail assembly","Control panel/endplate box"))</x:f>
      </x:c>
      <x:c r="E126" s="100" t="str">
        <x:f>IF(INDEX('Curtain Input'!$A$3:$A$42,INT((ROW()-3)/4)+1)="","",CHOOSE(MOD(ROW()-3,4)+1,2,2*INDEX('Curtain Input'!$J$3:$J$42,INT((ROW()-3)/4)+1),1,1))</x:f>
      </x:c>
      <x:c r="F12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2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2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26" s="124" t="str">
        <x:f>IF(INDEX('Curtain Input'!$A$3:$A$42,INT((ROW()-3)/4)+1)="","",CHOOSE(MOD(ROW()-3,4)+1,300,250,500,400))</x:f>
      </x:c>
      <x:c r="J126" s="124" t="str">
        <x:f>IF(INDEX('Curtain Input'!$A$3:$A$42,INT((ROW()-3)/4)+1)="","",CHOOSE(MOD(ROW()-3,4)+1,250,200,350,300))</x:f>
      </x:c>
      <x:c r="K126" s="100" t="str">
        <x:f>IF(INDEX('Curtain Input'!$A$3:$A$42,INT((ROW()-3)/4)+1)="","",IF(MOD(ROW()-3,4)+1=2,"Guide split parts from Curtain Input",""))</x:f>
      </x:c>
      <x:c r="L126" s="101"/>
      <x:c r="M126" s="101"/>
      <x:c r="N126" s="101"/>
      <x:c r="O126" s="101"/>
      <x:c r="P126" s="101"/>
      <x:c r="Q126" s="101"/>
      <x:c r="R126" s="101"/>
      <x:c r="S126" s="101"/>
      <x:c r="T126" s="101"/>
      <x:c r="U126" s="101"/>
      <x:c r="V126" s="101"/>
      <x:c r="W126" s="101"/>
      <x:c r="X126" s="101"/>
      <x:c r="Y126" s="101"/>
      <x:c r="Z126" s="101"/>
      <x:c r="AA126" s="101"/>
      <x:c r="AB126" s="101"/>
      <x:c r="AC126" s="101"/>
      <x:c r="AD126" s="101"/>
      <x:c r="AE126" s="101"/>
    </x:row>
    <x:row r="127">
      <x:c r="A12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27" s="100" t="str">
        <x:f>IF(INDEX('Curtain Input'!$A$3:$A$42,INT((ROW()-3)/4)+1)="","",INDEX('Curtain Input'!$AD$3:$AD$42,INT((ROW()-3)/4)+1))</x:f>
      </x:c>
      <x:c r="C127" s="100" t="str">
        <x:f>IF(INDEX('Curtain Input'!$A$3:$A$42,INT((ROW()-3)/4)+1)="","",INDEX('Curtain Input'!$A$3:$A$42,INT((ROW()-3)/4)+1))</x:f>
      </x:c>
      <x:c r="D127" s="100" t="str">
        <x:f>IF(INDEX('Curtain Input'!$A$3:$A$42,INT((ROW()-3)/4)+1)="","",CHOOSE(MOD(ROW()-3,4)+1,"Headbox front/back sections","Side guide pair","Barrel/curtain/bottom rail assembly","Control panel/endplate box"))</x:f>
      </x:c>
      <x:c r="E127" s="100" t="str">
        <x:f>IF(INDEX('Curtain Input'!$A$3:$A$42,INT((ROW()-3)/4)+1)="","",CHOOSE(MOD(ROW()-3,4)+1,2,2*INDEX('Curtain Input'!$J$3:$J$42,INT((ROW()-3)/4)+1),1,1))</x:f>
      </x:c>
      <x:c r="F12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2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2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27" s="124" t="str">
        <x:f>IF(INDEX('Curtain Input'!$A$3:$A$42,INT((ROW()-3)/4)+1)="","",CHOOSE(MOD(ROW()-3,4)+1,300,250,500,400))</x:f>
      </x:c>
      <x:c r="J127" s="124" t="str">
        <x:f>IF(INDEX('Curtain Input'!$A$3:$A$42,INT((ROW()-3)/4)+1)="","",CHOOSE(MOD(ROW()-3,4)+1,250,200,350,300))</x:f>
      </x:c>
      <x:c r="K127" s="100" t="str">
        <x:f>IF(INDEX('Curtain Input'!$A$3:$A$42,INT((ROW()-3)/4)+1)="","",IF(MOD(ROW()-3,4)+1=2,"Guide split parts from Curtain Input",""))</x:f>
      </x:c>
      <x:c r="L127" s="101"/>
      <x:c r="M127" s="101"/>
      <x:c r="N127" s="101"/>
      <x:c r="O127" s="101"/>
      <x:c r="P127" s="101"/>
      <x:c r="Q127" s="101"/>
      <x:c r="R127" s="101"/>
      <x:c r="S127" s="101"/>
      <x:c r="T127" s="101"/>
      <x:c r="U127" s="101"/>
      <x:c r="V127" s="101"/>
      <x:c r="W127" s="101"/>
      <x:c r="X127" s="101"/>
      <x:c r="Y127" s="101"/>
      <x:c r="Z127" s="101"/>
      <x:c r="AA127" s="101"/>
      <x:c r="AB127" s="101"/>
      <x:c r="AC127" s="101"/>
      <x:c r="AD127" s="101"/>
      <x:c r="AE127" s="101"/>
    </x:row>
    <x:row r="128">
      <x:c r="A12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28" s="100" t="str">
        <x:f>IF(INDEX('Curtain Input'!$A$3:$A$42,INT((ROW()-3)/4)+1)="","",INDEX('Curtain Input'!$AD$3:$AD$42,INT((ROW()-3)/4)+1))</x:f>
      </x:c>
      <x:c r="C128" s="100" t="str">
        <x:f>IF(INDEX('Curtain Input'!$A$3:$A$42,INT((ROW()-3)/4)+1)="","",INDEX('Curtain Input'!$A$3:$A$42,INT((ROW()-3)/4)+1))</x:f>
      </x:c>
      <x:c r="D128" s="100" t="str">
        <x:f>IF(INDEX('Curtain Input'!$A$3:$A$42,INT((ROW()-3)/4)+1)="","",CHOOSE(MOD(ROW()-3,4)+1,"Headbox front/back sections","Side guide pair","Barrel/curtain/bottom rail assembly","Control panel/endplate box"))</x:f>
      </x:c>
      <x:c r="E128" s="100" t="str">
        <x:f>IF(INDEX('Curtain Input'!$A$3:$A$42,INT((ROW()-3)/4)+1)="","",CHOOSE(MOD(ROW()-3,4)+1,2,2*INDEX('Curtain Input'!$J$3:$J$42,INT((ROW()-3)/4)+1),1,1))</x:f>
      </x:c>
      <x:c r="F12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2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2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28" s="124" t="str">
        <x:f>IF(INDEX('Curtain Input'!$A$3:$A$42,INT((ROW()-3)/4)+1)="","",CHOOSE(MOD(ROW()-3,4)+1,300,250,500,400))</x:f>
      </x:c>
      <x:c r="J128" s="124" t="str">
        <x:f>IF(INDEX('Curtain Input'!$A$3:$A$42,INT((ROW()-3)/4)+1)="","",CHOOSE(MOD(ROW()-3,4)+1,250,200,350,300))</x:f>
      </x:c>
      <x:c r="K128" s="100" t="str">
        <x:f>IF(INDEX('Curtain Input'!$A$3:$A$42,INT((ROW()-3)/4)+1)="","",IF(MOD(ROW()-3,4)+1=2,"Guide split parts from Curtain Input",""))</x:f>
      </x:c>
      <x:c r="L128" s="101"/>
      <x:c r="M128" s="101"/>
      <x:c r="N128" s="101"/>
      <x:c r="O128" s="101"/>
      <x:c r="P128" s="101"/>
      <x:c r="Q128" s="101"/>
      <x:c r="R128" s="101"/>
      <x:c r="S128" s="101"/>
      <x:c r="T128" s="101"/>
      <x:c r="U128" s="101"/>
      <x:c r="V128" s="101"/>
      <x:c r="W128" s="101"/>
      <x:c r="X128" s="101"/>
      <x:c r="Y128" s="101"/>
      <x:c r="Z128" s="101"/>
      <x:c r="AA128" s="101"/>
      <x:c r="AB128" s="101"/>
      <x:c r="AC128" s="101"/>
      <x:c r="AD128" s="101"/>
      <x:c r="AE128" s="101"/>
    </x:row>
    <x:row r="129">
      <x:c r="A12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29" s="100" t="str">
        <x:f>IF(INDEX('Curtain Input'!$A$3:$A$42,INT((ROW()-3)/4)+1)="","",INDEX('Curtain Input'!$AD$3:$AD$42,INT((ROW()-3)/4)+1))</x:f>
      </x:c>
      <x:c r="C129" s="100" t="str">
        <x:f>IF(INDEX('Curtain Input'!$A$3:$A$42,INT((ROW()-3)/4)+1)="","",INDEX('Curtain Input'!$A$3:$A$42,INT((ROW()-3)/4)+1))</x:f>
      </x:c>
      <x:c r="D129" s="100" t="str">
        <x:f>IF(INDEX('Curtain Input'!$A$3:$A$42,INT((ROW()-3)/4)+1)="","",CHOOSE(MOD(ROW()-3,4)+1,"Headbox front/back sections","Side guide pair","Barrel/curtain/bottom rail assembly","Control panel/endplate box"))</x:f>
      </x:c>
      <x:c r="E129" s="100" t="str">
        <x:f>IF(INDEX('Curtain Input'!$A$3:$A$42,INT((ROW()-3)/4)+1)="","",CHOOSE(MOD(ROW()-3,4)+1,2,2*INDEX('Curtain Input'!$J$3:$J$42,INT((ROW()-3)/4)+1),1,1))</x:f>
      </x:c>
      <x:c r="F12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2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2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29" s="124" t="str">
        <x:f>IF(INDEX('Curtain Input'!$A$3:$A$42,INT((ROW()-3)/4)+1)="","",CHOOSE(MOD(ROW()-3,4)+1,300,250,500,400))</x:f>
      </x:c>
      <x:c r="J129" s="124" t="str">
        <x:f>IF(INDEX('Curtain Input'!$A$3:$A$42,INT((ROW()-3)/4)+1)="","",CHOOSE(MOD(ROW()-3,4)+1,250,200,350,300))</x:f>
      </x:c>
      <x:c r="K129" s="100" t="str">
        <x:f>IF(INDEX('Curtain Input'!$A$3:$A$42,INT((ROW()-3)/4)+1)="","",IF(MOD(ROW()-3,4)+1=2,"Guide split parts from Curtain Input",""))</x:f>
      </x:c>
      <x:c r="L129" s="101"/>
      <x:c r="M129" s="101"/>
      <x:c r="N129" s="101"/>
      <x:c r="O129" s="101"/>
      <x:c r="P129" s="101"/>
      <x:c r="Q129" s="101"/>
      <x:c r="R129" s="101"/>
      <x:c r="S129" s="101"/>
      <x:c r="T129" s="101"/>
      <x:c r="U129" s="101"/>
      <x:c r="V129" s="101"/>
      <x:c r="W129" s="101"/>
      <x:c r="X129" s="101"/>
      <x:c r="Y129" s="101"/>
      <x:c r="Z129" s="101"/>
      <x:c r="AA129" s="101"/>
      <x:c r="AB129" s="101"/>
      <x:c r="AC129" s="101"/>
      <x:c r="AD129" s="101"/>
      <x:c r="AE129" s="101"/>
    </x:row>
    <x:row r="130">
      <x:c r="A13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30" s="100" t="str">
        <x:f>IF(INDEX('Curtain Input'!$A$3:$A$42,INT((ROW()-3)/4)+1)="","",INDEX('Curtain Input'!$AD$3:$AD$42,INT((ROW()-3)/4)+1))</x:f>
      </x:c>
      <x:c r="C130" s="100" t="str">
        <x:f>IF(INDEX('Curtain Input'!$A$3:$A$42,INT((ROW()-3)/4)+1)="","",INDEX('Curtain Input'!$A$3:$A$42,INT((ROW()-3)/4)+1))</x:f>
      </x:c>
      <x:c r="D130" s="100" t="str">
        <x:f>IF(INDEX('Curtain Input'!$A$3:$A$42,INT((ROW()-3)/4)+1)="","",CHOOSE(MOD(ROW()-3,4)+1,"Headbox front/back sections","Side guide pair","Barrel/curtain/bottom rail assembly","Control panel/endplate box"))</x:f>
      </x:c>
      <x:c r="E130" s="100" t="str">
        <x:f>IF(INDEX('Curtain Input'!$A$3:$A$42,INT((ROW()-3)/4)+1)="","",CHOOSE(MOD(ROW()-3,4)+1,2,2*INDEX('Curtain Input'!$J$3:$J$42,INT((ROW()-3)/4)+1),1,1))</x:f>
      </x:c>
      <x:c r="F13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3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3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30" s="124" t="str">
        <x:f>IF(INDEX('Curtain Input'!$A$3:$A$42,INT((ROW()-3)/4)+1)="","",CHOOSE(MOD(ROW()-3,4)+1,300,250,500,400))</x:f>
      </x:c>
      <x:c r="J130" s="124" t="str">
        <x:f>IF(INDEX('Curtain Input'!$A$3:$A$42,INT((ROW()-3)/4)+1)="","",CHOOSE(MOD(ROW()-3,4)+1,250,200,350,300))</x:f>
      </x:c>
      <x:c r="K130" s="100" t="str">
        <x:f>IF(INDEX('Curtain Input'!$A$3:$A$42,INT((ROW()-3)/4)+1)="","",IF(MOD(ROW()-3,4)+1=2,"Guide split parts from Curtain Input",""))</x:f>
      </x:c>
      <x:c r="L130" s="101"/>
      <x:c r="M130" s="101"/>
      <x:c r="N130" s="101"/>
      <x:c r="O130" s="101"/>
      <x:c r="P130" s="101"/>
      <x:c r="Q130" s="101"/>
      <x:c r="R130" s="101"/>
      <x:c r="S130" s="101"/>
      <x:c r="T130" s="101"/>
      <x:c r="U130" s="101"/>
      <x:c r="V130" s="101"/>
      <x:c r="W130" s="101"/>
      <x:c r="X130" s="101"/>
      <x:c r="Y130" s="101"/>
      <x:c r="Z130" s="101"/>
      <x:c r="AA130" s="101"/>
      <x:c r="AB130" s="101"/>
      <x:c r="AC130" s="101"/>
      <x:c r="AD130" s="101"/>
      <x:c r="AE130" s="101"/>
    </x:row>
    <x:row r="131">
      <x:c r="A13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31" s="100" t="str">
        <x:f>IF(INDEX('Curtain Input'!$A$3:$A$42,INT((ROW()-3)/4)+1)="","",INDEX('Curtain Input'!$AD$3:$AD$42,INT((ROW()-3)/4)+1))</x:f>
      </x:c>
      <x:c r="C131" s="100" t="str">
        <x:f>IF(INDEX('Curtain Input'!$A$3:$A$42,INT((ROW()-3)/4)+1)="","",INDEX('Curtain Input'!$A$3:$A$42,INT((ROW()-3)/4)+1))</x:f>
      </x:c>
      <x:c r="D131" s="100" t="str">
        <x:f>IF(INDEX('Curtain Input'!$A$3:$A$42,INT((ROW()-3)/4)+1)="","",CHOOSE(MOD(ROW()-3,4)+1,"Headbox front/back sections","Side guide pair","Barrel/curtain/bottom rail assembly","Control panel/endplate box"))</x:f>
      </x:c>
      <x:c r="E131" s="100" t="str">
        <x:f>IF(INDEX('Curtain Input'!$A$3:$A$42,INT((ROW()-3)/4)+1)="","",CHOOSE(MOD(ROW()-3,4)+1,2,2*INDEX('Curtain Input'!$J$3:$J$42,INT((ROW()-3)/4)+1),1,1))</x:f>
      </x:c>
      <x:c r="F13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3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3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31" s="124" t="str">
        <x:f>IF(INDEX('Curtain Input'!$A$3:$A$42,INT((ROW()-3)/4)+1)="","",CHOOSE(MOD(ROW()-3,4)+1,300,250,500,400))</x:f>
      </x:c>
      <x:c r="J131" s="124" t="str">
        <x:f>IF(INDEX('Curtain Input'!$A$3:$A$42,INT((ROW()-3)/4)+1)="","",CHOOSE(MOD(ROW()-3,4)+1,250,200,350,300))</x:f>
      </x:c>
      <x:c r="K131" s="100" t="str">
        <x:f>IF(INDEX('Curtain Input'!$A$3:$A$42,INT((ROW()-3)/4)+1)="","",IF(MOD(ROW()-3,4)+1=2,"Guide split parts from Curtain Input",""))</x:f>
      </x:c>
      <x:c r="L131" s="101"/>
      <x:c r="M131" s="101"/>
      <x:c r="N131" s="101"/>
      <x:c r="O131" s="101"/>
      <x:c r="P131" s="101"/>
      <x:c r="Q131" s="101"/>
      <x:c r="R131" s="101"/>
      <x:c r="S131" s="101"/>
      <x:c r="T131" s="101"/>
      <x:c r="U131" s="101"/>
      <x:c r="V131" s="101"/>
      <x:c r="W131" s="101"/>
      <x:c r="X131" s="101"/>
      <x:c r="Y131" s="101"/>
      <x:c r="Z131" s="101"/>
      <x:c r="AA131" s="101"/>
      <x:c r="AB131" s="101"/>
      <x:c r="AC131" s="101"/>
      <x:c r="AD131" s="101"/>
      <x:c r="AE131" s="101"/>
    </x:row>
    <x:row r="132">
      <x:c r="A13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32" s="100" t="str">
        <x:f>IF(INDEX('Curtain Input'!$A$3:$A$42,INT((ROW()-3)/4)+1)="","",INDEX('Curtain Input'!$AD$3:$AD$42,INT((ROW()-3)/4)+1))</x:f>
      </x:c>
      <x:c r="C132" s="100" t="str">
        <x:f>IF(INDEX('Curtain Input'!$A$3:$A$42,INT((ROW()-3)/4)+1)="","",INDEX('Curtain Input'!$A$3:$A$42,INT((ROW()-3)/4)+1))</x:f>
      </x:c>
      <x:c r="D132" s="100" t="str">
        <x:f>IF(INDEX('Curtain Input'!$A$3:$A$42,INT((ROW()-3)/4)+1)="","",CHOOSE(MOD(ROW()-3,4)+1,"Headbox front/back sections","Side guide pair","Barrel/curtain/bottom rail assembly","Control panel/endplate box"))</x:f>
      </x:c>
      <x:c r="E132" s="100" t="str">
        <x:f>IF(INDEX('Curtain Input'!$A$3:$A$42,INT((ROW()-3)/4)+1)="","",CHOOSE(MOD(ROW()-3,4)+1,2,2*INDEX('Curtain Input'!$J$3:$J$42,INT((ROW()-3)/4)+1),1,1))</x:f>
      </x:c>
      <x:c r="F13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3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3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32" s="124" t="str">
        <x:f>IF(INDEX('Curtain Input'!$A$3:$A$42,INT((ROW()-3)/4)+1)="","",CHOOSE(MOD(ROW()-3,4)+1,300,250,500,400))</x:f>
      </x:c>
      <x:c r="J132" s="124" t="str">
        <x:f>IF(INDEX('Curtain Input'!$A$3:$A$42,INT((ROW()-3)/4)+1)="","",CHOOSE(MOD(ROW()-3,4)+1,250,200,350,300))</x:f>
      </x:c>
      <x:c r="K132" s="100" t="str">
        <x:f>IF(INDEX('Curtain Input'!$A$3:$A$42,INT((ROW()-3)/4)+1)="","",IF(MOD(ROW()-3,4)+1=2,"Guide split parts from Curtain Input",""))</x:f>
      </x:c>
      <x:c r="L132" s="101"/>
      <x:c r="M132" s="101"/>
      <x:c r="N132" s="101"/>
      <x:c r="O132" s="101"/>
      <x:c r="P132" s="101"/>
      <x:c r="Q132" s="101"/>
      <x:c r="R132" s="101"/>
      <x:c r="S132" s="101"/>
      <x:c r="T132" s="101"/>
      <x:c r="U132" s="101"/>
      <x:c r="V132" s="101"/>
      <x:c r="W132" s="101"/>
      <x:c r="X132" s="101"/>
      <x:c r="Y132" s="101"/>
      <x:c r="Z132" s="101"/>
      <x:c r="AA132" s="101"/>
      <x:c r="AB132" s="101"/>
      <x:c r="AC132" s="101"/>
      <x:c r="AD132" s="101"/>
      <x:c r="AE132" s="101"/>
    </x:row>
    <x:row r="133">
      <x:c r="A13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33" s="100" t="str">
        <x:f>IF(INDEX('Curtain Input'!$A$3:$A$42,INT((ROW()-3)/4)+1)="","",INDEX('Curtain Input'!$AD$3:$AD$42,INT((ROW()-3)/4)+1))</x:f>
      </x:c>
      <x:c r="C133" s="100" t="str">
        <x:f>IF(INDEX('Curtain Input'!$A$3:$A$42,INT((ROW()-3)/4)+1)="","",INDEX('Curtain Input'!$A$3:$A$42,INT((ROW()-3)/4)+1))</x:f>
      </x:c>
      <x:c r="D133" s="100" t="str">
        <x:f>IF(INDEX('Curtain Input'!$A$3:$A$42,INT((ROW()-3)/4)+1)="","",CHOOSE(MOD(ROW()-3,4)+1,"Headbox front/back sections","Side guide pair","Barrel/curtain/bottom rail assembly","Control panel/endplate box"))</x:f>
      </x:c>
      <x:c r="E133" s="100" t="str">
        <x:f>IF(INDEX('Curtain Input'!$A$3:$A$42,INT((ROW()-3)/4)+1)="","",CHOOSE(MOD(ROW()-3,4)+1,2,2*INDEX('Curtain Input'!$J$3:$J$42,INT((ROW()-3)/4)+1),1,1))</x:f>
      </x:c>
      <x:c r="F13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3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3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33" s="124" t="str">
        <x:f>IF(INDEX('Curtain Input'!$A$3:$A$42,INT((ROW()-3)/4)+1)="","",CHOOSE(MOD(ROW()-3,4)+1,300,250,500,400))</x:f>
      </x:c>
      <x:c r="J133" s="124" t="str">
        <x:f>IF(INDEX('Curtain Input'!$A$3:$A$42,INT((ROW()-3)/4)+1)="","",CHOOSE(MOD(ROW()-3,4)+1,250,200,350,300))</x:f>
      </x:c>
      <x:c r="K133" s="100" t="str">
        <x:f>IF(INDEX('Curtain Input'!$A$3:$A$42,INT((ROW()-3)/4)+1)="","",IF(MOD(ROW()-3,4)+1=2,"Guide split parts from Curtain Input",""))</x:f>
      </x:c>
      <x:c r="L133" s="101"/>
      <x:c r="M133" s="101"/>
      <x:c r="N133" s="101"/>
      <x:c r="O133" s="101"/>
      <x:c r="P133" s="101"/>
      <x:c r="Q133" s="101"/>
      <x:c r="R133" s="101"/>
      <x:c r="S133" s="101"/>
      <x:c r="T133" s="101"/>
      <x:c r="U133" s="101"/>
      <x:c r="V133" s="101"/>
      <x:c r="W133" s="101"/>
      <x:c r="X133" s="101"/>
      <x:c r="Y133" s="101"/>
      <x:c r="Z133" s="101"/>
      <x:c r="AA133" s="101"/>
      <x:c r="AB133" s="101"/>
      <x:c r="AC133" s="101"/>
      <x:c r="AD133" s="101"/>
      <x:c r="AE133" s="101"/>
    </x:row>
    <x:row r="134">
      <x:c r="A13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34" s="100" t="str">
        <x:f>IF(INDEX('Curtain Input'!$A$3:$A$42,INT((ROW()-3)/4)+1)="","",INDEX('Curtain Input'!$AD$3:$AD$42,INT((ROW()-3)/4)+1))</x:f>
      </x:c>
      <x:c r="C134" s="100" t="str">
        <x:f>IF(INDEX('Curtain Input'!$A$3:$A$42,INT((ROW()-3)/4)+1)="","",INDEX('Curtain Input'!$A$3:$A$42,INT((ROW()-3)/4)+1))</x:f>
      </x:c>
      <x:c r="D134" s="100" t="str">
        <x:f>IF(INDEX('Curtain Input'!$A$3:$A$42,INT((ROW()-3)/4)+1)="","",CHOOSE(MOD(ROW()-3,4)+1,"Headbox front/back sections","Side guide pair","Barrel/curtain/bottom rail assembly","Control panel/endplate box"))</x:f>
      </x:c>
      <x:c r="E134" s="100" t="str">
        <x:f>IF(INDEX('Curtain Input'!$A$3:$A$42,INT((ROW()-3)/4)+1)="","",CHOOSE(MOD(ROW()-3,4)+1,2,2*INDEX('Curtain Input'!$J$3:$J$42,INT((ROW()-3)/4)+1),1,1))</x:f>
      </x:c>
      <x:c r="F13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3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3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34" s="124" t="str">
        <x:f>IF(INDEX('Curtain Input'!$A$3:$A$42,INT((ROW()-3)/4)+1)="","",CHOOSE(MOD(ROW()-3,4)+1,300,250,500,400))</x:f>
      </x:c>
      <x:c r="J134" s="124" t="str">
        <x:f>IF(INDEX('Curtain Input'!$A$3:$A$42,INT((ROW()-3)/4)+1)="","",CHOOSE(MOD(ROW()-3,4)+1,250,200,350,300))</x:f>
      </x:c>
      <x:c r="K134" s="100" t="str">
        <x:f>IF(INDEX('Curtain Input'!$A$3:$A$42,INT((ROW()-3)/4)+1)="","",IF(MOD(ROW()-3,4)+1=2,"Guide split parts from Curtain Input",""))</x:f>
      </x:c>
      <x:c r="L134" s="101"/>
      <x:c r="M134" s="101"/>
      <x:c r="N134" s="101"/>
      <x:c r="O134" s="101"/>
      <x:c r="P134" s="101"/>
      <x:c r="Q134" s="101"/>
      <x:c r="R134" s="101"/>
      <x:c r="S134" s="101"/>
      <x:c r="T134" s="101"/>
      <x:c r="U134" s="101"/>
      <x:c r="V134" s="101"/>
      <x:c r="W134" s="101"/>
      <x:c r="X134" s="101"/>
      <x:c r="Y134" s="101"/>
      <x:c r="Z134" s="101"/>
      <x:c r="AA134" s="101"/>
      <x:c r="AB134" s="101"/>
      <x:c r="AC134" s="101"/>
      <x:c r="AD134" s="101"/>
      <x:c r="AE134" s="101"/>
    </x:row>
    <x:row r="135">
      <x:c r="A13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35" s="100" t="str">
        <x:f>IF(INDEX('Curtain Input'!$A$3:$A$42,INT((ROW()-3)/4)+1)="","",INDEX('Curtain Input'!$AD$3:$AD$42,INT((ROW()-3)/4)+1))</x:f>
      </x:c>
      <x:c r="C135" s="100" t="str">
        <x:f>IF(INDEX('Curtain Input'!$A$3:$A$42,INT((ROW()-3)/4)+1)="","",INDEX('Curtain Input'!$A$3:$A$42,INT((ROW()-3)/4)+1))</x:f>
      </x:c>
      <x:c r="D135" s="100" t="str">
        <x:f>IF(INDEX('Curtain Input'!$A$3:$A$42,INT((ROW()-3)/4)+1)="","",CHOOSE(MOD(ROW()-3,4)+1,"Headbox front/back sections","Side guide pair","Barrel/curtain/bottom rail assembly","Control panel/endplate box"))</x:f>
      </x:c>
      <x:c r="E135" s="100" t="str">
        <x:f>IF(INDEX('Curtain Input'!$A$3:$A$42,INT((ROW()-3)/4)+1)="","",CHOOSE(MOD(ROW()-3,4)+1,2,2*INDEX('Curtain Input'!$J$3:$J$42,INT((ROW()-3)/4)+1),1,1))</x:f>
      </x:c>
      <x:c r="F13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3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3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35" s="124" t="str">
        <x:f>IF(INDEX('Curtain Input'!$A$3:$A$42,INT((ROW()-3)/4)+1)="","",CHOOSE(MOD(ROW()-3,4)+1,300,250,500,400))</x:f>
      </x:c>
      <x:c r="J135" s="124" t="str">
        <x:f>IF(INDEX('Curtain Input'!$A$3:$A$42,INT((ROW()-3)/4)+1)="","",CHOOSE(MOD(ROW()-3,4)+1,250,200,350,300))</x:f>
      </x:c>
      <x:c r="K135" s="100" t="str">
        <x:f>IF(INDEX('Curtain Input'!$A$3:$A$42,INT((ROW()-3)/4)+1)="","",IF(MOD(ROW()-3,4)+1=2,"Guide split parts from Curtain Input",""))</x:f>
      </x:c>
      <x:c r="L135" s="101"/>
      <x:c r="M135" s="101"/>
      <x:c r="N135" s="101"/>
      <x:c r="O135" s="101"/>
      <x:c r="P135" s="101"/>
      <x:c r="Q135" s="101"/>
      <x:c r="R135" s="101"/>
      <x:c r="S135" s="101"/>
      <x:c r="T135" s="101"/>
      <x:c r="U135" s="101"/>
      <x:c r="V135" s="101"/>
      <x:c r="W135" s="101"/>
      <x:c r="X135" s="101"/>
      <x:c r="Y135" s="101"/>
      <x:c r="Z135" s="101"/>
      <x:c r="AA135" s="101"/>
      <x:c r="AB135" s="101"/>
      <x:c r="AC135" s="101"/>
      <x:c r="AD135" s="101"/>
      <x:c r="AE135" s="101"/>
    </x:row>
    <x:row r="136">
      <x:c r="A13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36" s="100" t="str">
        <x:f>IF(INDEX('Curtain Input'!$A$3:$A$42,INT((ROW()-3)/4)+1)="","",INDEX('Curtain Input'!$AD$3:$AD$42,INT((ROW()-3)/4)+1))</x:f>
      </x:c>
      <x:c r="C136" s="100" t="str">
        <x:f>IF(INDEX('Curtain Input'!$A$3:$A$42,INT((ROW()-3)/4)+1)="","",INDEX('Curtain Input'!$A$3:$A$42,INT((ROW()-3)/4)+1))</x:f>
      </x:c>
      <x:c r="D136" s="100" t="str">
        <x:f>IF(INDEX('Curtain Input'!$A$3:$A$42,INT((ROW()-3)/4)+1)="","",CHOOSE(MOD(ROW()-3,4)+1,"Headbox front/back sections","Side guide pair","Barrel/curtain/bottom rail assembly","Control panel/endplate box"))</x:f>
      </x:c>
      <x:c r="E136" s="100" t="str">
        <x:f>IF(INDEX('Curtain Input'!$A$3:$A$42,INT((ROW()-3)/4)+1)="","",CHOOSE(MOD(ROW()-3,4)+1,2,2*INDEX('Curtain Input'!$J$3:$J$42,INT((ROW()-3)/4)+1),1,1))</x:f>
      </x:c>
      <x:c r="F13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3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3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36" s="124" t="str">
        <x:f>IF(INDEX('Curtain Input'!$A$3:$A$42,INT((ROW()-3)/4)+1)="","",CHOOSE(MOD(ROW()-3,4)+1,300,250,500,400))</x:f>
      </x:c>
      <x:c r="J136" s="124" t="str">
        <x:f>IF(INDEX('Curtain Input'!$A$3:$A$42,INT((ROW()-3)/4)+1)="","",CHOOSE(MOD(ROW()-3,4)+1,250,200,350,300))</x:f>
      </x:c>
      <x:c r="K136" s="100" t="str">
        <x:f>IF(INDEX('Curtain Input'!$A$3:$A$42,INT((ROW()-3)/4)+1)="","",IF(MOD(ROW()-3,4)+1=2,"Guide split parts from Curtain Input",""))</x:f>
      </x:c>
      <x:c r="L136" s="101"/>
      <x:c r="M136" s="101"/>
      <x:c r="N136" s="101"/>
      <x:c r="O136" s="101"/>
      <x:c r="P136" s="101"/>
      <x:c r="Q136" s="101"/>
      <x:c r="R136" s="101"/>
      <x:c r="S136" s="101"/>
      <x:c r="T136" s="101"/>
      <x:c r="U136" s="101"/>
      <x:c r="V136" s="101"/>
      <x:c r="W136" s="101"/>
      <x:c r="X136" s="101"/>
      <x:c r="Y136" s="101"/>
      <x:c r="Z136" s="101"/>
      <x:c r="AA136" s="101"/>
      <x:c r="AB136" s="101"/>
      <x:c r="AC136" s="101"/>
      <x:c r="AD136" s="101"/>
      <x:c r="AE136" s="101"/>
    </x:row>
    <x:row r="137">
      <x:c r="A13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37" s="100" t="str">
        <x:f>IF(INDEX('Curtain Input'!$A$3:$A$42,INT((ROW()-3)/4)+1)="","",INDEX('Curtain Input'!$AD$3:$AD$42,INT((ROW()-3)/4)+1))</x:f>
      </x:c>
      <x:c r="C137" s="100" t="str">
        <x:f>IF(INDEX('Curtain Input'!$A$3:$A$42,INT((ROW()-3)/4)+1)="","",INDEX('Curtain Input'!$A$3:$A$42,INT((ROW()-3)/4)+1))</x:f>
      </x:c>
      <x:c r="D137" s="100" t="str">
        <x:f>IF(INDEX('Curtain Input'!$A$3:$A$42,INT((ROW()-3)/4)+1)="","",CHOOSE(MOD(ROW()-3,4)+1,"Headbox front/back sections","Side guide pair","Barrel/curtain/bottom rail assembly","Control panel/endplate box"))</x:f>
      </x:c>
      <x:c r="E137" s="100" t="str">
        <x:f>IF(INDEX('Curtain Input'!$A$3:$A$42,INT((ROW()-3)/4)+1)="","",CHOOSE(MOD(ROW()-3,4)+1,2,2*INDEX('Curtain Input'!$J$3:$J$42,INT((ROW()-3)/4)+1),1,1))</x:f>
      </x:c>
      <x:c r="F13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3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3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37" s="124" t="str">
        <x:f>IF(INDEX('Curtain Input'!$A$3:$A$42,INT((ROW()-3)/4)+1)="","",CHOOSE(MOD(ROW()-3,4)+1,300,250,500,400))</x:f>
      </x:c>
      <x:c r="J137" s="124" t="str">
        <x:f>IF(INDEX('Curtain Input'!$A$3:$A$42,INT((ROW()-3)/4)+1)="","",CHOOSE(MOD(ROW()-3,4)+1,250,200,350,300))</x:f>
      </x:c>
      <x:c r="K137" s="100" t="str">
        <x:f>IF(INDEX('Curtain Input'!$A$3:$A$42,INT((ROW()-3)/4)+1)="","",IF(MOD(ROW()-3,4)+1=2,"Guide split parts from Curtain Input",""))</x:f>
      </x:c>
      <x:c r="L137" s="101"/>
      <x:c r="M137" s="101"/>
      <x:c r="N137" s="101"/>
      <x:c r="O137" s="101"/>
      <x:c r="P137" s="101"/>
      <x:c r="Q137" s="101"/>
      <x:c r="R137" s="101"/>
      <x:c r="S137" s="101"/>
      <x:c r="T137" s="101"/>
      <x:c r="U137" s="101"/>
      <x:c r="V137" s="101"/>
      <x:c r="W137" s="101"/>
      <x:c r="X137" s="101"/>
      <x:c r="Y137" s="101"/>
      <x:c r="Z137" s="101"/>
      <x:c r="AA137" s="101"/>
      <x:c r="AB137" s="101"/>
      <x:c r="AC137" s="101"/>
      <x:c r="AD137" s="101"/>
      <x:c r="AE137" s="101"/>
    </x:row>
    <x:row r="138">
      <x:c r="A13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38" s="100" t="str">
        <x:f>IF(INDEX('Curtain Input'!$A$3:$A$42,INT((ROW()-3)/4)+1)="","",INDEX('Curtain Input'!$AD$3:$AD$42,INT((ROW()-3)/4)+1))</x:f>
      </x:c>
      <x:c r="C138" s="100" t="str">
        <x:f>IF(INDEX('Curtain Input'!$A$3:$A$42,INT((ROW()-3)/4)+1)="","",INDEX('Curtain Input'!$A$3:$A$42,INT((ROW()-3)/4)+1))</x:f>
      </x:c>
      <x:c r="D138" s="100" t="str">
        <x:f>IF(INDEX('Curtain Input'!$A$3:$A$42,INT((ROW()-3)/4)+1)="","",CHOOSE(MOD(ROW()-3,4)+1,"Headbox front/back sections","Side guide pair","Barrel/curtain/bottom rail assembly","Control panel/endplate box"))</x:f>
      </x:c>
      <x:c r="E138" s="100" t="str">
        <x:f>IF(INDEX('Curtain Input'!$A$3:$A$42,INT((ROW()-3)/4)+1)="","",CHOOSE(MOD(ROW()-3,4)+1,2,2*INDEX('Curtain Input'!$J$3:$J$42,INT((ROW()-3)/4)+1),1,1))</x:f>
      </x:c>
      <x:c r="F13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3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3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38" s="124" t="str">
        <x:f>IF(INDEX('Curtain Input'!$A$3:$A$42,INT((ROW()-3)/4)+1)="","",CHOOSE(MOD(ROW()-3,4)+1,300,250,500,400))</x:f>
      </x:c>
      <x:c r="J138" s="124" t="str">
        <x:f>IF(INDEX('Curtain Input'!$A$3:$A$42,INT((ROW()-3)/4)+1)="","",CHOOSE(MOD(ROW()-3,4)+1,250,200,350,300))</x:f>
      </x:c>
      <x:c r="K138" s="100" t="str">
        <x:f>IF(INDEX('Curtain Input'!$A$3:$A$42,INT((ROW()-3)/4)+1)="","",IF(MOD(ROW()-3,4)+1=2,"Guide split parts from Curtain Input",""))</x:f>
      </x:c>
      <x:c r="L138" s="101"/>
      <x:c r="M138" s="101"/>
      <x:c r="N138" s="101"/>
      <x:c r="O138" s="101"/>
      <x:c r="P138" s="101"/>
      <x:c r="Q138" s="101"/>
      <x:c r="R138" s="101"/>
      <x:c r="S138" s="101"/>
      <x:c r="T138" s="101"/>
      <x:c r="U138" s="101"/>
      <x:c r="V138" s="101"/>
      <x:c r="W138" s="101"/>
      <x:c r="X138" s="101"/>
      <x:c r="Y138" s="101"/>
      <x:c r="Z138" s="101"/>
      <x:c r="AA138" s="101"/>
      <x:c r="AB138" s="101"/>
      <x:c r="AC138" s="101"/>
      <x:c r="AD138" s="101"/>
      <x:c r="AE138" s="101"/>
    </x:row>
    <x:row r="139">
      <x:c r="A13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39" s="100" t="str">
        <x:f>IF(INDEX('Curtain Input'!$A$3:$A$42,INT((ROW()-3)/4)+1)="","",INDEX('Curtain Input'!$AD$3:$AD$42,INT((ROW()-3)/4)+1))</x:f>
      </x:c>
      <x:c r="C139" s="100" t="str">
        <x:f>IF(INDEX('Curtain Input'!$A$3:$A$42,INT((ROW()-3)/4)+1)="","",INDEX('Curtain Input'!$A$3:$A$42,INT((ROW()-3)/4)+1))</x:f>
      </x:c>
      <x:c r="D139" s="100" t="str">
        <x:f>IF(INDEX('Curtain Input'!$A$3:$A$42,INT((ROW()-3)/4)+1)="","",CHOOSE(MOD(ROW()-3,4)+1,"Headbox front/back sections","Side guide pair","Barrel/curtain/bottom rail assembly","Control panel/endplate box"))</x:f>
      </x:c>
      <x:c r="E139" s="100" t="str">
        <x:f>IF(INDEX('Curtain Input'!$A$3:$A$42,INT((ROW()-3)/4)+1)="","",CHOOSE(MOD(ROW()-3,4)+1,2,2*INDEX('Curtain Input'!$J$3:$J$42,INT((ROW()-3)/4)+1),1,1))</x:f>
      </x:c>
      <x:c r="F13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3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3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39" s="124" t="str">
        <x:f>IF(INDEX('Curtain Input'!$A$3:$A$42,INT((ROW()-3)/4)+1)="","",CHOOSE(MOD(ROW()-3,4)+1,300,250,500,400))</x:f>
      </x:c>
      <x:c r="J139" s="124" t="str">
        <x:f>IF(INDEX('Curtain Input'!$A$3:$A$42,INT((ROW()-3)/4)+1)="","",CHOOSE(MOD(ROW()-3,4)+1,250,200,350,300))</x:f>
      </x:c>
      <x:c r="K139" s="100" t="str">
        <x:f>IF(INDEX('Curtain Input'!$A$3:$A$42,INT((ROW()-3)/4)+1)="","",IF(MOD(ROW()-3,4)+1=2,"Guide split parts from Curtain Input",""))</x:f>
      </x:c>
      <x:c r="L139" s="101"/>
      <x:c r="M139" s="101"/>
      <x:c r="N139" s="101"/>
      <x:c r="O139" s="101"/>
      <x:c r="P139" s="101"/>
      <x:c r="Q139" s="101"/>
      <x:c r="R139" s="101"/>
      <x:c r="S139" s="101"/>
      <x:c r="T139" s="101"/>
      <x:c r="U139" s="101"/>
      <x:c r="V139" s="101"/>
      <x:c r="W139" s="101"/>
      <x:c r="X139" s="101"/>
      <x:c r="Y139" s="101"/>
      <x:c r="Z139" s="101"/>
      <x:c r="AA139" s="101"/>
      <x:c r="AB139" s="101"/>
      <x:c r="AC139" s="101"/>
      <x:c r="AD139" s="101"/>
      <x:c r="AE139" s="101"/>
    </x:row>
    <x:row r="140">
      <x:c r="A14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40" s="100" t="str">
        <x:f>IF(INDEX('Curtain Input'!$A$3:$A$42,INT((ROW()-3)/4)+1)="","",INDEX('Curtain Input'!$AD$3:$AD$42,INT((ROW()-3)/4)+1))</x:f>
      </x:c>
      <x:c r="C140" s="100" t="str">
        <x:f>IF(INDEX('Curtain Input'!$A$3:$A$42,INT((ROW()-3)/4)+1)="","",INDEX('Curtain Input'!$A$3:$A$42,INT((ROW()-3)/4)+1))</x:f>
      </x:c>
      <x:c r="D140" s="100" t="str">
        <x:f>IF(INDEX('Curtain Input'!$A$3:$A$42,INT((ROW()-3)/4)+1)="","",CHOOSE(MOD(ROW()-3,4)+1,"Headbox front/back sections","Side guide pair","Barrel/curtain/bottom rail assembly","Control panel/endplate box"))</x:f>
      </x:c>
      <x:c r="E140" s="100" t="str">
        <x:f>IF(INDEX('Curtain Input'!$A$3:$A$42,INT((ROW()-3)/4)+1)="","",CHOOSE(MOD(ROW()-3,4)+1,2,2*INDEX('Curtain Input'!$J$3:$J$42,INT((ROW()-3)/4)+1),1,1))</x:f>
      </x:c>
      <x:c r="F14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4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4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40" s="124" t="str">
        <x:f>IF(INDEX('Curtain Input'!$A$3:$A$42,INT((ROW()-3)/4)+1)="","",CHOOSE(MOD(ROW()-3,4)+1,300,250,500,400))</x:f>
      </x:c>
      <x:c r="J140" s="124" t="str">
        <x:f>IF(INDEX('Curtain Input'!$A$3:$A$42,INT((ROW()-3)/4)+1)="","",CHOOSE(MOD(ROW()-3,4)+1,250,200,350,300))</x:f>
      </x:c>
      <x:c r="K140" s="100" t="str">
        <x:f>IF(INDEX('Curtain Input'!$A$3:$A$42,INT((ROW()-3)/4)+1)="","",IF(MOD(ROW()-3,4)+1=2,"Guide split parts from Curtain Input",""))</x:f>
      </x:c>
      <x:c r="L140" s="101"/>
      <x:c r="M140" s="101"/>
      <x:c r="N140" s="101"/>
      <x:c r="O140" s="101"/>
      <x:c r="P140" s="101"/>
      <x:c r="Q140" s="101"/>
      <x:c r="R140" s="101"/>
      <x:c r="S140" s="101"/>
      <x:c r="T140" s="101"/>
      <x:c r="U140" s="101"/>
      <x:c r="V140" s="101"/>
      <x:c r="W140" s="101"/>
      <x:c r="X140" s="101"/>
      <x:c r="Y140" s="101"/>
      <x:c r="Z140" s="101"/>
      <x:c r="AA140" s="101"/>
      <x:c r="AB140" s="101"/>
      <x:c r="AC140" s="101"/>
      <x:c r="AD140" s="101"/>
      <x:c r="AE140" s="101"/>
    </x:row>
    <x:row r="141">
      <x:c r="A14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41" s="100" t="str">
        <x:f>IF(INDEX('Curtain Input'!$A$3:$A$42,INT((ROW()-3)/4)+1)="","",INDEX('Curtain Input'!$AD$3:$AD$42,INT((ROW()-3)/4)+1))</x:f>
      </x:c>
      <x:c r="C141" s="100" t="str">
        <x:f>IF(INDEX('Curtain Input'!$A$3:$A$42,INT((ROW()-3)/4)+1)="","",INDEX('Curtain Input'!$A$3:$A$42,INT((ROW()-3)/4)+1))</x:f>
      </x:c>
      <x:c r="D141" s="100" t="str">
        <x:f>IF(INDEX('Curtain Input'!$A$3:$A$42,INT((ROW()-3)/4)+1)="","",CHOOSE(MOD(ROW()-3,4)+1,"Headbox front/back sections","Side guide pair","Barrel/curtain/bottom rail assembly","Control panel/endplate box"))</x:f>
      </x:c>
      <x:c r="E141" s="100" t="str">
        <x:f>IF(INDEX('Curtain Input'!$A$3:$A$42,INT((ROW()-3)/4)+1)="","",CHOOSE(MOD(ROW()-3,4)+1,2,2*INDEX('Curtain Input'!$J$3:$J$42,INT((ROW()-3)/4)+1),1,1))</x:f>
      </x:c>
      <x:c r="F14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4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4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41" s="124" t="str">
        <x:f>IF(INDEX('Curtain Input'!$A$3:$A$42,INT((ROW()-3)/4)+1)="","",CHOOSE(MOD(ROW()-3,4)+1,300,250,500,400))</x:f>
      </x:c>
      <x:c r="J141" s="124" t="str">
        <x:f>IF(INDEX('Curtain Input'!$A$3:$A$42,INT((ROW()-3)/4)+1)="","",CHOOSE(MOD(ROW()-3,4)+1,250,200,350,300))</x:f>
      </x:c>
      <x:c r="K141" s="100" t="str">
        <x:f>IF(INDEX('Curtain Input'!$A$3:$A$42,INT((ROW()-3)/4)+1)="","",IF(MOD(ROW()-3,4)+1=2,"Guide split parts from Curtain Input",""))</x:f>
      </x:c>
      <x:c r="L141" s="101"/>
      <x:c r="M141" s="101"/>
      <x:c r="N141" s="101"/>
      <x:c r="O141" s="101"/>
      <x:c r="P141" s="101"/>
      <x:c r="Q141" s="101"/>
      <x:c r="R141" s="101"/>
      <x:c r="S141" s="101"/>
      <x:c r="T141" s="101"/>
      <x:c r="U141" s="101"/>
      <x:c r="V141" s="101"/>
      <x:c r="W141" s="101"/>
      <x:c r="X141" s="101"/>
      <x:c r="Y141" s="101"/>
      <x:c r="Z141" s="101"/>
      <x:c r="AA141" s="101"/>
      <x:c r="AB141" s="101"/>
      <x:c r="AC141" s="101"/>
      <x:c r="AD141" s="101"/>
      <x:c r="AE141" s="101"/>
    </x:row>
    <x:row r="142">
      <x:c r="A14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42" s="100" t="str">
        <x:f>IF(INDEX('Curtain Input'!$A$3:$A$42,INT((ROW()-3)/4)+1)="","",INDEX('Curtain Input'!$AD$3:$AD$42,INT((ROW()-3)/4)+1))</x:f>
      </x:c>
      <x:c r="C142" s="100" t="str">
        <x:f>IF(INDEX('Curtain Input'!$A$3:$A$42,INT((ROW()-3)/4)+1)="","",INDEX('Curtain Input'!$A$3:$A$42,INT((ROW()-3)/4)+1))</x:f>
      </x:c>
      <x:c r="D142" s="100" t="str">
        <x:f>IF(INDEX('Curtain Input'!$A$3:$A$42,INT((ROW()-3)/4)+1)="","",CHOOSE(MOD(ROW()-3,4)+1,"Headbox front/back sections","Side guide pair","Barrel/curtain/bottom rail assembly","Control panel/endplate box"))</x:f>
      </x:c>
      <x:c r="E142" s="100" t="str">
        <x:f>IF(INDEX('Curtain Input'!$A$3:$A$42,INT((ROW()-3)/4)+1)="","",CHOOSE(MOD(ROW()-3,4)+1,2,2*INDEX('Curtain Input'!$J$3:$J$42,INT((ROW()-3)/4)+1),1,1))</x:f>
      </x:c>
      <x:c r="F14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4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4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42" s="124" t="str">
        <x:f>IF(INDEX('Curtain Input'!$A$3:$A$42,INT((ROW()-3)/4)+1)="","",CHOOSE(MOD(ROW()-3,4)+1,300,250,500,400))</x:f>
      </x:c>
      <x:c r="J142" s="124" t="str">
        <x:f>IF(INDEX('Curtain Input'!$A$3:$A$42,INT((ROW()-3)/4)+1)="","",CHOOSE(MOD(ROW()-3,4)+1,250,200,350,300))</x:f>
      </x:c>
      <x:c r="K142" s="100" t="str">
        <x:f>IF(INDEX('Curtain Input'!$A$3:$A$42,INT((ROW()-3)/4)+1)="","",IF(MOD(ROW()-3,4)+1=2,"Guide split parts from Curtain Input",""))</x:f>
      </x:c>
      <x:c r="L142" s="101"/>
      <x:c r="M142" s="101"/>
      <x:c r="N142" s="101"/>
      <x:c r="O142" s="101"/>
      <x:c r="P142" s="101"/>
      <x:c r="Q142" s="101"/>
      <x:c r="R142" s="101"/>
      <x:c r="S142" s="101"/>
      <x:c r="T142" s="101"/>
      <x:c r="U142" s="101"/>
      <x:c r="V142" s="101"/>
      <x:c r="W142" s="101"/>
      <x:c r="X142" s="101"/>
      <x:c r="Y142" s="101"/>
      <x:c r="Z142" s="101"/>
      <x:c r="AA142" s="101"/>
      <x:c r="AB142" s="101"/>
      <x:c r="AC142" s="101"/>
      <x:c r="AD142" s="101"/>
      <x:c r="AE142" s="101"/>
    </x:row>
    <x:row r="143">
      <x:c r="A14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43" s="100" t="str">
        <x:f>IF(INDEX('Curtain Input'!$A$3:$A$42,INT((ROW()-3)/4)+1)="","",INDEX('Curtain Input'!$AD$3:$AD$42,INT((ROW()-3)/4)+1))</x:f>
      </x:c>
      <x:c r="C143" s="100" t="str">
        <x:f>IF(INDEX('Curtain Input'!$A$3:$A$42,INT((ROW()-3)/4)+1)="","",INDEX('Curtain Input'!$A$3:$A$42,INT((ROW()-3)/4)+1))</x:f>
      </x:c>
      <x:c r="D143" s="100" t="str">
        <x:f>IF(INDEX('Curtain Input'!$A$3:$A$42,INT((ROW()-3)/4)+1)="","",CHOOSE(MOD(ROW()-3,4)+1,"Headbox front/back sections","Side guide pair","Barrel/curtain/bottom rail assembly","Control panel/endplate box"))</x:f>
      </x:c>
      <x:c r="E143" s="100" t="str">
        <x:f>IF(INDEX('Curtain Input'!$A$3:$A$42,INT((ROW()-3)/4)+1)="","",CHOOSE(MOD(ROW()-3,4)+1,2,2*INDEX('Curtain Input'!$J$3:$J$42,INT((ROW()-3)/4)+1),1,1))</x:f>
      </x:c>
      <x:c r="F14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4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4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43" s="124" t="str">
        <x:f>IF(INDEX('Curtain Input'!$A$3:$A$42,INT((ROW()-3)/4)+1)="","",CHOOSE(MOD(ROW()-3,4)+1,300,250,500,400))</x:f>
      </x:c>
      <x:c r="J143" s="124" t="str">
        <x:f>IF(INDEX('Curtain Input'!$A$3:$A$42,INT((ROW()-3)/4)+1)="","",CHOOSE(MOD(ROW()-3,4)+1,250,200,350,300))</x:f>
      </x:c>
      <x:c r="K143" s="100" t="str">
        <x:f>IF(INDEX('Curtain Input'!$A$3:$A$42,INT((ROW()-3)/4)+1)="","",IF(MOD(ROW()-3,4)+1=2,"Guide split parts from Curtain Input",""))</x:f>
      </x:c>
      <x:c r="L143" s="101"/>
      <x:c r="M143" s="101"/>
      <x:c r="N143" s="101"/>
      <x:c r="O143" s="101"/>
      <x:c r="P143" s="101"/>
      <x:c r="Q143" s="101"/>
      <x:c r="R143" s="101"/>
      <x:c r="S143" s="101"/>
      <x:c r="T143" s="101"/>
      <x:c r="U143" s="101"/>
      <x:c r="V143" s="101"/>
      <x:c r="W143" s="101"/>
      <x:c r="X143" s="101"/>
      <x:c r="Y143" s="101"/>
      <x:c r="Z143" s="101"/>
      <x:c r="AA143" s="101"/>
      <x:c r="AB143" s="101"/>
      <x:c r="AC143" s="101"/>
      <x:c r="AD143" s="101"/>
      <x:c r="AE143" s="101"/>
    </x:row>
    <x:row r="144">
      <x:c r="A14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44" s="100" t="str">
        <x:f>IF(INDEX('Curtain Input'!$A$3:$A$42,INT((ROW()-3)/4)+1)="","",INDEX('Curtain Input'!$AD$3:$AD$42,INT((ROW()-3)/4)+1))</x:f>
      </x:c>
      <x:c r="C144" s="100" t="str">
        <x:f>IF(INDEX('Curtain Input'!$A$3:$A$42,INT((ROW()-3)/4)+1)="","",INDEX('Curtain Input'!$A$3:$A$42,INT((ROW()-3)/4)+1))</x:f>
      </x:c>
      <x:c r="D144" s="100" t="str">
        <x:f>IF(INDEX('Curtain Input'!$A$3:$A$42,INT((ROW()-3)/4)+1)="","",CHOOSE(MOD(ROW()-3,4)+1,"Headbox front/back sections","Side guide pair","Barrel/curtain/bottom rail assembly","Control panel/endplate box"))</x:f>
      </x:c>
      <x:c r="E144" s="100" t="str">
        <x:f>IF(INDEX('Curtain Input'!$A$3:$A$42,INT((ROW()-3)/4)+1)="","",CHOOSE(MOD(ROW()-3,4)+1,2,2*INDEX('Curtain Input'!$J$3:$J$42,INT((ROW()-3)/4)+1),1,1))</x:f>
      </x:c>
      <x:c r="F14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4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4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44" s="124" t="str">
        <x:f>IF(INDEX('Curtain Input'!$A$3:$A$42,INT((ROW()-3)/4)+1)="","",CHOOSE(MOD(ROW()-3,4)+1,300,250,500,400))</x:f>
      </x:c>
      <x:c r="J144" s="124" t="str">
        <x:f>IF(INDEX('Curtain Input'!$A$3:$A$42,INT((ROW()-3)/4)+1)="","",CHOOSE(MOD(ROW()-3,4)+1,250,200,350,300))</x:f>
      </x:c>
      <x:c r="K144" s="100" t="str">
        <x:f>IF(INDEX('Curtain Input'!$A$3:$A$42,INT((ROW()-3)/4)+1)="","",IF(MOD(ROW()-3,4)+1=2,"Guide split parts from Curtain Input",""))</x:f>
      </x:c>
      <x:c r="L144" s="101"/>
      <x:c r="M144" s="101"/>
      <x:c r="N144" s="101"/>
      <x:c r="O144" s="101"/>
      <x:c r="P144" s="101"/>
      <x:c r="Q144" s="101"/>
      <x:c r="R144" s="101"/>
      <x:c r="S144" s="101"/>
      <x:c r="T144" s="101"/>
      <x:c r="U144" s="101"/>
      <x:c r="V144" s="101"/>
      <x:c r="W144" s="101"/>
      <x:c r="X144" s="101"/>
      <x:c r="Y144" s="101"/>
      <x:c r="Z144" s="101"/>
      <x:c r="AA144" s="101"/>
      <x:c r="AB144" s="101"/>
      <x:c r="AC144" s="101"/>
      <x:c r="AD144" s="101"/>
      <x:c r="AE144" s="101"/>
    </x:row>
    <x:row r="145">
      <x:c r="A14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45" s="100" t="str">
        <x:f>IF(INDEX('Curtain Input'!$A$3:$A$42,INT((ROW()-3)/4)+1)="","",INDEX('Curtain Input'!$AD$3:$AD$42,INT((ROW()-3)/4)+1))</x:f>
      </x:c>
      <x:c r="C145" s="100" t="str">
        <x:f>IF(INDEX('Curtain Input'!$A$3:$A$42,INT((ROW()-3)/4)+1)="","",INDEX('Curtain Input'!$A$3:$A$42,INT((ROW()-3)/4)+1))</x:f>
      </x:c>
      <x:c r="D145" s="100" t="str">
        <x:f>IF(INDEX('Curtain Input'!$A$3:$A$42,INT((ROW()-3)/4)+1)="","",CHOOSE(MOD(ROW()-3,4)+1,"Headbox front/back sections","Side guide pair","Barrel/curtain/bottom rail assembly","Control panel/endplate box"))</x:f>
      </x:c>
      <x:c r="E145" s="100" t="str">
        <x:f>IF(INDEX('Curtain Input'!$A$3:$A$42,INT((ROW()-3)/4)+1)="","",CHOOSE(MOD(ROW()-3,4)+1,2,2*INDEX('Curtain Input'!$J$3:$J$42,INT((ROW()-3)/4)+1),1,1))</x:f>
      </x:c>
      <x:c r="F14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4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4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45" s="124" t="str">
        <x:f>IF(INDEX('Curtain Input'!$A$3:$A$42,INT((ROW()-3)/4)+1)="","",CHOOSE(MOD(ROW()-3,4)+1,300,250,500,400))</x:f>
      </x:c>
      <x:c r="J145" s="124" t="str">
        <x:f>IF(INDEX('Curtain Input'!$A$3:$A$42,INT((ROW()-3)/4)+1)="","",CHOOSE(MOD(ROW()-3,4)+1,250,200,350,300))</x:f>
      </x:c>
      <x:c r="K145" s="100" t="str">
        <x:f>IF(INDEX('Curtain Input'!$A$3:$A$42,INT((ROW()-3)/4)+1)="","",IF(MOD(ROW()-3,4)+1=2,"Guide split parts from Curtain Input",""))</x:f>
      </x:c>
      <x:c r="L145" s="101"/>
      <x:c r="M145" s="101"/>
      <x:c r="N145" s="101"/>
      <x:c r="O145" s="101"/>
      <x:c r="P145" s="101"/>
      <x:c r="Q145" s="101"/>
      <x:c r="R145" s="101"/>
      <x:c r="S145" s="101"/>
      <x:c r="T145" s="101"/>
      <x:c r="U145" s="101"/>
      <x:c r="V145" s="101"/>
      <x:c r="W145" s="101"/>
      <x:c r="X145" s="101"/>
      <x:c r="Y145" s="101"/>
      <x:c r="Z145" s="101"/>
      <x:c r="AA145" s="101"/>
      <x:c r="AB145" s="101"/>
      <x:c r="AC145" s="101"/>
      <x:c r="AD145" s="101"/>
      <x:c r="AE145" s="101"/>
    </x:row>
    <x:row r="146">
      <x:c r="A14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46" s="100" t="str">
        <x:f>IF(INDEX('Curtain Input'!$A$3:$A$42,INT((ROW()-3)/4)+1)="","",INDEX('Curtain Input'!$AD$3:$AD$42,INT((ROW()-3)/4)+1))</x:f>
      </x:c>
      <x:c r="C146" s="100" t="str">
        <x:f>IF(INDEX('Curtain Input'!$A$3:$A$42,INT((ROW()-3)/4)+1)="","",INDEX('Curtain Input'!$A$3:$A$42,INT((ROW()-3)/4)+1))</x:f>
      </x:c>
      <x:c r="D146" s="100" t="str">
        <x:f>IF(INDEX('Curtain Input'!$A$3:$A$42,INT((ROW()-3)/4)+1)="","",CHOOSE(MOD(ROW()-3,4)+1,"Headbox front/back sections","Side guide pair","Barrel/curtain/bottom rail assembly","Control panel/endplate box"))</x:f>
      </x:c>
      <x:c r="E146" s="100" t="str">
        <x:f>IF(INDEX('Curtain Input'!$A$3:$A$42,INT((ROW()-3)/4)+1)="","",CHOOSE(MOD(ROW()-3,4)+1,2,2*INDEX('Curtain Input'!$J$3:$J$42,INT((ROW()-3)/4)+1),1,1))</x:f>
      </x:c>
      <x:c r="F14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4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4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46" s="124" t="str">
        <x:f>IF(INDEX('Curtain Input'!$A$3:$A$42,INT((ROW()-3)/4)+1)="","",CHOOSE(MOD(ROW()-3,4)+1,300,250,500,400))</x:f>
      </x:c>
      <x:c r="J146" s="124" t="str">
        <x:f>IF(INDEX('Curtain Input'!$A$3:$A$42,INT((ROW()-3)/4)+1)="","",CHOOSE(MOD(ROW()-3,4)+1,250,200,350,300))</x:f>
      </x:c>
      <x:c r="K146" s="100" t="str">
        <x:f>IF(INDEX('Curtain Input'!$A$3:$A$42,INT((ROW()-3)/4)+1)="","",IF(MOD(ROW()-3,4)+1=2,"Guide split parts from Curtain Input",""))</x:f>
      </x:c>
      <x:c r="L146" s="101"/>
      <x:c r="M146" s="101"/>
      <x:c r="N146" s="101"/>
      <x:c r="O146" s="101"/>
      <x:c r="P146" s="101"/>
      <x:c r="Q146" s="101"/>
      <x:c r="R146" s="101"/>
      <x:c r="S146" s="101"/>
      <x:c r="T146" s="101"/>
      <x:c r="U146" s="101"/>
      <x:c r="V146" s="101"/>
      <x:c r="W146" s="101"/>
      <x:c r="X146" s="101"/>
      <x:c r="Y146" s="101"/>
      <x:c r="Z146" s="101"/>
      <x:c r="AA146" s="101"/>
      <x:c r="AB146" s="101"/>
      <x:c r="AC146" s="101"/>
      <x:c r="AD146" s="101"/>
      <x:c r="AE146" s="101"/>
    </x:row>
    <x:row r="147">
      <x:c r="A14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47" s="100" t="str">
        <x:f>IF(INDEX('Curtain Input'!$A$3:$A$42,INT((ROW()-3)/4)+1)="","",INDEX('Curtain Input'!$AD$3:$AD$42,INT((ROW()-3)/4)+1))</x:f>
      </x:c>
      <x:c r="C147" s="100" t="str">
        <x:f>IF(INDEX('Curtain Input'!$A$3:$A$42,INT((ROW()-3)/4)+1)="","",INDEX('Curtain Input'!$A$3:$A$42,INT((ROW()-3)/4)+1))</x:f>
      </x:c>
      <x:c r="D147" s="100" t="str">
        <x:f>IF(INDEX('Curtain Input'!$A$3:$A$42,INT((ROW()-3)/4)+1)="","",CHOOSE(MOD(ROW()-3,4)+1,"Headbox front/back sections","Side guide pair","Barrel/curtain/bottom rail assembly","Control panel/endplate box"))</x:f>
      </x:c>
      <x:c r="E147" s="100" t="str">
        <x:f>IF(INDEX('Curtain Input'!$A$3:$A$42,INT((ROW()-3)/4)+1)="","",CHOOSE(MOD(ROW()-3,4)+1,2,2*INDEX('Curtain Input'!$J$3:$J$42,INT((ROW()-3)/4)+1),1,1))</x:f>
      </x:c>
      <x:c r="F14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4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4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47" s="124" t="str">
        <x:f>IF(INDEX('Curtain Input'!$A$3:$A$42,INT((ROW()-3)/4)+1)="","",CHOOSE(MOD(ROW()-3,4)+1,300,250,500,400))</x:f>
      </x:c>
      <x:c r="J147" s="124" t="str">
        <x:f>IF(INDEX('Curtain Input'!$A$3:$A$42,INT((ROW()-3)/4)+1)="","",CHOOSE(MOD(ROW()-3,4)+1,250,200,350,300))</x:f>
      </x:c>
      <x:c r="K147" s="100" t="str">
        <x:f>IF(INDEX('Curtain Input'!$A$3:$A$42,INT((ROW()-3)/4)+1)="","",IF(MOD(ROW()-3,4)+1=2,"Guide split parts from Curtain Input",""))</x:f>
      </x:c>
      <x:c r="L147" s="101"/>
      <x:c r="M147" s="101"/>
      <x:c r="N147" s="101"/>
      <x:c r="O147" s="101"/>
      <x:c r="P147" s="101"/>
      <x:c r="Q147" s="101"/>
      <x:c r="R147" s="101"/>
      <x:c r="S147" s="101"/>
      <x:c r="T147" s="101"/>
      <x:c r="U147" s="101"/>
      <x:c r="V147" s="101"/>
      <x:c r="W147" s="101"/>
      <x:c r="X147" s="101"/>
      <x:c r="Y147" s="101"/>
      <x:c r="Z147" s="101"/>
      <x:c r="AA147" s="101"/>
      <x:c r="AB147" s="101"/>
      <x:c r="AC147" s="101"/>
      <x:c r="AD147" s="101"/>
      <x:c r="AE147" s="101"/>
    </x:row>
    <x:row r="148">
      <x:c r="A14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48" s="100" t="str">
        <x:f>IF(INDEX('Curtain Input'!$A$3:$A$42,INT((ROW()-3)/4)+1)="","",INDEX('Curtain Input'!$AD$3:$AD$42,INT((ROW()-3)/4)+1))</x:f>
      </x:c>
      <x:c r="C148" s="100" t="str">
        <x:f>IF(INDEX('Curtain Input'!$A$3:$A$42,INT((ROW()-3)/4)+1)="","",INDEX('Curtain Input'!$A$3:$A$42,INT((ROW()-3)/4)+1))</x:f>
      </x:c>
      <x:c r="D148" s="100" t="str">
        <x:f>IF(INDEX('Curtain Input'!$A$3:$A$42,INT((ROW()-3)/4)+1)="","",CHOOSE(MOD(ROW()-3,4)+1,"Headbox front/back sections","Side guide pair","Barrel/curtain/bottom rail assembly","Control panel/endplate box"))</x:f>
      </x:c>
      <x:c r="E148" s="100" t="str">
        <x:f>IF(INDEX('Curtain Input'!$A$3:$A$42,INT((ROW()-3)/4)+1)="","",CHOOSE(MOD(ROW()-3,4)+1,2,2*INDEX('Curtain Input'!$J$3:$J$42,INT((ROW()-3)/4)+1),1,1))</x:f>
      </x:c>
      <x:c r="F14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4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4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48" s="124" t="str">
        <x:f>IF(INDEX('Curtain Input'!$A$3:$A$42,INT((ROW()-3)/4)+1)="","",CHOOSE(MOD(ROW()-3,4)+1,300,250,500,400))</x:f>
      </x:c>
      <x:c r="J148" s="124" t="str">
        <x:f>IF(INDEX('Curtain Input'!$A$3:$A$42,INT((ROW()-3)/4)+1)="","",CHOOSE(MOD(ROW()-3,4)+1,250,200,350,300))</x:f>
      </x:c>
      <x:c r="K148" s="100" t="str">
        <x:f>IF(INDEX('Curtain Input'!$A$3:$A$42,INT((ROW()-3)/4)+1)="","",IF(MOD(ROW()-3,4)+1=2,"Guide split parts from Curtain Input",""))</x:f>
      </x:c>
      <x:c r="L148" s="101"/>
      <x:c r="M148" s="101"/>
      <x:c r="N148" s="101"/>
      <x:c r="O148" s="101"/>
      <x:c r="P148" s="101"/>
      <x:c r="Q148" s="101"/>
      <x:c r="R148" s="101"/>
      <x:c r="S148" s="101"/>
      <x:c r="T148" s="101"/>
      <x:c r="U148" s="101"/>
      <x:c r="V148" s="101"/>
      <x:c r="W148" s="101"/>
      <x:c r="X148" s="101"/>
      <x:c r="Y148" s="101"/>
      <x:c r="Z148" s="101"/>
      <x:c r="AA148" s="101"/>
      <x:c r="AB148" s="101"/>
      <x:c r="AC148" s="101"/>
      <x:c r="AD148" s="101"/>
      <x:c r="AE148" s="101"/>
    </x:row>
    <x:row r="149">
      <x:c r="A14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49" s="100" t="str">
        <x:f>IF(INDEX('Curtain Input'!$A$3:$A$42,INT((ROW()-3)/4)+1)="","",INDEX('Curtain Input'!$AD$3:$AD$42,INT((ROW()-3)/4)+1))</x:f>
      </x:c>
      <x:c r="C149" s="100" t="str">
        <x:f>IF(INDEX('Curtain Input'!$A$3:$A$42,INT((ROW()-3)/4)+1)="","",INDEX('Curtain Input'!$A$3:$A$42,INT((ROW()-3)/4)+1))</x:f>
      </x:c>
      <x:c r="D149" s="100" t="str">
        <x:f>IF(INDEX('Curtain Input'!$A$3:$A$42,INT((ROW()-3)/4)+1)="","",CHOOSE(MOD(ROW()-3,4)+1,"Headbox front/back sections","Side guide pair","Barrel/curtain/bottom rail assembly","Control panel/endplate box"))</x:f>
      </x:c>
      <x:c r="E149" s="100" t="str">
        <x:f>IF(INDEX('Curtain Input'!$A$3:$A$42,INT((ROW()-3)/4)+1)="","",CHOOSE(MOD(ROW()-3,4)+1,2,2*INDEX('Curtain Input'!$J$3:$J$42,INT((ROW()-3)/4)+1),1,1))</x:f>
      </x:c>
      <x:c r="F14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4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4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49" s="124" t="str">
        <x:f>IF(INDEX('Curtain Input'!$A$3:$A$42,INT((ROW()-3)/4)+1)="","",CHOOSE(MOD(ROW()-3,4)+1,300,250,500,400))</x:f>
      </x:c>
      <x:c r="J149" s="124" t="str">
        <x:f>IF(INDEX('Curtain Input'!$A$3:$A$42,INT((ROW()-3)/4)+1)="","",CHOOSE(MOD(ROW()-3,4)+1,250,200,350,300))</x:f>
      </x:c>
      <x:c r="K149" s="100" t="str">
        <x:f>IF(INDEX('Curtain Input'!$A$3:$A$42,INT((ROW()-3)/4)+1)="","",IF(MOD(ROW()-3,4)+1=2,"Guide split parts from Curtain Input",""))</x:f>
      </x:c>
      <x:c r="L149" s="101"/>
      <x:c r="M149" s="101"/>
      <x:c r="N149" s="101"/>
      <x:c r="O149" s="101"/>
      <x:c r="P149" s="101"/>
      <x:c r="Q149" s="101"/>
      <x:c r="R149" s="101"/>
      <x:c r="S149" s="101"/>
      <x:c r="T149" s="101"/>
      <x:c r="U149" s="101"/>
      <x:c r="V149" s="101"/>
      <x:c r="W149" s="101"/>
      <x:c r="X149" s="101"/>
      <x:c r="Y149" s="101"/>
      <x:c r="Z149" s="101"/>
      <x:c r="AA149" s="101"/>
      <x:c r="AB149" s="101"/>
      <x:c r="AC149" s="101"/>
      <x:c r="AD149" s="101"/>
      <x:c r="AE149" s="101"/>
    </x:row>
    <x:row r="150">
      <x:c r="A15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50" s="100" t="str">
        <x:f>IF(INDEX('Curtain Input'!$A$3:$A$42,INT((ROW()-3)/4)+1)="","",INDEX('Curtain Input'!$AD$3:$AD$42,INT((ROW()-3)/4)+1))</x:f>
      </x:c>
      <x:c r="C150" s="100" t="str">
        <x:f>IF(INDEX('Curtain Input'!$A$3:$A$42,INT((ROW()-3)/4)+1)="","",INDEX('Curtain Input'!$A$3:$A$42,INT((ROW()-3)/4)+1))</x:f>
      </x:c>
      <x:c r="D150" s="100" t="str">
        <x:f>IF(INDEX('Curtain Input'!$A$3:$A$42,INT((ROW()-3)/4)+1)="","",CHOOSE(MOD(ROW()-3,4)+1,"Headbox front/back sections","Side guide pair","Barrel/curtain/bottom rail assembly","Control panel/endplate box"))</x:f>
      </x:c>
      <x:c r="E150" s="100" t="str">
        <x:f>IF(INDEX('Curtain Input'!$A$3:$A$42,INT((ROW()-3)/4)+1)="","",CHOOSE(MOD(ROW()-3,4)+1,2,2*INDEX('Curtain Input'!$J$3:$J$42,INT((ROW()-3)/4)+1),1,1))</x:f>
      </x:c>
      <x:c r="F15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5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5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50" s="124" t="str">
        <x:f>IF(INDEX('Curtain Input'!$A$3:$A$42,INT((ROW()-3)/4)+1)="","",CHOOSE(MOD(ROW()-3,4)+1,300,250,500,400))</x:f>
      </x:c>
      <x:c r="J150" s="124" t="str">
        <x:f>IF(INDEX('Curtain Input'!$A$3:$A$42,INT((ROW()-3)/4)+1)="","",CHOOSE(MOD(ROW()-3,4)+1,250,200,350,300))</x:f>
      </x:c>
      <x:c r="K150" s="100" t="str">
        <x:f>IF(INDEX('Curtain Input'!$A$3:$A$42,INT((ROW()-3)/4)+1)="","",IF(MOD(ROW()-3,4)+1=2,"Guide split parts from Curtain Input",""))</x:f>
      </x:c>
      <x:c r="L150" s="101"/>
      <x:c r="M150" s="101"/>
      <x:c r="N150" s="101"/>
      <x:c r="O150" s="101"/>
      <x:c r="P150" s="101"/>
      <x:c r="Q150" s="101"/>
      <x:c r="R150" s="101"/>
      <x:c r="S150" s="101"/>
      <x:c r="T150" s="101"/>
      <x:c r="U150" s="101"/>
      <x:c r="V150" s="101"/>
      <x:c r="W150" s="101"/>
      <x:c r="X150" s="101"/>
      <x:c r="Y150" s="101"/>
      <x:c r="Z150" s="101"/>
      <x:c r="AA150" s="101"/>
      <x:c r="AB150" s="101"/>
      <x:c r="AC150" s="101"/>
      <x:c r="AD150" s="101"/>
      <x:c r="AE150" s="101"/>
    </x:row>
    <x:row r="151">
      <x:c r="A15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51" s="100" t="str">
        <x:f>IF(INDEX('Curtain Input'!$A$3:$A$42,INT((ROW()-3)/4)+1)="","",INDEX('Curtain Input'!$AD$3:$AD$42,INT((ROW()-3)/4)+1))</x:f>
      </x:c>
      <x:c r="C151" s="100" t="str">
        <x:f>IF(INDEX('Curtain Input'!$A$3:$A$42,INT((ROW()-3)/4)+1)="","",INDEX('Curtain Input'!$A$3:$A$42,INT((ROW()-3)/4)+1))</x:f>
      </x:c>
      <x:c r="D151" s="100" t="str">
        <x:f>IF(INDEX('Curtain Input'!$A$3:$A$42,INT((ROW()-3)/4)+1)="","",CHOOSE(MOD(ROW()-3,4)+1,"Headbox front/back sections","Side guide pair","Barrel/curtain/bottom rail assembly","Control panel/endplate box"))</x:f>
      </x:c>
      <x:c r="E151" s="100" t="str">
        <x:f>IF(INDEX('Curtain Input'!$A$3:$A$42,INT((ROW()-3)/4)+1)="","",CHOOSE(MOD(ROW()-3,4)+1,2,2*INDEX('Curtain Input'!$J$3:$J$42,INT((ROW()-3)/4)+1),1,1))</x:f>
      </x:c>
      <x:c r="F15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5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5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51" s="124" t="str">
        <x:f>IF(INDEX('Curtain Input'!$A$3:$A$42,INT((ROW()-3)/4)+1)="","",CHOOSE(MOD(ROW()-3,4)+1,300,250,500,400))</x:f>
      </x:c>
      <x:c r="J151" s="124" t="str">
        <x:f>IF(INDEX('Curtain Input'!$A$3:$A$42,INT((ROW()-3)/4)+1)="","",CHOOSE(MOD(ROW()-3,4)+1,250,200,350,300))</x:f>
      </x:c>
      <x:c r="K151" s="100" t="str">
        <x:f>IF(INDEX('Curtain Input'!$A$3:$A$42,INT((ROW()-3)/4)+1)="","",IF(MOD(ROW()-3,4)+1=2,"Guide split parts from Curtain Input",""))</x:f>
      </x:c>
      <x:c r="L151" s="101"/>
      <x:c r="M151" s="101"/>
      <x:c r="N151" s="101"/>
      <x:c r="O151" s="101"/>
      <x:c r="P151" s="101"/>
      <x:c r="Q151" s="101"/>
      <x:c r="R151" s="101"/>
      <x:c r="S151" s="101"/>
      <x:c r="T151" s="101"/>
      <x:c r="U151" s="101"/>
      <x:c r="V151" s="101"/>
      <x:c r="W151" s="101"/>
      <x:c r="X151" s="101"/>
      <x:c r="Y151" s="101"/>
      <x:c r="Z151" s="101"/>
      <x:c r="AA151" s="101"/>
      <x:c r="AB151" s="101"/>
      <x:c r="AC151" s="101"/>
      <x:c r="AD151" s="101"/>
      <x:c r="AE151" s="101"/>
    </x:row>
    <x:row r="152">
      <x:c r="A15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52" s="100" t="str">
        <x:f>IF(INDEX('Curtain Input'!$A$3:$A$42,INT((ROW()-3)/4)+1)="","",INDEX('Curtain Input'!$AD$3:$AD$42,INT((ROW()-3)/4)+1))</x:f>
      </x:c>
      <x:c r="C152" s="100" t="str">
        <x:f>IF(INDEX('Curtain Input'!$A$3:$A$42,INT((ROW()-3)/4)+1)="","",INDEX('Curtain Input'!$A$3:$A$42,INT((ROW()-3)/4)+1))</x:f>
      </x:c>
      <x:c r="D152" s="100" t="str">
        <x:f>IF(INDEX('Curtain Input'!$A$3:$A$42,INT((ROW()-3)/4)+1)="","",CHOOSE(MOD(ROW()-3,4)+1,"Headbox front/back sections","Side guide pair","Barrel/curtain/bottom rail assembly","Control panel/endplate box"))</x:f>
      </x:c>
      <x:c r="E152" s="100" t="str">
        <x:f>IF(INDEX('Curtain Input'!$A$3:$A$42,INT((ROW()-3)/4)+1)="","",CHOOSE(MOD(ROW()-3,4)+1,2,2*INDEX('Curtain Input'!$J$3:$J$42,INT((ROW()-3)/4)+1),1,1))</x:f>
      </x:c>
      <x:c r="F15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5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5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52" s="124" t="str">
        <x:f>IF(INDEX('Curtain Input'!$A$3:$A$42,INT((ROW()-3)/4)+1)="","",CHOOSE(MOD(ROW()-3,4)+1,300,250,500,400))</x:f>
      </x:c>
      <x:c r="J152" s="124" t="str">
        <x:f>IF(INDEX('Curtain Input'!$A$3:$A$42,INT((ROW()-3)/4)+1)="","",CHOOSE(MOD(ROW()-3,4)+1,250,200,350,300))</x:f>
      </x:c>
      <x:c r="K152" s="100" t="str">
        <x:f>IF(INDEX('Curtain Input'!$A$3:$A$42,INT((ROW()-3)/4)+1)="","",IF(MOD(ROW()-3,4)+1=2,"Guide split parts from Curtain Input",""))</x:f>
      </x:c>
      <x:c r="L152" s="101"/>
      <x:c r="M152" s="101"/>
      <x:c r="N152" s="101"/>
      <x:c r="O152" s="101"/>
      <x:c r="P152" s="101"/>
      <x:c r="Q152" s="101"/>
      <x:c r="R152" s="101"/>
      <x:c r="S152" s="101"/>
      <x:c r="T152" s="101"/>
      <x:c r="U152" s="101"/>
      <x:c r="V152" s="101"/>
      <x:c r="W152" s="101"/>
      <x:c r="X152" s="101"/>
      <x:c r="Y152" s="101"/>
      <x:c r="Z152" s="101"/>
      <x:c r="AA152" s="101"/>
      <x:c r="AB152" s="101"/>
      <x:c r="AC152" s="101"/>
      <x:c r="AD152" s="101"/>
      <x:c r="AE152" s="101"/>
    </x:row>
    <x:row r="153">
      <x:c r="A153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53" s="100" t="str">
        <x:f>IF(INDEX('Curtain Input'!$A$3:$A$42,INT((ROW()-3)/4)+1)="","",INDEX('Curtain Input'!$AD$3:$AD$42,INT((ROW()-3)/4)+1))</x:f>
      </x:c>
      <x:c r="C153" s="100" t="str">
        <x:f>IF(INDEX('Curtain Input'!$A$3:$A$42,INT((ROW()-3)/4)+1)="","",INDEX('Curtain Input'!$A$3:$A$42,INT((ROW()-3)/4)+1))</x:f>
      </x:c>
      <x:c r="D153" s="100" t="str">
        <x:f>IF(INDEX('Curtain Input'!$A$3:$A$42,INT((ROW()-3)/4)+1)="","",CHOOSE(MOD(ROW()-3,4)+1,"Headbox front/back sections","Side guide pair","Barrel/curtain/bottom rail assembly","Control panel/endplate box"))</x:f>
      </x:c>
      <x:c r="E153" s="100" t="str">
        <x:f>IF(INDEX('Curtain Input'!$A$3:$A$42,INT((ROW()-3)/4)+1)="","",CHOOSE(MOD(ROW()-3,4)+1,2,2*INDEX('Curtain Input'!$J$3:$J$42,INT((ROW()-3)/4)+1),1,1))</x:f>
      </x:c>
      <x:c r="F153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53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53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53" s="124" t="str">
        <x:f>IF(INDEX('Curtain Input'!$A$3:$A$42,INT((ROW()-3)/4)+1)="","",CHOOSE(MOD(ROW()-3,4)+1,300,250,500,400))</x:f>
      </x:c>
      <x:c r="J153" s="124" t="str">
        <x:f>IF(INDEX('Curtain Input'!$A$3:$A$42,INT((ROW()-3)/4)+1)="","",CHOOSE(MOD(ROW()-3,4)+1,250,200,350,300))</x:f>
      </x:c>
      <x:c r="K153" s="100" t="str">
        <x:f>IF(INDEX('Curtain Input'!$A$3:$A$42,INT((ROW()-3)/4)+1)="","",IF(MOD(ROW()-3,4)+1=2,"Guide split parts from Curtain Input",""))</x:f>
      </x:c>
      <x:c r="L153" s="101"/>
      <x:c r="M153" s="101"/>
      <x:c r="N153" s="101"/>
      <x:c r="O153" s="101"/>
      <x:c r="P153" s="101"/>
      <x:c r="Q153" s="101"/>
      <x:c r="R153" s="101"/>
      <x:c r="S153" s="101"/>
      <x:c r="T153" s="101"/>
      <x:c r="U153" s="101"/>
      <x:c r="V153" s="101"/>
      <x:c r="W153" s="101"/>
      <x:c r="X153" s="101"/>
      <x:c r="Y153" s="101"/>
      <x:c r="Z153" s="101"/>
      <x:c r="AA153" s="101"/>
      <x:c r="AB153" s="101"/>
      <x:c r="AC153" s="101"/>
      <x:c r="AD153" s="101"/>
      <x:c r="AE153" s="101"/>
    </x:row>
    <x:row r="154">
      <x:c r="A154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54" s="100" t="str">
        <x:f>IF(INDEX('Curtain Input'!$A$3:$A$42,INT((ROW()-3)/4)+1)="","",INDEX('Curtain Input'!$AD$3:$AD$42,INT((ROW()-3)/4)+1))</x:f>
      </x:c>
      <x:c r="C154" s="100" t="str">
        <x:f>IF(INDEX('Curtain Input'!$A$3:$A$42,INT((ROW()-3)/4)+1)="","",INDEX('Curtain Input'!$A$3:$A$42,INT((ROW()-3)/4)+1))</x:f>
      </x:c>
      <x:c r="D154" s="100" t="str">
        <x:f>IF(INDEX('Curtain Input'!$A$3:$A$42,INT((ROW()-3)/4)+1)="","",CHOOSE(MOD(ROW()-3,4)+1,"Headbox front/back sections","Side guide pair","Barrel/curtain/bottom rail assembly","Control panel/endplate box"))</x:f>
      </x:c>
      <x:c r="E154" s="100" t="str">
        <x:f>IF(INDEX('Curtain Input'!$A$3:$A$42,INT((ROW()-3)/4)+1)="","",CHOOSE(MOD(ROW()-3,4)+1,2,2*INDEX('Curtain Input'!$J$3:$J$42,INT((ROW()-3)/4)+1),1,1))</x:f>
      </x:c>
      <x:c r="F154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54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54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54" s="124" t="str">
        <x:f>IF(INDEX('Curtain Input'!$A$3:$A$42,INT((ROW()-3)/4)+1)="","",CHOOSE(MOD(ROW()-3,4)+1,300,250,500,400))</x:f>
      </x:c>
      <x:c r="J154" s="124" t="str">
        <x:f>IF(INDEX('Curtain Input'!$A$3:$A$42,INT((ROW()-3)/4)+1)="","",CHOOSE(MOD(ROW()-3,4)+1,250,200,350,300))</x:f>
      </x:c>
      <x:c r="K154" s="100" t="str">
        <x:f>IF(INDEX('Curtain Input'!$A$3:$A$42,INT((ROW()-3)/4)+1)="","",IF(MOD(ROW()-3,4)+1=2,"Guide split parts from Curtain Input",""))</x:f>
      </x:c>
      <x:c r="L154" s="101"/>
      <x:c r="M154" s="101"/>
      <x:c r="N154" s="101"/>
      <x:c r="O154" s="101"/>
      <x:c r="P154" s="101"/>
      <x:c r="Q154" s="101"/>
      <x:c r="R154" s="101"/>
      <x:c r="S154" s="101"/>
      <x:c r="T154" s="101"/>
      <x:c r="U154" s="101"/>
      <x:c r="V154" s="101"/>
      <x:c r="W154" s="101"/>
      <x:c r="X154" s="101"/>
      <x:c r="Y154" s="101"/>
      <x:c r="Z154" s="101"/>
      <x:c r="AA154" s="101"/>
      <x:c r="AB154" s="101"/>
      <x:c r="AC154" s="101"/>
      <x:c r="AD154" s="101"/>
      <x:c r="AE154" s="101"/>
    </x:row>
    <x:row r="155">
      <x:c r="A155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55" s="100" t="str">
        <x:f>IF(INDEX('Curtain Input'!$A$3:$A$42,INT((ROW()-3)/4)+1)="","",INDEX('Curtain Input'!$AD$3:$AD$42,INT((ROW()-3)/4)+1))</x:f>
      </x:c>
      <x:c r="C155" s="100" t="str">
        <x:f>IF(INDEX('Curtain Input'!$A$3:$A$42,INT((ROW()-3)/4)+1)="","",INDEX('Curtain Input'!$A$3:$A$42,INT((ROW()-3)/4)+1))</x:f>
      </x:c>
      <x:c r="D155" s="100" t="str">
        <x:f>IF(INDEX('Curtain Input'!$A$3:$A$42,INT((ROW()-3)/4)+1)="","",CHOOSE(MOD(ROW()-3,4)+1,"Headbox front/back sections","Side guide pair","Barrel/curtain/bottom rail assembly","Control panel/endplate box"))</x:f>
      </x:c>
      <x:c r="E155" s="100" t="str">
        <x:f>IF(INDEX('Curtain Input'!$A$3:$A$42,INT((ROW()-3)/4)+1)="","",CHOOSE(MOD(ROW()-3,4)+1,2,2*INDEX('Curtain Input'!$J$3:$J$42,INT((ROW()-3)/4)+1),1,1))</x:f>
      </x:c>
      <x:c r="F155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55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55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55" s="124" t="str">
        <x:f>IF(INDEX('Curtain Input'!$A$3:$A$42,INT((ROW()-3)/4)+1)="","",CHOOSE(MOD(ROW()-3,4)+1,300,250,500,400))</x:f>
      </x:c>
      <x:c r="J155" s="124" t="str">
        <x:f>IF(INDEX('Curtain Input'!$A$3:$A$42,INT((ROW()-3)/4)+1)="","",CHOOSE(MOD(ROW()-3,4)+1,250,200,350,300))</x:f>
      </x:c>
      <x:c r="K155" s="100" t="str">
        <x:f>IF(INDEX('Curtain Input'!$A$3:$A$42,INT((ROW()-3)/4)+1)="","",IF(MOD(ROW()-3,4)+1=2,"Guide split parts from Curtain Input",""))</x:f>
      </x:c>
      <x:c r="L155" s="101"/>
      <x:c r="M155" s="101"/>
      <x:c r="N155" s="101"/>
      <x:c r="O155" s="101"/>
      <x:c r="P155" s="101"/>
      <x:c r="Q155" s="101"/>
      <x:c r="R155" s="101"/>
      <x:c r="S155" s="101"/>
      <x:c r="T155" s="101"/>
      <x:c r="U155" s="101"/>
      <x:c r="V155" s="101"/>
      <x:c r="W155" s="101"/>
      <x:c r="X155" s="101"/>
      <x:c r="Y155" s="101"/>
      <x:c r="Z155" s="101"/>
      <x:c r="AA155" s="101"/>
      <x:c r="AB155" s="101"/>
      <x:c r="AC155" s="101"/>
      <x:c r="AD155" s="101"/>
      <x:c r="AE155" s="101"/>
    </x:row>
    <x:row r="156">
      <x:c r="A156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56" s="100" t="str">
        <x:f>IF(INDEX('Curtain Input'!$A$3:$A$42,INT((ROW()-3)/4)+1)="","",INDEX('Curtain Input'!$AD$3:$AD$42,INT((ROW()-3)/4)+1))</x:f>
      </x:c>
      <x:c r="C156" s="100" t="str">
        <x:f>IF(INDEX('Curtain Input'!$A$3:$A$42,INT((ROW()-3)/4)+1)="","",INDEX('Curtain Input'!$A$3:$A$42,INT((ROW()-3)/4)+1))</x:f>
      </x:c>
      <x:c r="D156" s="100" t="str">
        <x:f>IF(INDEX('Curtain Input'!$A$3:$A$42,INT((ROW()-3)/4)+1)="","",CHOOSE(MOD(ROW()-3,4)+1,"Headbox front/back sections","Side guide pair","Barrel/curtain/bottom rail assembly","Control panel/endplate box"))</x:f>
      </x:c>
      <x:c r="E156" s="100" t="str">
        <x:f>IF(INDEX('Curtain Input'!$A$3:$A$42,INT((ROW()-3)/4)+1)="","",CHOOSE(MOD(ROW()-3,4)+1,2,2*INDEX('Curtain Input'!$J$3:$J$42,INT((ROW()-3)/4)+1),1,1))</x:f>
      </x:c>
      <x:c r="F156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56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56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56" s="124" t="str">
        <x:f>IF(INDEX('Curtain Input'!$A$3:$A$42,INT((ROW()-3)/4)+1)="","",CHOOSE(MOD(ROW()-3,4)+1,300,250,500,400))</x:f>
      </x:c>
      <x:c r="J156" s="124" t="str">
        <x:f>IF(INDEX('Curtain Input'!$A$3:$A$42,INT((ROW()-3)/4)+1)="","",CHOOSE(MOD(ROW()-3,4)+1,250,200,350,300))</x:f>
      </x:c>
      <x:c r="K156" s="100" t="str">
        <x:f>IF(INDEX('Curtain Input'!$A$3:$A$42,INT((ROW()-3)/4)+1)="","",IF(MOD(ROW()-3,4)+1=2,"Guide split parts from Curtain Input",""))</x:f>
      </x:c>
      <x:c r="L156" s="101"/>
      <x:c r="M156" s="101"/>
      <x:c r="N156" s="101"/>
      <x:c r="O156" s="101"/>
      <x:c r="P156" s="101"/>
      <x:c r="Q156" s="101"/>
      <x:c r="R156" s="101"/>
      <x:c r="S156" s="101"/>
      <x:c r="T156" s="101"/>
      <x:c r="U156" s="101"/>
      <x:c r="V156" s="101"/>
      <x:c r="W156" s="101"/>
      <x:c r="X156" s="101"/>
      <x:c r="Y156" s="101"/>
      <x:c r="Z156" s="101"/>
      <x:c r="AA156" s="101"/>
      <x:c r="AB156" s="101"/>
      <x:c r="AC156" s="101"/>
      <x:c r="AD156" s="101"/>
      <x:c r="AE156" s="101"/>
    </x:row>
    <x:row r="157">
      <x:c r="A157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57" s="100" t="str">
        <x:f>IF(INDEX('Curtain Input'!$A$3:$A$42,INT((ROW()-3)/4)+1)="","",INDEX('Curtain Input'!$AD$3:$AD$42,INT((ROW()-3)/4)+1))</x:f>
      </x:c>
      <x:c r="C157" s="100" t="str">
        <x:f>IF(INDEX('Curtain Input'!$A$3:$A$42,INT((ROW()-3)/4)+1)="","",INDEX('Curtain Input'!$A$3:$A$42,INT((ROW()-3)/4)+1))</x:f>
      </x:c>
      <x:c r="D157" s="100" t="str">
        <x:f>IF(INDEX('Curtain Input'!$A$3:$A$42,INT((ROW()-3)/4)+1)="","",CHOOSE(MOD(ROW()-3,4)+1,"Headbox front/back sections","Side guide pair","Barrel/curtain/bottom rail assembly","Control panel/endplate box"))</x:f>
      </x:c>
      <x:c r="E157" s="100" t="str">
        <x:f>IF(INDEX('Curtain Input'!$A$3:$A$42,INT((ROW()-3)/4)+1)="","",CHOOSE(MOD(ROW()-3,4)+1,2,2*INDEX('Curtain Input'!$J$3:$J$42,INT((ROW()-3)/4)+1),1,1))</x:f>
      </x:c>
      <x:c r="F157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57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57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57" s="124" t="str">
        <x:f>IF(INDEX('Curtain Input'!$A$3:$A$42,INT((ROW()-3)/4)+1)="","",CHOOSE(MOD(ROW()-3,4)+1,300,250,500,400))</x:f>
      </x:c>
      <x:c r="J157" s="124" t="str">
        <x:f>IF(INDEX('Curtain Input'!$A$3:$A$42,INT((ROW()-3)/4)+1)="","",CHOOSE(MOD(ROW()-3,4)+1,250,200,350,300))</x:f>
      </x:c>
      <x:c r="K157" s="100" t="str">
        <x:f>IF(INDEX('Curtain Input'!$A$3:$A$42,INT((ROW()-3)/4)+1)="","",IF(MOD(ROW()-3,4)+1=2,"Guide split parts from Curtain Input",""))</x:f>
      </x:c>
      <x:c r="L157" s="101"/>
      <x:c r="M157" s="101"/>
      <x:c r="N157" s="101"/>
      <x:c r="O157" s="101"/>
      <x:c r="P157" s="101"/>
      <x:c r="Q157" s="101"/>
      <x:c r="R157" s="101"/>
      <x:c r="S157" s="101"/>
      <x:c r="T157" s="101"/>
      <x:c r="U157" s="101"/>
      <x:c r="V157" s="101"/>
      <x:c r="W157" s="101"/>
      <x:c r="X157" s="101"/>
      <x:c r="Y157" s="101"/>
      <x:c r="Z157" s="101"/>
      <x:c r="AA157" s="101"/>
      <x:c r="AB157" s="101"/>
      <x:c r="AC157" s="101"/>
      <x:c r="AD157" s="101"/>
      <x:c r="AE157" s="101"/>
    </x:row>
    <x:row r="158">
      <x:c r="A158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58" s="100" t="str">
        <x:f>IF(INDEX('Curtain Input'!$A$3:$A$42,INT((ROW()-3)/4)+1)="","",INDEX('Curtain Input'!$AD$3:$AD$42,INT((ROW()-3)/4)+1))</x:f>
      </x:c>
      <x:c r="C158" s="100" t="str">
        <x:f>IF(INDEX('Curtain Input'!$A$3:$A$42,INT((ROW()-3)/4)+1)="","",INDEX('Curtain Input'!$A$3:$A$42,INT((ROW()-3)/4)+1))</x:f>
      </x:c>
      <x:c r="D158" s="100" t="str">
        <x:f>IF(INDEX('Curtain Input'!$A$3:$A$42,INT((ROW()-3)/4)+1)="","",CHOOSE(MOD(ROW()-3,4)+1,"Headbox front/back sections","Side guide pair","Barrel/curtain/bottom rail assembly","Control panel/endplate box"))</x:f>
      </x:c>
      <x:c r="E158" s="100" t="str">
        <x:f>IF(INDEX('Curtain Input'!$A$3:$A$42,INT((ROW()-3)/4)+1)="","",CHOOSE(MOD(ROW()-3,4)+1,2,2*INDEX('Curtain Input'!$J$3:$J$42,INT((ROW()-3)/4)+1),1,1))</x:f>
      </x:c>
      <x:c r="F158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58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58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58" s="124" t="str">
        <x:f>IF(INDEX('Curtain Input'!$A$3:$A$42,INT((ROW()-3)/4)+1)="","",CHOOSE(MOD(ROW()-3,4)+1,300,250,500,400))</x:f>
      </x:c>
      <x:c r="J158" s="124" t="str">
        <x:f>IF(INDEX('Curtain Input'!$A$3:$A$42,INT((ROW()-3)/4)+1)="","",CHOOSE(MOD(ROW()-3,4)+1,250,200,350,300))</x:f>
      </x:c>
      <x:c r="K158" s="100" t="str">
        <x:f>IF(INDEX('Curtain Input'!$A$3:$A$42,INT((ROW()-3)/4)+1)="","",IF(MOD(ROW()-3,4)+1=2,"Guide split parts from Curtain Input",""))</x:f>
      </x:c>
      <x:c r="L158" s="101"/>
      <x:c r="M158" s="101"/>
      <x:c r="N158" s="101"/>
      <x:c r="O158" s="101"/>
      <x:c r="P158" s="101"/>
      <x:c r="Q158" s="101"/>
      <x:c r="R158" s="101"/>
      <x:c r="S158" s="101"/>
      <x:c r="T158" s="101"/>
      <x:c r="U158" s="101"/>
      <x:c r="V158" s="101"/>
      <x:c r="W158" s="101"/>
      <x:c r="X158" s="101"/>
      <x:c r="Y158" s="101"/>
      <x:c r="Z158" s="101"/>
      <x:c r="AA158" s="101"/>
      <x:c r="AB158" s="101"/>
      <x:c r="AC158" s="101"/>
      <x:c r="AD158" s="101"/>
      <x:c r="AE158" s="101"/>
    </x:row>
    <x:row r="159">
      <x:c r="A159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59" s="100" t="str">
        <x:f>IF(INDEX('Curtain Input'!$A$3:$A$42,INT((ROW()-3)/4)+1)="","",INDEX('Curtain Input'!$AD$3:$AD$42,INT((ROW()-3)/4)+1))</x:f>
      </x:c>
      <x:c r="C159" s="100" t="str">
        <x:f>IF(INDEX('Curtain Input'!$A$3:$A$42,INT((ROW()-3)/4)+1)="","",INDEX('Curtain Input'!$A$3:$A$42,INT((ROW()-3)/4)+1))</x:f>
      </x:c>
      <x:c r="D159" s="100" t="str">
        <x:f>IF(INDEX('Curtain Input'!$A$3:$A$42,INT((ROW()-3)/4)+1)="","",CHOOSE(MOD(ROW()-3,4)+1,"Headbox front/back sections","Side guide pair","Barrel/curtain/bottom rail assembly","Control panel/endplate box"))</x:f>
      </x:c>
      <x:c r="E159" s="100" t="str">
        <x:f>IF(INDEX('Curtain Input'!$A$3:$A$42,INT((ROW()-3)/4)+1)="","",CHOOSE(MOD(ROW()-3,4)+1,2,2*INDEX('Curtain Input'!$J$3:$J$42,INT((ROW()-3)/4)+1),1,1))</x:f>
      </x:c>
      <x:c r="F159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59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59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59" s="124" t="str">
        <x:f>IF(INDEX('Curtain Input'!$A$3:$A$42,INT((ROW()-3)/4)+1)="","",CHOOSE(MOD(ROW()-3,4)+1,300,250,500,400))</x:f>
      </x:c>
      <x:c r="J159" s="124" t="str">
        <x:f>IF(INDEX('Curtain Input'!$A$3:$A$42,INT((ROW()-3)/4)+1)="","",CHOOSE(MOD(ROW()-3,4)+1,250,200,350,300))</x:f>
      </x:c>
      <x:c r="K159" s="100" t="str">
        <x:f>IF(INDEX('Curtain Input'!$A$3:$A$42,INT((ROW()-3)/4)+1)="","",IF(MOD(ROW()-3,4)+1=2,"Guide split parts from Curtain Input",""))</x:f>
      </x:c>
      <x:c r="L159" s="101"/>
      <x:c r="M159" s="101"/>
      <x:c r="N159" s="101"/>
      <x:c r="O159" s="101"/>
      <x:c r="P159" s="101"/>
      <x:c r="Q159" s="101"/>
      <x:c r="R159" s="101"/>
      <x:c r="S159" s="101"/>
      <x:c r="T159" s="101"/>
      <x:c r="U159" s="101"/>
      <x:c r="V159" s="101"/>
      <x:c r="W159" s="101"/>
      <x:c r="X159" s="101"/>
      <x:c r="Y159" s="101"/>
      <x:c r="Z159" s="101"/>
      <x:c r="AA159" s="101"/>
      <x:c r="AB159" s="101"/>
      <x:c r="AC159" s="101"/>
      <x:c r="AD159" s="101"/>
      <x:c r="AE159" s="101"/>
    </x:row>
    <x:row r="160">
      <x:c r="A160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60" s="100" t="str">
        <x:f>IF(INDEX('Curtain Input'!$A$3:$A$42,INT((ROW()-3)/4)+1)="","",INDEX('Curtain Input'!$AD$3:$AD$42,INT((ROW()-3)/4)+1))</x:f>
      </x:c>
      <x:c r="C160" s="100" t="str">
        <x:f>IF(INDEX('Curtain Input'!$A$3:$A$42,INT((ROW()-3)/4)+1)="","",INDEX('Curtain Input'!$A$3:$A$42,INT((ROW()-3)/4)+1))</x:f>
      </x:c>
      <x:c r="D160" s="100" t="str">
        <x:f>IF(INDEX('Curtain Input'!$A$3:$A$42,INT((ROW()-3)/4)+1)="","",CHOOSE(MOD(ROW()-3,4)+1,"Headbox front/back sections","Side guide pair","Barrel/curtain/bottom rail assembly","Control panel/endplate box"))</x:f>
      </x:c>
      <x:c r="E160" s="100" t="str">
        <x:f>IF(INDEX('Curtain Input'!$A$3:$A$42,INT((ROW()-3)/4)+1)="","",CHOOSE(MOD(ROW()-3,4)+1,2,2*INDEX('Curtain Input'!$J$3:$J$42,INT((ROW()-3)/4)+1),1,1))</x:f>
      </x:c>
      <x:c r="F160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60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60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60" s="124" t="str">
        <x:f>IF(INDEX('Curtain Input'!$A$3:$A$42,INT((ROW()-3)/4)+1)="","",CHOOSE(MOD(ROW()-3,4)+1,300,250,500,400))</x:f>
      </x:c>
      <x:c r="J160" s="124" t="str">
        <x:f>IF(INDEX('Curtain Input'!$A$3:$A$42,INT((ROW()-3)/4)+1)="","",CHOOSE(MOD(ROW()-3,4)+1,250,200,350,300))</x:f>
      </x:c>
      <x:c r="K160" s="100" t="str">
        <x:f>IF(INDEX('Curtain Input'!$A$3:$A$42,INT((ROW()-3)/4)+1)="","",IF(MOD(ROW()-3,4)+1=2,"Guide split parts from Curtain Input",""))</x:f>
      </x:c>
      <x:c r="L160" s="101"/>
      <x:c r="M160" s="101"/>
      <x:c r="N160" s="101"/>
      <x:c r="O160" s="101"/>
      <x:c r="P160" s="101"/>
      <x:c r="Q160" s="101"/>
      <x:c r="R160" s="101"/>
      <x:c r="S160" s="101"/>
      <x:c r="T160" s="101"/>
      <x:c r="U160" s="101"/>
      <x:c r="V160" s="101"/>
      <x:c r="W160" s="101"/>
      <x:c r="X160" s="101"/>
      <x:c r="Y160" s="101"/>
      <x:c r="Z160" s="101"/>
      <x:c r="AA160" s="101"/>
      <x:c r="AB160" s="101"/>
      <x:c r="AC160" s="101"/>
      <x:c r="AD160" s="101"/>
      <x:c r="AE160" s="101"/>
    </x:row>
    <x:row r="161">
      <x:c r="A161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61" s="100" t="str">
        <x:f>IF(INDEX('Curtain Input'!$A$3:$A$42,INT((ROW()-3)/4)+1)="","",INDEX('Curtain Input'!$AD$3:$AD$42,INT((ROW()-3)/4)+1))</x:f>
      </x:c>
      <x:c r="C161" s="100" t="str">
        <x:f>IF(INDEX('Curtain Input'!$A$3:$A$42,INT((ROW()-3)/4)+1)="","",INDEX('Curtain Input'!$A$3:$A$42,INT((ROW()-3)/4)+1))</x:f>
      </x:c>
      <x:c r="D161" s="100" t="str">
        <x:f>IF(INDEX('Curtain Input'!$A$3:$A$42,INT((ROW()-3)/4)+1)="","",CHOOSE(MOD(ROW()-3,4)+1,"Headbox front/back sections","Side guide pair","Barrel/curtain/bottom rail assembly","Control panel/endplate box"))</x:f>
      </x:c>
      <x:c r="E161" s="100" t="str">
        <x:f>IF(INDEX('Curtain Input'!$A$3:$A$42,INT((ROW()-3)/4)+1)="","",CHOOSE(MOD(ROW()-3,4)+1,2,2*INDEX('Curtain Input'!$J$3:$J$42,INT((ROW()-3)/4)+1),1,1))</x:f>
      </x:c>
      <x:c r="F161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61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61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61" s="124" t="str">
        <x:f>IF(INDEX('Curtain Input'!$A$3:$A$42,INT((ROW()-3)/4)+1)="","",CHOOSE(MOD(ROW()-3,4)+1,300,250,500,400))</x:f>
      </x:c>
      <x:c r="J161" s="124" t="str">
        <x:f>IF(INDEX('Curtain Input'!$A$3:$A$42,INT((ROW()-3)/4)+1)="","",CHOOSE(MOD(ROW()-3,4)+1,250,200,350,300))</x:f>
      </x:c>
      <x:c r="K161" s="100" t="str">
        <x:f>IF(INDEX('Curtain Input'!$A$3:$A$42,INT((ROW()-3)/4)+1)="","",IF(MOD(ROW()-3,4)+1=2,"Guide split parts from Curtain Input",""))</x:f>
      </x:c>
      <x:c r="L161" s="101"/>
      <x:c r="M161" s="101"/>
      <x:c r="N161" s="101"/>
      <x:c r="O161" s="101"/>
      <x:c r="P161" s="101"/>
      <x:c r="Q161" s="101"/>
      <x:c r="R161" s="101"/>
      <x:c r="S161" s="101"/>
      <x:c r="T161" s="101"/>
      <x:c r="U161" s="101"/>
      <x:c r="V161" s="101"/>
      <x:c r="W161" s="101"/>
      <x:c r="X161" s="101"/>
      <x:c r="Y161" s="101"/>
      <x:c r="Z161" s="101"/>
      <x:c r="AA161" s="101"/>
      <x:c r="AB161" s="101"/>
      <x:c r="AC161" s="101"/>
      <x:c r="AD161" s="101"/>
      <x:c r="AE161" s="101"/>
    </x:row>
    <x:row r="162">
      <x:c r="A162" s="100" t="str">
        <x:f>IF(INDEX('Curtain Input'!$A$3:$A$42,INT((ROW()-3)/4)+1)="","",INDEX('Curtain Input'!$A$3:$A$42,INT((ROW()-3)/4)+1)&amp;" - "&amp;CHOOSE(MOD(ROW()-3,4)+1,"Headbox front/back sections","Side guide pair","Barrel/curtain/bottom rail assembly","Control panel/endplate box"))</x:f>
      </x:c>
      <x:c r="B162" s="100" t="str">
        <x:f>IF(INDEX('Curtain Input'!$A$3:$A$42,INT((ROW()-3)/4)+1)="","",INDEX('Curtain Input'!$AD$3:$AD$42,INT((ROW()-3)/4)+1))</x:f>
      </x:c>
      <x:c r="C162" s="100" t="str">
        <x:f>IF(INDEX('Curtain Input'!$A$3:$A$42,INT((ROW()-3)/4)+1)="","",INDEX('Curtain Input'!$A$3:$A$42,INT((ROW()-3)/4)+1))</x:f>
      </x:c>
      <x:c r="D162" s="100" t="str">
        <x:f>IF(INDEX('Curtain Input'!$A$3:$A$42,INT((ROW()-3)/4)+1)="","",CHOOSE(MOD(ROW()-3,4)+1,"Headbox front/back sections","Side guide pair","Barrel/curtain/bottom rail assembly","Control panel/endplate box"))</x:f>
      </x:c>
      <x:c r="E162" s="100" t="str">
        <x:f>IF(INDEX('Curtain Input'!$A$3:$A$42,INT((ROW()-3)/4)+1)="","",CHOOSE(MOD(ROW()-3,4)+1,2,2*INDEX('Curtain Input'!$J$3:$J$42,INT((ROW()-3)/4)+1),1,1))</x:f>
      </x:c>
      <x:c r="F162" s="100" t="str">
        <x:f>IF(INDEX('Curtain Input'!$A$3:$A$42,INT((ROW()-3)/4)+1)="","",CHOOSE(MOD(ROW()-3,4)+1,"Headbox back + front","Pair of side guides / split as entered","Barrel wrapped with curtain and bottom rail pre-assembled","Control panel, endplate pair, key switch and small components"))</x:f>
      </x:c>
      <x:c r="G162" s="124" t="str">
        <x:f>IF(INDEX('Curtain Input'!$A$3:$A$42,INT((ROW()-3)/4)+1)="","",CHOOSE(MOD(ROW()-3,4)+1,INDEX('Packing Calc'!$C$3:$C$42,INT((ROW()-3)/4)+1),INDEX('Packing Calc'!$D$3:$D$42,INT((ROW()-3)/4)+1),INDEX('Packing Calc'!$E$3:$E$42,INT((ROW()-3)/4)+1)+INDEX('Packing Calc'!$F$3:$F$42,INT((ROW()-3)/4)+1)+INDEX('Packing Calc'!$G$3:$G$42,INT((ROW()-3)/4)+1)+INDEX('Packing Calc'!$H$3:$H$42,INT((ROW()-3)/4)+1),INDEX('Packing Calc'!$I$3:$I$42,INT((ROW()-3)/4)+1)+INDEX('Packing Calc'!$J$3:$J$42,INT((ROW()-3)/4)+1)))</x:f>
      </x:c>
      <x:c r="H162" s="124" t="str">
        <x:f>IF(INDEX('Curtain Input'!$A$3:$A$42,INT((ROW()-3)/4)+1)="","",CHOOSE(MOD(ROW()-3,4)+1,INDEX('Curtain Input'!$G$3:$G$42,INT((ROW()-3)/4)+1)+200,ROUNDUP(INDEX('Curtain Input'!$I$3:$I$42,INT((ROW()-3)/4)+1)/MAX(1,INDEX('Curtain Input'!$J$3:$J$42,INT((ROW()-3)/4)+1))+200,0),MAX(INDEX('Curtain Input'!$M$3:$M$42,INT((ROW()-3)/4)+1),INDEX('Curtain Input'!$R$3:$R$42,INT((ROW()-3)/4)+1),INDEX('Curtain Input'!$O$3:$O$42,INT((ROW()-3)/4)+1))+200,600))</x:f>
      </x:c>
      <x:c r="I162" s="124" t="str">
        <x:f>IF(INDEX('Curtain Input'!$A$3:$A$42,INT((ROW()-3)/4)+1)="","",CHOOSE(MOD(ROW()-3,4)+1,300,250,500,400))</x:f>
      </x:c>
      <x:c r="J162" s="124" t="str">
        <x:f>IF(INDEX('Curtain Input'!$A$3:$A$42,INT((ROW()-3)/4)+1)="","",CHOOSE(MOD(ROW()-3,4)+1,250,200,350,300))</x:f>
      </x:c>
      <x:c r="K162" s="100" t="str">
        <x:f>IF(INDEX('Curtain Input'!$A$3:$A$42,INT((ROW()-3)/4)+1)="","",IF(MOD(ROW()-3,4)+1=2,"Guide split parts from Curtain Input",""))</x:f>
      </x:c>
      <x:c r="L162" s="101"/>
      <x:c r="M162" s="101"/>
      <x:c r="N162" s="101"/>
      <x:c r="O162" s="101"/>
      <x:c r="P162" s="101"/>
      <x:c r="Q162" s="101"/>
      <x:c r="R162" s="101"/>
      <x:c r="S162" s="101"/>
      <x:c r="T162" s="101"/>
      <x:c r="U162" s="101"/>
      <x:c r="V162" s="101"/>
      <x:c r="W162" s="101"/>
      <x:c r="X162" s="101"/>
      <x:c r="Y162" s="101"/>
      <x:c r="Z162" s="101"/>
      <x:c r="AA162" s="101"/>
      <x:c r="AB162" s="101"/>
      <x:c r="AC162" s="101"/>
      <x:c r="AD162" s="101"/>
      <x:c r="AE162" s="101"/>
    </x:row>
    <x:row r="163">
      <x:c r="A163" s="101"/>
      <x:c r="B163" s="101"/>
      <x:c r="C163" s="101"/>
      <x:c r="D163" s="101"/>
      <x:c r="E163" s="101"/>
      <x:c r="F163" s="101"/>
      <x:c r="G163" s="101"/>
      <x:c r="H163" s="101"/>
      <x:c r="I163" s="101"/>
      <x:c r="J163" s="101"/>
      <x:c r="K163" s="101"/>
      <x:c r="L163" s="101"/>
      <x:c r="M163" s="101"/>
      <x:c r="N163" s="101"/>
      <x:c r="O163" s="101"/>
      <x:c r="P163" s="101"/>
      <x:c r="Q163" s="101"/>
      <x:c r="R163" s="101"/>
      <x:c r="S163" s="101"/>
      <x:c r="T163" s="101"/>
      <x:c r="U163" s="101"/>
      <x:c r="V163" s="101"/>
      <x:c r="W163" s="101"/>
      <x:c r="X163" s="101"/>
      <x:c r="Y163" s="101"/>
      <x:c r="Z163" s="101"/>
      <x:c r="AA163" s="101"/>
      <x:c r="AB163" s="101"/>
      <x:c r="AC163" s="101"/>
      <x:c r="AD163" s="101"/>
      <x:c r="AE163" s="101"/>
    </x:row>
    <x:row r="164">
      <x:c r="A164" s="101"/>
      <x:c r="B164" s="101"/>
      <x:c r="C164" s="101"/>
      <x:c r="D164" s="101"/>
      <x:c r="E164" s="101"/>
      <x:c r="F164" s="101"/>
      <x:c r="G164" s="101"/>
      <x:c r="H164" s="101"/>
      <x:c r="I164" s="101"/>
      <x:c r="J164" s="101"/>
      <x:c r="K164" s="101"/>
      <x:c r="L164" s="101"/>
      <x:c r="M164" s="101"/>
      <x:c r="N164" s="101"/>
      <x:c r="O164" s="101"/>
      <x:c r="P164" s="101"/>
      <x:c r="Q164" s="101"/>
      <x:c r="R164" s="101"/>
      <x:c r="S164" s="101"/>
      <x:c r="T164" s="101"/>
      <x:c r="U164" s="101"/>
      <x:c r="V164" s="101"/>
      <x:c r="W164" s="101"/>
      <x:c r="X164" s="101"/>
      <x:c r="Y164" s="101"/>
      <x:c r="Z164" s="101"/>
      <x:c r="AA164" s="101"/>
      <x:c r="AB164" s="101"/>
      <x:c r="AC164" s="101"/>
      <x:c r="AD164" s="101"/>
      <x:c r="AE164" s="101"/>
    </x:row>
    <x:row r="165">
      <x:c r="A165" s="101"/>
      <x:c r="B165" s="101"/>
      <x:c r="C165" s="101"/>
      <x:c r="D165" s="101"/>
      <x:c r="E165" s="101"/>
      <x:c r="F165" s="101"/>
      <x:c r="G165" s="101"/>
      <x:c r="H165" s="101"/>
      <x:c r="I165" s="101"/>
      <x:c r="J165" s="101"/>
      <x:c r="K165" s="101"/>
      <x:c r="L165" s="101"/>
      <x:c r="M165" s="101"/>
      <x:c r="N165" s="101"/>
      <x:c r="O165" s="101"/>
      <x:c r="P165" s="101"/>
      <x:c r="Q165" s="101"/>
      <x:c r="R165" s="101"/>
      <x:c r="S165" s="101"/>
      <x:c r="T165" s="101"/>
      <x:c r="U165" s="101"/>
      <x:c r="V165" s="101"/>
      <x:c r="W165" s="101"/>
      <x:c r="X165" s="101"/>
      <x:c r="Y165" s="101"/>
      <x:c r="Z165" s="101"/>
      <x:c r="AA165" s="101"/>
      <x:c r="AB165" s="101"/>
      <x:c r="AC165" s="101"/>
      <x:c r="AD165" s="101"/>
      <x:c r="AE165" s="101"/>
    </x:row>
    <x:row r="166">
      <x:c r="A166" s="101"/>
      <x:c r="B166" s="101"/>
      <x:c r="C166" s="101"/>
      <x:c r="D166" s="101"/>
      <x:c r="E166" s="101"/>
      <x:c r="F166" s="101"/>
      <x:c r="G166" s="101"/>
      <x:c r="H166" s="101"/>
      <x:c r="I166" s="101"/>
      <x:c r="J166" s="101"/>
      <x:c r="K166" s="101"/>
      <x:c r="L166" s="101"/>
      <x:c r="M166" s="101"/>
      <x:c r="N166" s="101"/>
      <x:c r="O166" s="101"/>
      <x:c r="P166" s="101"/>
      <x:c r="Q166" s="101"/>
      <x:c r="R166" s="101"/>
      <x:c r="S166" s="101"/>
      <x:c r="T166" s="101"/>
      <x:c r="U166" s="101"/>
      <x:c r="V166" s="101"/>
      <x:c r="W166" s="101"/>
      <x:c r="X166" s="101"/>
      <x:c r="Y166" s="101"/>
      <x:c r="Z166" s="101"/>
      <x:c r="AA166" s="101"/>
      <x:c r="AB166" s="101"/>
      <x:c r="AC166" s="101"/>
      <x:c r="AD166" s="101"/>
      <x:c r="AE166" s="101"/>
    </x:row>
    <x:row r="167">
      <x:c r="A167" s="101"/>
      <x:c r="B167" s="101"/>
      <x:c r="C167" s="101"/>
      <x:c r="D167" s="101"/>
      <x:c r="E167" s="101"/>
      <x:c r="F167" s="101"/>
      <x:c r="G167" s="101"/>
      <x:c r="H167" s="101"/>
      <x:c r="I167" s="101"/>
      <x:c r="J167" s="101"/>
      <x:c r="K167" s="101"/>
      <x:c r="L167" s="101"/>
      <x:c r="M167" s="101"/>
      <x:c r="N167" s="101"/>
      <x:c r="O167" s="101"/>
      <x:c r="P167" s="101"/>
      <x:c r="Q167" s="101"/>
      <x:c r="R167" s="101"/>
      <x:c r="S167" s="101"/>
      <x:c r="T167" s="101"/>
      <x:c r="U167" s="101"/>
      <x:c r="V167" s="101"/>
      <x:c r="W167" s="101"/>
      <x:c r="X167" s="101"/>
      <x:c r="Y167" s="101"/>
      <x:c r="Z167" s="101"/>
      <x:c r="AA167" s="101"/>
      <x:c r="AB167" s="101"/>
      <x:c r="AC167" s="101"/>
      <x:c r="AD167" s="101"/>
      <x:c r="AE167" s="101"/>
    </x:row>
    <x:row r="168">
      <x:c r="A168" s="101"/>
      <x:c r="B168" s="101"/>
      <x:c r="C168" s="101"/>
      <x:c r="D168" s="101"/>
      <x:c r="E168" s="101"/>
      <x:c r="F168" s="101"/>
      <x:c r="G168" s="101"/>
      <x:c r="H168" s="101"/>
      <x:c r="I168" s="101"/>
      <x:c r="J168" s="101"/>
      <x:c r="K168" s="101"/>
      <x:c r="L168" s="101"/>
      <x:c r="M168" s="101"/>
      <x:c r="N168" s="101"/>
      <x:c r="O168" s="101"/>
      <x:c r="P168" s="101"/>
      <x:c r="Q168" s="101"/>
      <x:c r="R168" s="101"/>
      <x:c r="S168" s="101"/>
      <x:c r="T168" s="101"/>
      <x:c r="U168" s="101"/>
      <x:c r="V168" s="101"/>
      <x:c r="W168" s="101"/>
      <x:c r="X168" s="101"/>
      <x:c r="Y168" s="101"/>
      <x:c r="Z168" s="101"/>
      <x:c r="AA168" s="101"/>
      <x:c r="AB168" s="101"/>
      <x:c r="AC168" s="101"/>
      <x:c r="AD168" s="101"/>
      <x:c r="AE168" s="101"/>
    </x:row>
    <x:row r="169">
      <x:c r="A169" s="101"/>
      <x:c r="B169" s="101"/>
      <x:c r="C169" s="101"/>
      <x:c r="D169" s="101"/>
      <x:c r="E169" s="101"/>
      <x:c r="F169" s="101"/>
      <x:c r="G169" s="101"/>
      <x:c r="H169" s="101"/>
      <x:c r="I169" s="101"/>
      <x:c r="J169" s="101"/>
      <x:c r="K169" s="101"/>
      <x:c r="L169" s="101"/>
      <x:c r="M169" s="101"/>
      <x:c r="N169" s="101"/>
      <x:c r="O169" s="101"/>
      <x:c r="P169" s="101"/>
      <x:c r="Q169" s="101"/>
      <x:c r="R169" s="101"/>
      <x:c r="S169" s="101"/>
      <x:c r="T169" s="101"/>
      <x:c r="U169" s="101"/>
      <x:c r="V169" s="101"/>
      <x:c r="W169" s="101"/>
      <x:c r="X169" s="101"/>
      <x:c r="Y169" s="101"/>
      <x:c r="Z169" s="101"/>
      <x:c r="AA169" s="101"/>
      <x:c r="AB169" s="101"/>
      <x:c r="AC169" s="101"/>
      <x:c r="AD169" s="101"/>
      <x:c r="AE169" s="101"/>
    </x:row>
    <x:row r="170">
      <x:c r="A170" s="101"/>
      <x:c r="B170" s="101"/>
      <x:c r="C170" s="101"/>
      <x:c r="D170" s="101"/>
      <x:c r="E170" s="101"/>
      <x:c r="F170" s="101"/>
      <x:c r="G170" s="101"/>
      <x:c r="H170" s="101"/>
      <x:c r="I170" s="101"/>
      <x:c r="J170" s="101"/>
      <x:c r="K170" s="101"/>
      <x:c r="L170" s="101"/>
      <x:c r="M170" s="101"/>
      <x:c r="N170" s="101"/>
      <x:c r="O170" s="101"/>
      <x:c r="P170" s="101"/>
      <x:c r="Q170" s="101"/>
      <x:c r="R170" s="101"/>
      <x:c r="S170" s="101"/>
      <x:c r="T170" s="101"/>
      <x:c r="U170" s="101"/>
      <x:c r="V170" s="101"/>
      <x:c r="W170" s="101"/>
      <x:c r="X170" s="101"/>
      <x:c r="Y170" s="101"/>
      <x:c r="Z170" s="101"/>
      <x:c r="AA170" s="101"/>
      <x:c r="AB170" s="101"/>
      <x:c r="AC170" s="101"/>
      <x:c r="AD170" s="101"/>
      <x:c r="AE170" s="101"/>
    </x:row>
    <x:row r="171">
      <x:c r="A171" s="101"/>
      <x:c r="B171" s="101"/>
      <x:c r="C171" s="101"/>
      <x:c r="D171" s="101"/>
      <x:c r="E171" s="101"/>
      <x:c r="F171" s="101"/>
      <x:c r="G171" s="101"/>
      <x:c r="H171" s="101"/>
      <x:c r="I171" s="101"/>
      <x:c r="J171" s="101"/>
      <x:c r="K171" s="101"/>
      <x:c r="L171" s="101"/>
      <x:c r="M171" s="101"/>
      <x:c r="N171" s="101"/>
      <x:c r="O171" s="101"/>
      <x:c r="P171" s="101"/>
      <x:c r="Q171" s="101"/>
      <x:c r="R171" s="101"/>
      <x:c r="S171" s="101"/>
      <x:c r="T171" s="101"/>
      <x:c r="U171" s="101"/>
      <x:c r="V171" s="101"/>
      <x:c r="W171" s="101"/>
      <x:c r="X171" s="101"/>
      <x:c r="Y171" s="101"/>
      <x:c r="Z171" s="101"/>
      <x:c r="AA171" s="101"/>
      <x:c r="AB171" s="101"/>
      <x:c r="AC171" s="101"/>
      <x:c r="AD171" s="101"/>
      <x:c r="AE171" s="101"/>
    </x:row>
    <x:row r="172">
      <x:c r="A172" s="101"/>
      <x:c r="B172" s="101"/>
      <x:c r="C172" s="101"/>
      <x:c r="D172" s="101"/>
      <x:c r="E172" s="101"/>
      <x:c r="F172" s="101"/>
      <x:c r="G172" s="101"/>
      <x:c r="H172" s="101"/>
      <x:c r="I172" s="101"/>
      <x:c r="J172" s="101"/>
      <x:c r="K172" s="101"/>
      <x:c r="L172" s="101"/>
      <x:c r="M172" s="101"/>
      <x:c r="N172" s="101"/>
      <x:c r="O172" s="101"/>
      <x:c r="P172" s="101"/>
      <x:c r="Q172" s="101"/>
      <x:c r="R172" s="101"/>
      <x:c r="S172" s="101"/>
      <x:c r="T172" s="101"/>
      <x:c r="U172" s="101"/>
      <x:c r="V172" s="101"/>
      <x:c r="W172" s="101"/>
      <x:c r="X172" s="101"/>
      <x:c r="Y172" s="101"/>
      <x:c r="Z172" s="101"/>
      <x:c r="AA172" s="101"/>
      <x:c r="AB172" s="101"/>
      <x:c r="AC172" s="101"/>
      <x:c r="AD172" s="101"/>
      <x:c r="AE172" s="101"/>
    </x:row>
    <x:row r="173">
      <x:c r="A173" s="101"/>
      <x:c r="B173" s="101"/>
      <x:c r="C173" s="101"/>
      <x:c r="D173" s="101"/>
      <x:c r="E173" s="101"/>
      <x:c r="F173" s="101"/>
      <x:c r="G173" s="101"/>
      <x:c r="H173" s="101"/>
      <x:c r="I173" s="101"/>
      <x:c r="J173" s="101"/>
      <x:c r="K173" s="101"/>
      <x:c r="L173" s="101"/>
      <x:c r="M173" s="101"/>
      <x:c r="N173" s="101"/>
      <x:c r="O173" s="101"/>
      <x:c r="P173" s="101"/>
      <x:c r="Q173" s="101"/>
      <x:c r="R173" s="101"/>
      <x:c r="S173" s="101"/>
      <x:c r="T173" s="101"/>
      <x:c r="U173" s="101"/>
      <x:c r="V173" s="101"/>
      <x:c r="W173" s="101"/>
      <x:c r="X173" s="101"/>
      <x:c r="Y173" s="101"/>
      <x:c r="Z173" s="101"/>
      <x:c r="AA173" s="101"/>
      <x:c r="AB173" s="101"/>
      <x:c r="AC173" s="101"/>
      <x:c r="AD173" s="101"/>
      <x:c r="AE173" s="101"/>
    </x:row>
    <x:row r="174">
      <x:c r="A174" s="101"/>
      <x:c r="B174" s="101"/>
      <x:c r="C174" s="101"/>
      <x:c r="D174" s="101"/>
      <x:c r="E174" s="101"/>
      <x:c r="F174" s="101"/>
      <x:c r="G174" s="101"/>
      <x:c r="H174" s="101"/>
      <x:c r="I174" s="101"/>
      <x:c r="J174" s="101"/>
      <x:c r="K174" s="101"/>
      <x:c r="L174" s="101"/>
      <x:c r="M174" s="101"/>
      <x:c r="N174" s="101"/>
      <x:c r="O174" s="101"/>
      <x:c r="P174" s="101"/>
      <x:c r="Q174" s="101"/>
      <x:c r="R174" s="101"/>
      <x:c r="S174" s="101"/>
      <x:c r="T174" s="101"/>
      <x:c r="U174" s="101"/>
      <x:c r="V174" s="101"/>
      <x:c r="W174" s="101"/>
      <x:c r="X174" s="101"/>
      <x:c r="Y174" s="101"/>
      <x:c r="Z174" s="101"/>
      <x:c r="AA174" s="101"/>
      <x:c r="AB174" s="101"/>
      <x:c r="AC174" s="101"/>
      <x:c r="AD174" s="101"/>
      <x:c r="AE174" s="101"/>
    </x:row>
    <x:row r="175">
      <x:c r="A175" s="101"/>
      <x:c r="B175" s="101"/>
      <x:c r="C175" s="101"/>
      <x:c r="D175" s="101"/>
      <x:c r="E175" s="101"/>
      <x:c r="F175" s="101"/>
      <x:c r="G175" s="101"/>
      <x:c r="H175" s="101"/>
      <x:c r="I175" s="101"/>
      <x:c r="J175" s="101"/>
      <x:c r="K175" s="101"/>
      <x:c r="L175" s="101"/>
      <x:c r="M175" s="101"/>
      <x:c r="N175" s="101"/>
      <x:c r="O175" s="101"/>
      <x:c r="P175" s="101"/>
      <x:c r="Q175" s="101"/>
      <x:c r="R175" s="101"/>
      <x:c r="S175" s="101"/>
      <x:c r="T175" s="101"/>
      <x:c r="U175" s="101"/>
      <x:c r="V175" s="101"/>
      <x:c r="W175" s="101"/>
      <x:c r="X175" s="101"/>
      <x:c r="Y175" s="101"/>
      <x:c r="Z175" s="101"/>
      <x:c r="AA175" s="101"/>
      <x:c r="AB175" s="101"/>
      <x:c r="AC175" s="101"/>
      <x:c r="AD175" s="101"/>
      <x:c r="AE175" s="101"/>
    </x:row>
    <x:row r="176">
      <x:c r="A176" s="101"/>
      <x:c r="B176" s="101"/>
      <x:c r="C176" s="101"/>
      <x:c r="D176" s="101"/>
      <x:c r="E176" s="101"/>
      <x:c r="F176" s="101"/>
      <x:c r="G176" s="101"/>
      <x:c r="H176" s="101"/>
      <x:c r="I176" s="101"/>
      <x:c r="J176" s="101"/>
      <x:c r="K176" s="101"/>
      <x:c r="L176" s="101"/>
      <x:c r="M176" s="101"/>
      <x:c r="N176" s="101"/>
      <x:c r="O176" s="101"/>
      <x:c r="P176" s="101"/>
      <x:c r="Q176" s="101"/>
      <x:c r="R176" s="101"/>
      <x:c r="S176" s="101"/>
      <x:c r="T176" s="101"/>
      <x:c r="U176" s="101"/>
      <x:c r="V176" s="101"/>
      <x:c r="W176" s="101"/>
      <x:c r="X176" s="101"/>
      <x:c r="Y176" s="101"/>
      <x:c r="Z176" s="101"/>
      <x:c r="AA176" s="101"/>
      <x:c r="AB176" s="101"/>
      <x:c r="AC176" s="101"/>
      <x:c r="AD176" s="101"/>
      <x:c r="AE176" s="101"/>
    </x:row>
    <x:row r="177">
      <x:c r="A177" s="101"/>
      <x:c r="B177" s="101"/>
      <x:c r="C177" s="101"/>
      <x:c r="D177" s="101"/>
      <x:c r="E177" s="101"/>
      <x:c r="F177" s="101"/>
      <x:c r="G177" s="101"/>
      <x:c r="H177" s="101"/>
      <x:c r="I177" s="101"/>
      <x:c r="J177" s="101"/>
      <x:c r="K177" s="101"/>
      <x:c r="L177" s="101"/>
      <x:c r="M177" s="101"/>
      <x:c r="N177" s="101"/>
      <x:c r="O177" s="101"/>
      <x:c r="P177" s="101"/>
      <x:c r="Q177" s="101"/>
      <x:c r="R177" s="101"/>
      <x:c r="S177" s="101"/>
      <x:c r="T177" s="101"/>
      <x:c r="U177" s="101"/>
      <x:c r="V177" s="101"/>
      <x:c r="W177" s="101"/>
      <x:c r="X177" s="101"/>
      <x:c r="Y177" s="101"/>
      <x:c r="Z177" s="101"/>
      <x:c r="AA177" s="101"/>
      <x:c r="AB177" s="101"/>
      <x:c r="AC177" s="101"/>
      <x:c r="AD177" s="101"/>
      <x:c r="AE177" s="101"/>
    </x:row>
    <x:row r="178">
      <x:c r="A178" s="101"/>
      <x:c r="B178" s="101"/>
      <x:c r="C178" s="101"/>
      <x:c r="D178" s="101"/>
      <x:c r="E178" s="101"/>
      <x:c r="F178" s="101"/>
      <x:c r="G178" s="101"/>
      <x:c r="H178" s="101"/>
      <x:c r="I178" s="101"/>
      <x:c r="J178" s="101"/>
      <x:c r="K178" s="101"/>
      <x:c r="L178" s="101"/>
      <x:c r="M178" s="101"/>
      <x:c r="N178" s="101"/>
      <x:c r="O178" s="101"/>
      <x:c r="P178" s="101"/>
      <x:c r="Q178" s="101"/>
      <x:c r="R178" s="101"/>
      <x:c r="S178" s="101"/>
      <x:c r="T178" s="101"/>
      <x:c r="U178" s="101"/>
      <x:c r="V178" s="101"/>
      <x:c r="W178" s="101"/>
      <x:c r="X178" s="101"/>
      <x:c r="Y178" s="101"/>
      <x:c r="Z178" s="101"/>
      <x:c r="AA178" s="101"/>
      <x:c r="AB178" s="101"/>
      <x:c r="AC178" s="101"/>
      <x:c r="AD178" s="101"/>
      <x:c r="AE178" s="101"/>
    </x:row>
    <x:row r="179">
      <x:c r="A179" s="101"/>
      <x:c r="B179" s="101"/>
      <x:c r="C179" s="101"/>
      <x:c r="D179" s="101"/>
      <x:c r="E179" s="101"/>
      <x:c r="F179" s="101"/>
      <x:c r="G179" s="101"/>
      <x:c r="H179" s="101"/>
      <x:c r="I179" s="101"/>
      <x:c r="J179" s="101"/>
      <x:c r="K179" s="101"/>
      <x:c r="L179" s="101"/>
      <x:c r="M179" s="101"/>
      <x:c r="N179" s="101"/>
      <x:c r="O179" s="101"/>
      <x:c r="P179" s="101"/>
      <x:c r="Q179" s="101"/>
      <x:c r="R179" s="101"/>
      <x:c r="S179" s="101"/>
      <x:c r="T179" s="101"/>
      <x:c r="U179" s="101"/>
      <x:c r="V179" s="101"/>
      <x:c r="W179" s="101"/>
      <x:c r="X179" s="101"/>
      <x:c r="Y179" s="101"/>
      <x:c r="Z179" s="101"/>
      <x:c r="AA179" s="101"/>
      <x:c r="AB179" s="101"/>
      <x:c r="AC179" s="101"/>
      <x:c r="AD179" s="101"/>
      <x:c r="AE179" s="101"/>
    </x:row>
    <x:row r="180">
      <x:c r="A180" s="101"/>
      <x:c r="B180" s="101"/>
      <x:c r="C180" s="101"/>
      <x:c r="D180" s="101"/>
      <x:c r="E180" s="101"/>
      <x:c r="F180" s="101"/>
      <x:c r="G180" s="101"/>
      <x:c r="H180" s="101"/>
      <x:c r="I180" s="101"/>
      <x:c r="J180" s="101"/>
      <x:c r="K180" s="101"/>
      <x:c r="L180" s="101"/>
      <x:c r="M180" s="101"/>
      <x:c r="N180" s="101"/>
      <x:c r="O180" s="101"/>
      <x:c r="P180" s="101"/>
      <x:c r="Q180" s="101"/>
      <x:c r="R180" s="101"/>
      <x:c r="S180" s="101"/>
      <x:c r="T180" s="101"/>
      <x:c r="U180" s="101"/>
      <x:c r="V180" s="101"/>
      <x:c r="W180" s="101"/>
      <x:c r="X180" s="101"/>
      <x:c r="Y180" s="101"/>
      <x:c r="Z180" s="101"/>
      <x:c r="AA180" s="101"/>
      <x:c r="AB180" s="101"/>
      <x:c r="AC180" s="101"/>
      <x:c r="AD180" s="101"/>
      <x:c r="AE180" s="101"/>
    </x:row>
    <x:row r="181">
      <x:c r="A181" s="101"/>
      <x:c r="B181" s="101"/>
      <x:c r="C181" s="101"/>
      <x:c r="D181" s="101"/>
      <x:c r="E181" s="101"/>
      <x:c r="F181" s="101"/>
      <x:c r="G181" s="101"/>
      <x:c r="H181" s="101"/>
      <x:c r="I181" s="101"/>
      <x:c r="J181" s="101"/>
      <x:c r="K181" s="101"/>
      <x:c r="L181" s="101"/>
      <x:c r="M181" s="101"/>
      <x:c r="N181" s="101"/>
      <x:c r="O181" s="101"/>
      <x:c r="P181" s="101"/>
      <x:c r="Q181" s="101"/>
      <x:c r="R181" s="101"/>
      <x:c r="S181" s="101"/>
      <x:c r="T181" s="101"/>
      <x:c r="U181" s="101"/>
      <x:c r="V181" s="101"/>
      <x:c r="W181" s="101"/>
      <x:c r="X181" s="101"/>
      <x:c r="Y181" s="101"/>
      <x:c r="Z181" s="101"/>
      <x:c r="AA181" s="101"/>
      <x:c r="AB181" s="101"/>
      <x:c r="AC181" s="101"/>
      <x:c r="AD181" s="101"/>
      <x:c r="AE181" s="101"/>
    </x:row>
    <x:row r="182">
      <x:c r="A182" s="101"/>
      <x:c r="B182" s="101"/>
      <x:c r="C182" s="101"/>
      <x:c r="D182" s="101"/>
      <x:c r="E182" s="101"/>
      <x:c r="F182" s="101"/>
      <x:c r="G182" s="101"/>
      <x:c r="H182" s="101"/>
      <x:c r="I182" s="101"/>
      <x:c r="J182" s="101"/>
      <x:c r="K182" s="101"/>
      <x:c r="L182" s="101"/>
      <x:c r="M182" s="101"/>
      <x:c r="N182" s="101"/>
      <x:c r="O182" s="101"/>
      <x:c r="P182" s="101"/>
      <x:c r="Q182" s="101"/>
      <x:c r="R182" s="101"/>
      <x:c r="S182" s="101"/>
      <x:c r="T182" s="101"/>
      <x:c r="U182" s="101"/>
      <x:c r="V182" s="101"/>
      <x:c r="W182" s="101"/>
      <x:c r="X182" s="101"/>
      <x:c r="Y182" s="101"/>
      <x:c r="Z182" s="101"/>
      <x:c r="AA182" s="101"/>
      <x:c r="AB182" s="101"/>
      <x:c r="AC182" s="101"/>
      <x:c r="AD182" s="101"/>
      <x:c r="AE182" s="101"/>
    </x:row>
    <x:row r="183">
      <x:c r="A183" s="101"/>
      <x:c r="B183" s="101"/>
      <x:c r="C183" s="101"/>
      <x:c r="D183" s="101"/>
      <x:c r="E183" s="101"/>
      <x:c r="F183" s="101"/>
      <x:c r="G183" s="101"/>
      <x:c r="H183" s="101"/>
      <x:c r="I183" s="101"/>
      <x:c r="J183" s="101"/>
      <x:c r="K183" s="101"/>
      <x:c r="L183" s="101"/>
      <x:c r="M183" s="101"/>
      <x:c r="N183" s="101"/>
      <x:c r="O183" s="101"/>
      <x:c r="P183" s="101"/>
      <x:c r="Q183" s="101"/>
      <x:c r="R183" s="101"/>
      <x:c r="S183" s="101"/>
      <x:c r="T183" s="101"/>
      <x:c r="U183" s="101"/>
      <x:c r="V183" s="101"/>
      <x:c r="W183" s="101"/>
      <x:c r="X183" s="101"/>
      <x:c r="Y183" s="101"/>
      <x:c r="Z183" s="101"/>
      <x:c r="AA183" s="101"/>
      <x:c r="AB183" s="101"/>
      <x:c r="AC183" s="101"/>
      <x:c r="AD183" s="101"/>
      <x:c r="AE183" s="101"/>
    </x:row>
    <x:row r="184">
      <x:c r="A184" s="101"/>
      <x:c r="B184" s="101"/>
      <x:c r="C184" s="101"/>
      <x:c r="D184" s="101"/>
      <x:c r="E184" s="101"/>
      <x:c r="F184" s="101"/>
      <x:c r="G184" s="101"/>
      <x:c r="H184" s="101"/>
      <x:c r="I184" s="101"/>
      <x:c r="J184" s="101"/>
      <x:c r="K184" s="101"/>
      <x:c r="L184" s="101"/>
      <x:c r="M184" s="101"/>
      <x:c r="N184" s="101"/>
      <x:c r="O184" s="101"/>
      <x:c r="P184" s="101"/>
      <x:c r="Q184" s="101"/>
      <x:c r="R184" s="101"/>
      <x:c r="S184" s="101"/>
      <x:c r="T184" s="101"/>
      <x:c r="U184" s="101"/>
      <x:c r="V184" s="101"/>
      <x:c r="W184" s="101"/>
      <x:c r="X184" s="101"/>
      <x:c r="Y184" s="101"/>
      <x:c r="Z184" s="101"/>
      <x:c r="AA184" s="101"/>
      <x:c r="AB184" s="101"/>
      <x:c r="AC184" s="101"/>
      <x:c r="AD184" s="101"/>
      <x:c r="AE184" s="101"/>
    </x:row>
    <x:row r="185">
      <x:c r="A185" s="101"/>
      <x:c r="B185" s="101"/>
      <x:c r="C185" s="101"/>
      <x:c r="D185" s="101"/>
      <x:c r="E185" s="101"/>
      <x:c r="F185" s="101"/>
      <x:c r="G185" s="101"/>
      <x:c r="H185" s="101"/>
      <x:c r="I185" s="101"/>
      <x:c r="J185" s="101"/>
      <x:c r="K185" s="101"/>
      <x:c r="L185" s="101"/>
      <x:c r="M185" s="101"/>
      <x:c r="N185" s="101"/>
      <x:c r="O185" s="101"/>
      <x:c r="P185" s="101"/>
      <x:c r="Q185" s="101"/>
      <x:c r="R185" s="101"/>
      <x:c r="S185" s="101"/>
      <x:c r="T185" s="101"/>
      <x:c r="U185" s="101"/>
      <x:c r="V185" s="101"/>
      <x:c r="W185" s="101"/>
      <x:c r="X185" s="101"/>
      <x:c r="Y185" s="101"/>
      <x:c r="Z185" s="101"/>
      <x:c r="AA185" s="101"/>
      <x:c r="AB185" s="101"/>
      <x:c r="AC185" s="101"/>
      <x:c r="AD185" s="101"/>
      <x:c r="AE185" s="101"/>
    </x:row>
    <x:row r="186">
      <x:c r="A186" s="101"/>
      <x:c r="B186" s="101"/>
      <x:c r="C186" s="101"/>
      <x:c r="D186" s="101"/>
      <x:c r="E186" s="101"/>
      <x:c r="F186" s="101"/>
      <x:c r="G186" s="101"/>
      <x:c r="H186" s="101"/>
      <x:c r="I186" s="101"/>
      <x:c r="J186" s="101"/>
      <x:c r="K186" s="101"/>
      <x:c r="L186" s="101"/>
      <x:c r="M186" s="101"/>
      <x:c r="N186" s="101"/>
      <x:c r="O186" s="101"/>
      <x:c r="P186" s="101"/>
      <x:c r="Q186" s="101"/>
      <x:c r="R186" s="101"/>
      <x:c r="S186" s="101"/>
      <x:c r="T186" s="101"/>
      <x:c r="U186" s="101"/>
      <x:c r="V186" s="101"/>
      <x:c r="W186" s="101"/>
      <x:c r="X186" s="101"/>
      <x:c r="Y186" s="101"/>
      <x:c r="Z186" s="101"/>
      <x:c r="AA186" s="101"/>
      <x:c r="AB186" s="101"/>
      <x:c r="AC186" s="101"/>
      <x:c r="AD186" s="101"/>
      <x:c r="AE186" s="101"/>
    </x:row>
    <x:row r="187">
      <x:c r="A187" s="101"/>
      <x:c r="B187" s="101"/>
      <x:c r="C187" s="101"/>
      <x:c r="D187" s="101"/>
      <x:c r="E187" s="101"/>
      <x:c r="F187" s="101"/>
      <x:c r="G187" s="101"/>
      <x:c r="H187" s="101"/>
      <x:c r="I187" s="101"/>
      <x:c r="J187" s="101"/>
      <x:c r="K187" s="101"/>
      <x:c r="L187" s="101"/>
      <x:c r="M187" s="101"/>
      <x:c r="N187" s="101"/>
      <x:c r="O187" s="101"/>
      <x:c r="P187" s="101"/>
      <x:c r="Q187" s="101"/>
      <x:c r="R187" s="101"/>
      <x:c r="S187" s="101"/>
      <x:c r="T187" s="101"/>
      <x:c r="U187" s="101"/>
      <x:c r="V187" s="101"/>
      <x:c r="W187" s="101"/>
      <x:c r="X187" s="101"/>
      <x:c r="Y187" s="101"/>
      <x:c r="Z187" s="101"/>
      <x:c r="AA187" s="101"/>
      <x:c r="AB187" s="101"/>
      <x:c r="AC187" s="101"/>
      <x:c r="AD187" s="101"/>
      <x:c r="AE187" s="101"/>
    </x:row>
    <x:row r="188">
      <x:c r="A188" s="101"/>
      <x:c r="B188" s="101"/>
      <x:c r="C188" s="101"/>
      <x:c r="D188" s="101"/>
      <x:c r="E188" s="101"/>
      <x:c r="F188" s="101"/>
      <x:c r="G188" s="101"/>
      <x:c r="H188" s="101"/>
      <x:c r="I188" s="101"/>
      <x:c r="J188" s="101"/>
      <x:c r="K188" s="101"/>
      <x:c r="L188" s="101"/>
      <x:c r="M188" s="101"/>
      <x:c r="N188" s="101"/>
      <x:c r="O188" s="101"/>
      <x:c r="P188" s="101"/>
      <x:c r="Q188" s="101"/>
      <x:c r="R188" s="101"/>
      <x:c r="S188" s="101"/>
      <x:c r="T188" s="101"/>
      <x:c r="U188" s="101"/>
      <x:c r="V188" s="101"/>
      <x:c r="W188" s="101"/>
      <x:c r="X188" s="101"/>
      <x:c r="Y188" s="101"/>
      <x:c r="Z188" s="101"/>
      <x:c r="AA188" s="101"/>
      <x:c r="AB188" s="101"/>
      <x:c r="AC188" s="101"/>
      <x:c r="AD188" s="101"/>
      <x:c r="AE188" s="101"/>
    </x:row>
    <x:row r="189">
      <x:c r="A189" s="101"/>
      <x:c r="B189" s="101"/>
      <x:c r="C189" s="101"/>
      <x:c r="D189" s="101"/>
      <x:c r="E189" s="101"/>
      <x:c r="F189" s="101"/>
      <x:c r="G189" s="101"/>
      <x:c r="H189" s="101"/>
      <x:c r="I189" s="101"/>
      <x:c r="J189" s="101"/>
      <x:c r="K189" s="101"/>
      <x:c r="L189" s="101"/>
      <x:c r="M189" s="101"/>
      <x:c r="N189" s="101"/>
      <x:c r="O189" s="101"/>
      <x:c r="P189" s="101"/>
      <x:c r="Q189" s="101"/>
      <x:c r="R189" s="101"/>
      <x:c r="S189" s="101"/>
      <x:c r="T189" s="101"/>
      <x:c r="U189" s="101"/>
      <x:c r="V189" s="101"/>
      <x:c r="W189" s="101"/>
      <x:c r="X189" s="101"/>
      <x:c r="Y189" s="101"/>
      <x:c r="Z189" s="101"/>
      <x:c r="AA189" s="101"/>
      <x:c r="AB189" s="101"/>
      <x:c r="AC189" s="101"/>
      <x:c r="AD189" s="101"/>
      <x:c r="AE189" s="101"/>
    </x:row>
    <x:row r="190">
      <x:c r="A190" s="101"/>
      <x:c r="B190" s="101"/>
      <x:c r="C190" s="101"/>
      <x:c r="D190" s="101"/>
      <x:c r="E190" s="101"/>
      <x:c r="F190" s="101"/>
      <x:c r="G190" s="101"/>
      <x:c r="H190" s="101"/>
      <x:c r="I190" s="101"/>
      <x:c r="J190" s="101"/>
      <x:c r="K190" s="101"/>
      <x:c r="L190" s="101"/>
      <x:c r="M190" s="101"/>
      <x:c r="N190" s="101"/>
      <x:c r="O190" s="101"/>
      <x:c r="P190" s="101"/>
      <x:c r="Q190" s="101"/>
      <x:c r="R190" s="101"/>
      <x:c r="S190" s="101"/>
      <x:c r="T190" s="101"/>
      <x:c r="U190" s="101"/>
      <x:c r="V190" s="101"/>
      <x:c r="W190" s="101"/>
      <x:c r="X190" s="101"/>
      <x:c r="Y190" s="101"/>
      <x:c r="Z190" s="101"/>
      <x:c r="AA190" s="101"/>
      <x:c r="AB190" s="101"/>
      <x:c r="AC190" s="101"/>
      <x:c r="AD190" s="101"/>
      <x:c r="AE190" s="101"/>
    </x:row>
    <x:row r="191">
      <x:c r="A191" s="101"/>
      <x:c r="B191" s="101"/>
      <x:c r="C191" s="101"/>
      <x:c r="D191" s="101"/>
      <x:c r="E191" s="101"/>
      <x:c r="F191" s="101"/>
      <x:c r="G191" s="101"/>
      <x:c r="H191" s="101"/>
      <x:c r="I191" s="101"/>
      <x:c r="J191" s="101"/>
      <x:c r="K191" s="101"/>
      <x:c r="L191" s="101"/>
      <x:c r="M191" s="101"/>
      <x:c r="N191" s="101"/>
      <x:c r="O191" s="101"/>
      <x:c r="P191" s="101"/>
      <x:c r="Q191" s="101"/>
      <x:c r="R191" s="101"/>
      <x:c r="S191" s="101"/>
      <x:c r="T191" s="101"/>
      <x:c r="U191" s="101"/>
      <x:c r="V191" s="101"/>
      <x:c r="W191" s="101"/>
      <x:c r="X191" s="101"/>
      <x:c r="Y191" s="101"/>
      <x:c r="Z191" s="101"/>
      <x:c r="AA191" s="101"/>
      <x:c r="AB191" s="101"/>
      <x:c r="AC191" s="101"/>
      <x:c r="AD191" s="101"/>
      <x:c r="AE191" s="101"/>
    </x:row>
    <x:row r="192">
      <x:c r="A192" s="101"/>
      <x:c r="B192" s="101"/>
      <x:c r="C192" s="101"/>
      <x:c r="D192" s="101"/>
      <x:c r="E192" s="101"/>
      <x:c r="F192" s="101"/>
      <x:c r="G192" s="101"/>
      <x:c r="H192" s="101"/>
      <x:c r="I192" s="101"/>
      <x:c r="J192" s="101"/>
      <x:c r="K192" s="101"/>
      <x:c r="L192" s="101"/>
      <x:c r="M192" s="101"/>
      <x:c r="N192" s="101"/>
      <x:c r="O192" s="101"/>
      <x:c r="P192" s="101"/>
      <x:c r="Q192" s="101"/>
      <x:c r="R192" s="101"/>
      <x:c r="S192" s="101"/>
      <x:c r="T192" s="101"/>
      <x:c r="U192" s="101"/>
      <x:c r="V192" s="101"/>
      <x:c r="W192" s="101"/>
      <x:c r="X192" s="101"/>
      <x:c r="Y192" s="101"/>
      <x:c r="Z192" s="101"/>
      <x:c r="AA192" s="101"/>
      <x:c r="AB192" s="101"/>
      <x:c r="AC192" s="101"/>
      <x:c r="AD192" s="101"/>
      <x:c r="AE192" s="101"/>
    </x:row>
    <x:row r="193">
      <x:c r="A193" s="101"/>
      <x:c r="B193" s="101"/>
      <x:c r="C193" s="101"/>
      <x:c r="D193" s="101"/>
      <x:c r="E193" s="101"/>
      <x:c r="F193" s="101"/>
      <x:c r="G193" s="101"/>
      <x:c r="H193" s="101"/>
      <x:c r="I193" s="101"/>
      <x:c r="J193" s="101"/>
      <x:c r="K193" s="101"/>
      <x:c r="L193" s="101"/>
      <x:c r="M193" s="101"/>
      <x:c r="N193" s="101"/>
      <x:c r="O193" s="101"/>
      <x:c r="P193" s="101"/>
      <x:c r="Q193" s="101"/>
      <x:c r="R193" s="101"/>
      <x:c r="S193" s="101"/>
      <x:c r="T193" s="101"/>
      <x:c r="U193" s="101"/>
      <x:c r="V193" s="101"/>
      <x:c r="W193" s="101"/>
      <x:c r="X193" s="101"/>
      <x:c r="Y193" s="101"/>
      <x:c r="Z193" s="101"/>
      <x:c r="AA193" s="101"/>
      <x:c r="AB193" s="101"/>
      <x:c r="AC193" s="101"/>
      <x:c r="AD193" s="101"/>
      <x:c r="AE193" s="101"/>
    </x:row>
    <x:row r="194">
      <x:c r="A194" s="101"/>
      <x:c r="B194" s="101"/>
      <x:c r="C194" s="101"/>
      <x:c r="D194" s="101"/>
      <x:c r="E194" s="101"/>
      <x:c r="F194" s="101"/>
      <x:c r="G194" s="101"/>
      <x:c r="H194" s="101"/>
      <x:c r="I194" s="101"/>
      <x:c r="J194" s="101"/>
      <x:c r="K194" s="101"/>
      <x:c r="L194" s="101"/>
      <x:c r="M194" s="101"/>
      <x:c r="N194" s="101"/>
      <x:c r="O194" s="101"/>
      <x:c r="P194" s="101"/>
      <x:c r="Q194" s="101"/>
      <x:c r="R194" s="101"/>
      <x:c r="S194" s="101"/>
      <x:c r="T194" s="101"/>
      <x:c r="U194" s="101"/>
      <x:c r="V194" s="101"/>
      <x:c r="W194" s="101"/>
      <x:c r="X194" s="101"/>
      <x:c r="Y194" s="101"/>
      <x:c r="Z194" s="101"/>
      <x:c r="AA194" s="101"/>
      <x:c r="AB194" s="101"/>
      <x:c r="AC194" s="101"/>
      <x:c r="AD194" s="101"/>
      <x:c r="AE194" s="101"/>
    </x:row>
    <x:row r="195">
      <x:c r="A195" s="101"/>
      <x:c r="B195" s="101"/>
      <x:c r="C195" s="101"/>
      <x:c r="D195" s="101"/>
      <x:c r="E195" s="101"/>
      <x:c r="F195" s="101"/>
      <x:c r="G195" s="101"/>
      <x:c r="H195" s="101"/>
      <x:c r="I195" s="101"/>
      <x:c r="J195" s="101"/>
      <x:c r="K195" s="101"/>
      <x:c r="L195" s="101"/>
      <x:c r="M195" s="101"/>
      <x:c r="N195" s="101"/>
      <x:c r="O195" s="101"/>
      <x:c r="P195" s="101"/>
      <x:c r="Q195" s="101"/>
      <x:c r="R195" s="101"/>
      <x:c r="S195" s="101"/>
      <x:c r="T195" s="101"/>
      <x:c r="U195" s="101"/>
      <x:c r="V195" s="101"/>
      <x:c r="W195" s="101"/>
      <x:c r="X195" s="101"/>
      <x:c r="Y195" s="101"/>
      <x:c r="Z195" s="101"/>
      <x:c r="AA195" s="101"/>
      <x:c r="AB195" s="101"/>
      <x:c r="AC195" s="101"/>
      <x:c r="AD195" s="101"/>
      <x:c r="AE195" s="101"/>
    </x:row>
    <x:row r="196">
      <x:c r="A196" s="101"/>
      <x:c r="B196" s="101"/>
      <x:c r="C196" s="101"/>
      <x:c r="D196" s="101"/>
      <x:c r="E196" s="101"/>
      <x:c r="F196" s="101"/>
      <x:c r="G196" s="101"/>
      <x:c r="H196" s="101"/>
      <x:c r="I196" s="101"/>
      <x:c r="J196" s="101"/>
      <x:c r="K196" s="101"/>
      <x:c r="L196" s="101"/>
      <x:c r="M196" s="101"/>
      <x:c r="N196" s="101"/>
      <x:c r="O196" s="101"/>
      <x:c r="P196" s="101"/>
      <x:c r="Q196" s="101"/>
      <x:c r="R196" s="101"/>
      <x:c r="S196" s="101"/>
      <x:c r="T196" s="101"/>
      <x:c r="U196" s="101"/>
      <x:c r="V196" s="101"/>
      <x:c r="W196" s="101"/>
      <x:c r="X196" s="101"/>
      <x:c r="Y196" s="101"/>
      <x:c r="Z196" s="101"/>
      <x:c r="AA196" s="101"/>
      <x:c r="AB196" s="101"/>
      <x:c r="AC196" s="101"/>
      <x:c r="AD196" s="101"/>
      <x:c r="AE196" s="101"/>
    </x:row>
    <x:row r="197">
      <x:c r="A197" s="101"/>
      <x:c r="B197" s="101"/>
      <x:c r="C197" s="101"/>
      <x:c r="D197" s="101"/>
      <x:c r="E197" s="101"/>
      <x:c r="F197" s="101"/>
      <x:c r="G197" s="101"/>
      <x:c r="H197" s="101"/>
      <x:c r="I197" s="101"/>
      <x:c r="J197" s="101"/>
      <x:c r="K197" s="101"/>
      <x:c r="L197" s="101"/>
      <x:c r="M197" s="101"/>
      <x:c r="N197" s="101"/>
      <x:c r="O197" s="101"/>
      <x:c r="P197" s="101"/>
      <x:c r="Q197" s="101"/>
      <x:c r="R197" s="101"/>
      <x:c r="S197" s="101"/>
      <x:c r="T197" s="101"/>
      <x:c r="U197" s="101"/>
      <x:c r="V197" s="101"/>
      <x:c r="W197" s="101"/>
      <x:c r="X197" s="101"/>
      <x:c r="Y197" s="101"/>
      <x:c r="Z197" s="101"/>
      <x:c r="AA197" s="101"/>
      <x:c r="AB197" s="101"/>
      <x:c r="AC197" s="101"/>
      <x:c r="AD197" s="101"/>
      <x:c r="AE197" s="101"/>
    </x:row>
    <x:row r="198">
      <x:c r="A198" s="101"/>
      <x:c r="B198" s="101"/>
      <x:c r="C198" s="101"/>
      <x:c r="D198" s="101"/>
      <x:c r="E198" s="101"/>
      <x:c r="F198" s="101"/>
      <x:c r="G198" s="101"/>
      <x:c r="H198" s="101"/>
      <x:c r="I198" s="101"/>
      <x:c r="J198" s="101"/>
      <x:c r="K198" s="101"/>
      <x:c r="L198" s="101"/>
      <x:c r="M198" s="101"/>
      <x:c r="N198" s="101"/>
      <x:c r="O198" s="101"/>
      <x:c r="P198" s="101"/>
      <x:c r="Q198" s="101"/>
      <x:c r="R198" s="101"/>
      <x:c r="S198" s="101"/>
      <x:c r="T198" s="101"/>
      <x:c r="U198" s="101"/>
      <x:c r="V198" s="101"/>
      <x:c r="W198" s="101"/>
      <x:c r="X198" s="101"/>
      <x:c r="Y198" s="101"/>
      <x:c r="Z198" s="101"/>
      <x:c r="AA198" s="101"/>
      <x:c r="AB198" s="101"/>
      <x:c r="AC198" s="101"/>
      <x:c r="AD198" s="101"/>
      <x:c r="AE198" s="101"/>
    </x:row>
    <x:row r="199">
      <x:c r="A199" s="101"/>
      <x:c r="B199" s="101"/>
      <x:c r="C199" s="101"/>
      <x:c r="D199" s="101"/>
      <x:c r="E199" s="101"/>
      <x:c r="F199" s="101"/>
      <x:c r="G199" s="101"/>
      <x:c r="H199" s="101"/>
      <x:c r="I199" s="101"/>
      <x:c r="J199" s="101"/>
      <x:c r="K199" s="101"/>
      <x:c r="L199" s="101"/>
      <x:c r="M199" s="101"/>
      <x:c r="N199" s="101"/>
      <x:c r="O199" s="101"/>
      <x:c r="P199" s="101"/>
      <x:c r="Q199" s="101"/>
      <x:c r="R199" s="101"/>
      <x:c r="S199" s="101"/>
      <x:c r="T199" s="101"/>
      <x:c r="U199" s="101"/>
      <x:c r="V199" s="101"/>
      <x:c r="W199" s="101"/>
      <x:c r="X199" s="101"/>
      <x:c r="Y199" s="101"/>
      <x:c r="Z199" s="101"/>
      <x:c r="AA199" s="101"/>
      <x:c r="AB199" s="101"/>
      <x:c r="AC199" s="101"/>
      <x:c r="AD199" s="101"/>
      <x:c r="AE199" s="101"/>
    </x:row>
    <x:row r="200">
      <x:c r="A200" s="101"/>
      <x:c r="B200" s="101"/>
      <x:c r="C200" s="101"/>
      <x:c r="D200" s="101"/>
      <x:c r="E200" s="101"/>
      <x:c r="F200" s="101"/>
      <x:c r="G200" s="101"/>
      <x:c r="H200" s="101"/>
      <x:c r="I200" s="101"/>
      <x:c r="J200" s="101"/>
      <x:c r="K200" s="101"/>
      <x:c r="L200" s="101"/>
      <x:c r="M200" s="101"/>
      <x:c r="N200" s="101"/>
      <x:c r="O200" s="101"/>
      <x:c r="P200" s="101"/>
      <x:c r="Q200" s="101"/>
      <x:c r="R200" s="101"/>
      <x:c r="S200" s="101"/>
      <x:c r="T200" s="101"/>
      <x:c r="U200" s="101"/>
      <x:c r="V200" s="101"/>
      <x:c r="W200" s="101"/>
      <x:c r="X200" s="101"/>
      <x:c r="Y200" s="101"/>
      <x:c r="Z200" s="101"/>
      <x:c r="AA200" s="101"/>
      <x:c r="AB200" s="101"/>
      <x:c r="AC200" s="101"/>
      <x:c r="AD200" s="101"/>
      <x:c r="AE200" s="101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edeea9c56a241c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30" t="str">
        <x:v>PRINTABLE PALLET LABELS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</x:row>
    <x:row r="2">
      <x:c r="A2" s="101"/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  <x:c r="AE2" s="101"/>
    </x:row>
    <x:row r="3" ht="24" customHeight="1">
      <x:c r="A3" s="85" t="str">
        <x:f>IF('Pallet Plan'!C3=0,"","INSIGHT FIRE SOLUTIONS LTD")</x:f>
      </x:c>
      <x:c r="B3" s="81"/>
      <x:c r="C3" s="81"/>
      <x:c r="D3" s="81"/>
      <x:c r="E3" s="81"/>
      <x:c r="F3" s="81"/>
      <x:c r="G3" s="81"/>
      <x:c r="H3" s="81"/>
      <x:c r="I3" s="101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  <x:c r="AA3" s="101"/>
      <x:c r="AB3" s="101"/>
      <x:c r="AC3" s="101"/>
      <x:c r="AD3" s="101"/>
      <x:c r="AE3" s="101"/>
    </x:row>
    <x:row r="4" ht="24" customHeight="1">
      <x:c r="A4" s="81" t="str">
        <x:f>IF('Pallet Plan'!C3=0,"",'START HERE'!B5 &amp; " - " &amp; 'START HERE'!B7)</x:f>
      </x:c>
      <x:c r="B4" s="81"/>
      <x:c r="C4" s="81"/>
      <x:c r="D4" s="81"/>
      <x:c r="E4" s="81"/>
      <x:c r="F4" s="81"/>
      <x:c r="G4" s="81"/>
      <x:c r="H4" s="81"/>
      <x:c r="I4" s="101"/>
      <x:c r="J4" s="101"/>
      <x:c r="K4" s="101"/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  <x:c r="AA4" s="101"/>
      <x:c r="AB4" s="101"/>
      <x:c r="AC4" s="101"/>
      <x:c r="AD4" s="101"/>
      <x:c r="AE4" s="101"/>
    </x:row>
    <x:row r="5" ht="24" customHeight="1">
      <x:c r="A5" s="81" t="str">
        <x:f>IF('Pallet Plan'!C3=0,"","ORDER REF: " &amp; 'START HERE'!B8 &amp; "     PROJECT: " &amp; 'START HERE'!B6)</x:f>
      </x:c>
      <x:c r="B5" s="81"/>
      <x:c r="C5" s="81"/>
      <x:c r="D5" s="81"/>
      <x:c r="E5" s="81"/>
      <x:c r="F5" s="81"/>
      <x:c r="G5" s="81"/>
      <x:c r="H5" s="81"/>
      <x:c r="I5" s="101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  <x:c r="AA5" s="101"/>
      <x:c r="AB5" s="101"/>
      <x:c r="AC5" s="101"/>
      <x:c r="AD5" s="101"/>
      <x:c r="AE5" s="101"/>
    </x:row>
    <x:row r="6" ht="24" customHeight="1">
      <x:c r="A6" s="89" t="str">
        <x:f>IF('Pallet Plan'!C3=0,"","PALLET " &amp; ROWS('Pallet Plan'!$A$3:A3) &amp; " OF " &amp; COUNTIF('Pallet Plan'!$C$3:$C$14,"&gt;0"))</x:f>
      </x:c>
      <x:c r="B6" s="81"/>
      <x:c r="C6" s="81"/>
      <x:c r="D6" s="81"/>
      <x:c r="E6" s="81"/>
      <x:c r="F6" s="81"/>
      <x:c r="G6" s="81"/>
      <x:c r="H6" s="81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  <x:c r="AA6" s="101"/>
      <x:c r="AB6" s="101"/>
      <x:c r="AC6" s="101"/>
      <x:c r="AD6" s="101"/>
      <x:c r="AE6" s="101"/>
    </x:row>
    <x:row r="7" ht="24" customHeight="1">
      <x:c r="A7" s="81" t="str">
        <x:f>IF('Pallet Plan'!C3=0,"","CURTAINS: " &amp; 'Pallet Plan'!B3)</x:f>
      </x:c>
      <x:c r="B7" s="81"/>
      <x:c r="C7" s="81"/>
      <x:c r="D7" s="81"/>
      <x:c r="E7" s="81"/>
      <x:c r="F7" s="81"/>
      <x:c r="G7" s="81"/>
      <x:c r="H7" s="81"/>
      <x:c r="I7" s="101"/>
      <x:c r="J7" s="101"/>
      <x:c r="K7" s="101"/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  <x:c r="AA7" s="101"/>
      <x:c r="AB7" s="101"/>
      <x:c r="AC7" s="101"/>
      <x:c r="AD7" s="101"/>
      <x:c r="AE7" s="101"/>
    </x:row>
    <x:row r="8" ht="24" customHeight="1">
      <x:c r="A8" s="81" t="str">
        <x:f>IF('Pallet Plan'!C3=0,"","CONTENTS: " &amp; 'Pallet Plan'!L3)</x:f>
      </x:c>
      <x:c r="B8" s="81"/>
      <x:c r="C8" s="81"/>
      <x:c r="D8" s="81"/>
      <x:c r="E8" s="81"/>
      <x:c r="F8" s="81"/>
      <x:c r="G8" s="81"/>
      <x:c r="H8" s="81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  <x:c r="AA8" s="101"/>
      <x:c r="AB8" s="101"/>
      <x:c r="AC8" s="101"/>
      <x:c r="AD8" s="101"/>
      <x:c r="AE8" s="101"/>
    </x:row>
    <x:row r="9" ht="24" customHeight="1">
      <x:c r="A9" s="81" t="str">
        <x:f>IF('Pallet Plan'!C3=0,"","APPROX GROSS WEIGHT: " &amp; ROUND('Pallet Plan'!G3,0) &amp; " kg")</x:f>
      </x:c>
      <x:c r="B9" s="81"/>
      <x:c r="C9" s="81"/>
      <x:c r="D9" s="81"/>
      <x:c r="E9" s="81"/>
      <x:c r="F9" s="81"/>
      <x:c r="G9" s="81"/>
      <x:c r="H9" s="8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  <x:c r="AA9" s="101"/>
      <x:c r="AB9" s="101"/>
      <x:c r="AC9" s="101"/>
      <x:c r="AD9" s="101"/>
      <x:c r="AE9" s="101"/>
    </x:row>
    <x:row r="10" ht="24" customHeight="1">
      <x:c r="A10" s="81" t="str">
        <x:f>IF('Pallet Plan'!C3=0,"","APPROX DIMENSIONS: " &amp; 'Pallet Plan'!I3 &amp; " x " &amp; 'Pallet Plan'!J3 &amp; " x " &amp; 'Pallet Plan'!K3 &amp; " mm")</x:f>
      </x:c>
      <x:c r="B10" s="81"/>
      <x:c r="C10" s="81"/>
      <x:c r="D10" s="81"/>
      <x:c r="E10" s="81"/>
      <x:c r="F10" s="81"/>
      <x:c r="G10" s="81"/>
      <x:c r="H10" s="81"/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  <x:c r="AA10" s="101"/>
      <x:c r="AB10" s="101"/>
      <x:c r="AC10" s="101"/>
      <x:c r="AD10" s="101"/>
      <x:c r="AE10" s="101"/>
    </x:row>
    <x:row r="11" ht="24" customHeight="1">
      <x:c r="A11" s="93" t="str">
        <x:f>IF('Pallet Plan'!C3=0,"","KEEP DRY | LONG STEEL SECTIONS | HANDLE WITH CARE | DO NOT STACK")</x:f>
      </x:c>
      <x:c r="B11" s="81"/>
      <x:c r="C11" s="81"/>
      <x:c r="D11" s="81"/>
      <x:c r="E11" s="81"/>
      <x:c r="F11" s="81"/>
      <x:c r="G11" s="81"/>
      <x:c r="H11" s="81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  <x:c r="AA11" s="101"/>
      <x:c r="AB11" s="101"/>
      <x:c r="AC11" s="101"/>
      <x:c r="AD11" s="101"/>
      <x:c r="AE11" s="101"/>
    </x:row>
    <x:row r="12" ht="24" customHeight="1">
      <x:c r="A12" s="81" t="str">
        <x:f>IF('Pallet Plan'!C3=0,"","Collection/Delivery address: " &amp; 'START HERE'!B11)</x:f>
      </x:c>
      <x:c r="B12" s="81"/>
      <x:c r="C12" s="81"/>
      <x:c r="D12" s="81"/>
      <x:c r="E12" s="81"/>
      <x:c r="F12" s="81"/>
      <x:c r="G12" s="81"/>
      <x:c r="H12" s="81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  <x:c r="AA12" s="101"/>
      <x:c r="AB12" s="101"/>
      <x:c r="AC12" s="101"/>
      <x:c r="AD12" s="101"/>
      <x:c r="AE12" s="101"/>
    </x:row>
    <x:row r="13">
      <x:c r="A13" s="101"/>
      <x:c r="B13" s="101"/>
      <x:c r="C13" s="101"/>
      <x:c r="D13" s="101"/>
      <x:c r="E13" s="101"/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  <x:c r="AA13" s="101"/>
      <x:c r="AB13" s="101"/>
      <x:c r="AC13" s="101"/>
      <x:c r="AD13" s="101"/>
      <x:c r="AE13" s="101"/>
    </x:row>
    <x:row r="14">
      <x:c r="A14" s="101"/>
      <x:c r="B14" s="101"/>
      <x:c r="C14" s="101"/>
      <x:c r="D14" s="101"/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  <x:c r="AA14" s="101"/>
      <x:c r="AB14" s="101"/>
      <x:c r="AC14" s="101"/>
      <x:c r="AD14" s="101"/>
      <x:c r="AE14" s="101"/>
    </x:row>
    <x:row r="15" ht="24" customHeight="1">
      <x:c r="A15" s="85" t="str">
        <x:f>IF('Pallet Plan'!C4=0,"","INSIGHT FIRE SOLUTIONS LTD")</x:f>
      </x:c>
      <x:c r="B15" s="81"/>
      <x:c r="C15" s="81"/>
      <x:c r="D15" s="81"/>
      <x:c r="E15" s="81"/>
      <x:c r="F15" s="81"/>
      <x:c r="G15" s="81"/>
      <x:c r="H15" s="81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  <x:c r="AA15" s="101"/>
      <x:c r="AB15" s="101"/>
      <x:c r="AC15" s="101"/>
      <x:c r="AD15" s="101"/>
      <x:c r="AE15" s="101"/>
    </x:row>
    <x:row r="16" ht="24" customHeight="1">
      <x:c r="A16" s="81" t="str">
        <x:f>IF('Pallet Plan'!C4=0,"",'START HERE'!B5 &amp; " - " &amp; 'START HERE'!B7)</x:f>
      </x:c>
      <x:c r="B16" s="81"/>
      <x:c r="C16" s="81"/>
      <x:c r="D16" s="81"/>
      <x:c r="E16" s="81"/>
      <x:c r="F16" s="81"/>
      <x:c r="G16" s="81"/>
      <x:c r="H16" s="81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  <x:c r="AA16" s="101"/>
      <x:c r="AB16" s="101"/>
      <x:c r="AC16" s="101"/>
      <x:c r="AD16" s="101"/>
      <x:c r="AE16" s="101"/>
    </x:row>
    <x:row r="17" ht="24" customHeight="1">
      <x:c r="A17" s="81" t="str">
        <x:f>IF('Pallet Plan'!C4=0,"","ORDER REF: " &amp; 'START HERE'!B8 &amp; "     PROJECT: " &amp; 'START HERE'!B6)</x:f>
      </x:c>
      <x:c r="B17" s="81"/>
      <x:c r="C17" s="81"/>
      <x:c r="D17" s="81"/>
      <x:c r="E17" s="81"/>
      <x:c r="F17" s="81"/>
      <x:c r="G17" s="81"/>
      <x:c r="H17" s="81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  <x:c r="AA17" s="101"/>
      <x:c r="AB17" s="101"/>
      <x:c r="AC17" s="101"/>
      <x:c r="AD17" s="101"/>
      <x:c r="AE17" s="101"/>
    </x:row>
    <x:row r="18" ht="24" customHeight="1">
      <x:c r="A18" s="89" t="str">
        <x:f>IF('Pallet Plan'!C4=0,"","PALLET " &amp; ROWS('Pallet Plan'!$A$3:A4) &amp; " OF " &amp; COUNTIF('Pallet Plan'!$C$3:$C$14,"&gt;0"))</x:f>
      </x:c>
      <x:c r="B18" s="81"/>
      <x:c r="C18" s="81"/>
      <x:c r="D18" s="81"/>
      <x:c r="E18" s="81"/>
      <x:c r="F18" s="81"/>
      <x:c r="G18" s="81"/>
      <x:c r="H18" s="8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  <x:c r="AA18" s="101"/>
      <x:c r="AB18" s="101"/>
      <x:c r="AC18" s="101"/>
      <x:c r="AD18" s="101"/>
      <x:c r="AE18" s="101"/>
    </x:row>
    <x:row r="19" ht="24" customHeight="1">
      <x:c r="A19" s="81" t="str">
        <x:f>IF('Pallet Plan'!C4=0,"","CURTAINS: " &amp; 'Pallet Plan'!B4)</x:f>
      </x:c>
      <x:c r="B19" s="81"/>
      <x:c r="C19" s="81"/>
      <x:c r="D19" s="81"/>
      <x:c r="E19" s="81"/>
      <x:c r="F19" s="81"/>
      <x:c r="G19" s="81"/>
      <x:c r="H19" s="81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  <x:c r="AA19" s="101"/>
      <x:c r="AB19" s="101"/>
      <x:c r="AC19" s="101"/>
      <x:c r="AD19" s="101"/>
      <x:c r="AE19" s="101"/>
    </x:row>
    <x:row r="20" ht="24" customHeight="1">
      <x:c r="A20" s="81" t="str">
        <x:f>IF('Pallet Plan'!C4=0,"","CONTENTS: " &amp; 'Pallet Plan'!L4)</x:f>
      </x:c>
      <x:c r="B20" s="81"/>
      <x:c r="C20" s="81"/>
      <x:c r="D20" s="81"/>
      <x:c r="E20" s="81"/>
      <x:c r="F20" s="81"/>
      <x:c r="G20" s="81"/>
      <x:c r="H20" s="81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  <x:c r="AA20" s="101"/>
      <x:c r="AB20" s="101"/>
      <x:c r="AC20" s="101"/>
      <x:c r="AD20" s="101"/>
      <x:c r="AE20" s="101"/>
    </x:row>
    <x:row r="21" ht="24" customHeight="1">
      <x:c r="A21" s="81" t="str">
        <x:f>IF('Pallet Plan'!C4=0,"","APPROX GROSS WEIGHT: " &amp; ROUND('Pallet Plan'!G4,0) &amp; " kg")</x:f>
      </x:c>
      <x:c r="B21" s="81"/>
      <x:c r="C21" s="81"/>
      <x:c r="D21" s="81"/>
      <x:c r="E21" s="81"/>
      <x:c r="F21" s="81"/>
      <x:c r="G21" s="81"/>
      <x:c r="H21" s="81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  <x:c r="AA21" s="101"/>
      <x:c r="AB21" s="101"/>
      <x:c r="AC21" s="101"/>
      <x:c r="AD21" s="101"/>
      <x:c r="AE21" s="101"/>
    </x:row>
    <x:row r="22" ht="24" customHeight="1">
      <x:c r="A22" s="81" t="str">
        <x:f>IF('Pallet Plan'!C4=0,"","APPROX DIMENSIONS: " &amp; 'Pallet Plan'!I4 &amp; " x " &amp; 'Pallet Plan'!J4 &amp; " x " &amp; 'Pallet Plan'!K4 &amp; " mm")</x:f>
      </x:c>
      <x:c r="B22" s="81"/>
      <x:c r="C22" s="81"/>
      <x:c r="D22" s="81"/>
      <x:c r="E22" s="81"/>
      <x:c r="F22" s="81"/>
      <x:c r="G22" s="81"/>
      <x:c r="H22" s="81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  <x:c r="AA22" s="101"/>
      <x:c r="AB22" s="101"/>
      <x:c r="AC22" s="101"/>
      <x:c r="AD22" s="101"/>
      <x:c r="AE22" s="101"/>
    </x:row>
    <x:row r="23" ht="24" customHeight="1">
      <x:c r="A23" s="93" t="str">
        <x:f>IF('Pallet Plan'!C4=0,"","KEEP DRY | LONG STEEL SECTIONS | HANDLE WITH CARE | DO NOT STACK")</x:f>
      </x:c>
      <x:c r="B23" s="81"/>
      <x:c r="C23" s="81"/>
      <x:c r="D23" s="81"/>
      <x:c r="E23" s="81"/>
      <x:c r="F23" s="81"/>
      <x:c r="G23" s="81"/>
      <x:c r="H23" s="81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  <x:c r="AA23" s="101"/>
      <x:c r="AB23" s="101"/>
      <x:c r="AC23" s="101"/>
      <x:c r="AD23" s="101"/>
      <x:c r="AE23" s="101"/>
    </x:row>
    <x:row r="24" ht="24" customHeight="1">
      <x:c r="A24" s="81" t="str">
        <x:f>IF('Pallet Plan'!C4=0,"","Collection/Delivery address: " &amp; 'START HERE'!B11)</x:f>
      </x:c>
      <x:c r="B24" s="81"/>
      <x:c r="C24" s="81"/>
      <x:c r="D24" s="81"/>
      <x:c r="E24" s="81"/>
      <x:c r="F24" s="81"/>
      <x:c r="G24" s="81"/>
      <x:c r="H24" s="8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  <x:c r="AA24" s="101"/>
      <x:c r="AB24" s="101"/>
      <x:c r="AC24" s="101"/>
      <x:c r="AD24" s="101"/>
      <x:c r="AE24" s="101"/>
    </x:row>
    <x:row r="25">
      <x:c r="A25" s="101"/>
      <x:c r="B25" s="101"/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  <x:c r="AA25" s="101"/>
      <x:c r="AB25" s="101"/>
      <x:c r="AC25" s="101"/>
      <x:c r="AD25" s="101"/>
      <x:c r="AE25" s="101"/>
    </x:row>
    <x:row r="26">
      <x:c r="A26" s="101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  <x:c r="AA26" s="101"/>
      <x:c r="AB26" s="101"/>
      <x:c r="AC26" s="101"/>
      <x:c r="AD26" s="101"/>
      <x:c r="AE26" s="101"/>
    </x:row>
    <x:row r="27" ht="24" customHeight="1">
      <x:c r="A27" s="85" t="str">
        <x:f>IF('Pallet Plan'!C5=0,"","INSIGHT FIRE SOLUTIONS LTD")</x:f>
      </x:c>
      <x:c r="B27" s="81"/>
      <x:c r="C27" s="81"/>
      <x:c r="D27" s="81"/>
      <x:c r="E27" s="81"/>
      <x:c r="F27" s="81"/>
      <x:c r="G27" s="81"/>
      <x:c r="H27" s="8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  <x:c r="AA27" s="101"/>
      <x:c r="AB27" s="101"/>
      <x:c r="AC27" s="101"/>
      <x:c r="AD27" s="101"/>
      <x:c r="AE27" s="101"/>
    </x:row>
    <x:row r="28" ht="24" customHeight="1">
      <x:c r="A28" s="81" t="str">
        <x:f>IF('Pallet Plan'!C5=0,"",'START HERE'!B5 &amp; " - " &amp; 'START HERE'!B7)</x:f>
      </x:c>
      <x:c r="B28" s="81"/>
      <x:c r="C28" s="81"/>
      <x:c r="D28" s="81"/>
      <x:c r="E28" s="81"/>
      <x:c r="F28" s="81"/>
      <x:c r="G28" s="81"/>
      <x:c r="H28" s="8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  <x:c r="AA28" s="101"/>
      <x:c r="AB28" s="101"/>
      <x:c r="AC28" s="101"/>
      <x:c r="AD28" s="101"/>
      <x:c r="AE28" s="101"/>
    </x:row>
    <x:row r="29" ht="24" customHeight="1">
      <x:c r="A29" s="81" t="str">
        <x:f>IF('Pallet Plan'!C5=0,"","ORDER REF: " &amp; 'START HERE'!B8 &amp; "     PROJECT: " &amp; 'START HERE'!B6)</x:f>
      </x:c>
      <x:c r="B29" s="81"/>
      <x:c r="C29" s="81"/>
      <x:c r="D29" s="81"/>
      <x:c r="E29" s="81"/>
      <x:c r="F29" s="81"/>
      <x:c r="G29" s="81"/>
      <x:c r="H29" s="8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  <x:c r="AA29" s="101"/>
      <x:c r="AB29" s="101"/>
      <x:c r="AC29" s="101"/>
      <x:c r="AD29" s="101"/>
      <x:c r="AE29" s="101"/>
    </x:row>
    <x:row r="30" ht="24" customHeight="1">
      <x:c r="A30" s="89" t="str">
        <x:f>IF('Pallet Plan'!C5=0,"","PALLET " &amp; ROWS('Pallet Plan'!$A$3:A5) &amp; " OF " &amp; COUNTIF('Pallet Plan'!$C$3:$C$14,"&gt;0"))</x:f>
      </x:c>
      <x:c r="B30" s="81"/>
      <x:c r="C30" s="81"/>
      <x:c r="D30" s="81"/>
      <x:c r="E30" s="81"/>
      <x:c r="F30" s="81"/>
      <x:c r="G30" s="81"/>
      <x:c r="H30" s="8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  <x:c r="AA30" s="101"/>
      <x:c r="AB30" s="101"/>
      <x:c r="AC30" s="101"/>
      <x:c r="AD30" s="101"/>
      <x:c r="AE30" s="101"/>
    </x:row>
    <x:row r="31" ht="24" customHeight="1">
      <x:c r="A31" s="81" t="str">
        <x:f>IF('Pallet Plan'!C5=0,"","CURTAINS: " &amp; 'Pallet Plan'!B5)</x:f>
      </x:c>
      <x:c r="B31" s="81"/>
      <x:c r="C31" s="81"/>
      <x:c r="D31" s="81"/>
      <x:c r="E31" s="81"/>
      <x:c r="F31" s="81"/>
      <x:c r="G31" s="81"/>
      <x:c r="H31" s="8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  <x:c r="AA31" s="101"/>
      <x:c r="AB31" s="101"/>
      <x:c r="AC31" s="101"/>
      <x:c r="AD31" s="101"/>
      <x:c r="AE31" s="101"/>
    </x:row>
    <x:row r="32" ht="24" customHeight="1">
      <x:c r="A32" s="81" t="str">
        <x:f>IF('Pallet Plan'!C5=0,"","CONTENTS: " &amp; 'Pallet Plan'!L5)</x:f>
      </x:c>
      <x:c r="B32" s="81"/>
      <x:c r="C32" s="81"/>
      <x:c r="D32" s="81"/>
      <x:c r="E32" s="81"/>
      <x:c r="F32" s="81"/>
      <x:c r="G32" s="81"/>
      <x:c r="H32" s="8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  <x:c r="AA32" s="101"/>
      <x:c r="AB32" s="101"/>
      <x:c r="AC32" s="101"/>
      <x:c r="AD32" s="101"/>
      <x:c r="AE32" s="101"/>
    </x:row>
    <x:row r="33" ht="24" customHeight="1">
      <x:c r="A33" s="81" t="str">
        <x:f>IF('Pallet Plan'!C5=0,"","APPROX GROSS WEIGHT: " &amp; ROUND('Pallet Plan'!G5,0) &amp; " kg")</x:f>
      </x:c>
      <x:c r="B33" s="81"/>
      <x:c r="C33" s="81"/>
      <x:c r="D33" s="81"/>
      <x:c r="E33" s="81"/>
      <x:c r="F33" s="81"/>
      <x:c r="G33" s="81"/>
      <x:c r="H33" s="8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  <x:c r="AA33" s="101"/>
      <x:c r="AB33" s="101"/>
      <x:c r="AC33" s="101"/>
      <x:c r="AD33" s="101"/>
      <x:c r="AE33" s="101"/>
    </x:row>
    <x:row r="34" ht="24" customHeight="1">
      <x:c r="A34" s="81" t="str">
        <x:f>IF('Pallet Plan'!C5=0,"","APPROX DIMENSIONS: " &amp; 'Pallet Plan'!I5 &amp; " x " &amp; 'Pallet Plan'!J5 &amp; " x " &amp; 'Pallet Plan'!K5 &amp; " mm")</x:f>
      </x:c>
      <x:c r="B34" s="81"/>
      <x:c r="C34" s="81"/>
      <x:c r="D34" s="81"/>
      <x:c r="E34" s="81"/>
      <x:c r="F34" s="81"/>
      <x:c r="G34" s="81"/>
      <x:c r="H34" s="8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  <x:c r="AA34" s="101"/>
      <x:c r="AB34" s="101"/>
      <x:c r="AC34" s="101"/>
      <x:c r="AD34" s="101"/>
      <x:c r="AE34" s="101"/>
    </x:row>
    <x:row r="35" ht="24" customHeight="1">
      <x:c r="A35" s="93" t="str">
        <x:f>IF('Pallet Plan'!C5=0,"","KEEP DRY | LONG STEEL SECTIONS | HANDLE WITH CARE | DO NOT STACK")</x:f>
      </x:c>
      <x:c r="B35" s="81"/>
      <x:c r="C35" s="81"/>
      <x:c r="D35" s="81"/>
      <x:c r="E35" s="81"/>
      <x:c r="F35" s="81"/>
      <x:c r="G35" s="81"/>
      <x:c r="H35" s="8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  <x:c r="AA35" s="101"/>
      <x:c r="AB35" s="101"/>
      <x:c r="AC35" s="101"/>
      <x:c r="AD35" s="101"/>
      <x:c r="AE35" s="101"/>
    </x:row>
    <x:row r="36" ht="24" customHeight="1">
      <x:c r="A36" s="81" t="str">
        <x:f>IF('Pallet Plan'!C5=0,"","Collection/Delivery address: " &amp; 'START HERE'!B11)</x:f>
      </x:c>
      <x:c r="B36" s="81"/>
      <x:c r="C36" s="81"/>
      <x:c r="D36" s="81"/>
      <x:c r="E36" s="81"/>
      <x:c r="F36" s="81"/>
      <x:c r="G36" s="81"/>
      <x:c r="H36" s="8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  <x:c r="AA36" s="101"/>
      <x:c r="AB36" s="101"/>
      <x:c r="AC36" s="101"/>
      <x:c r="AD36" s="101"/>
      <x:c r="AE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  <x:c r="AA37" s="101"/>
      <x:c r="AB37" s="101"/>
      <x:c r="AC37" s="101"/>
      <x:c r="AD37" s="101"/>
      <x:c r="AE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  <x:c r="AA38" s="101"/>
      <x:c r="AB38" s="101"/>
      <x:c r="AC38" s="101"/>
      <x:c r="AD38" s="101"/>
      <x:c r="AE38" s="101"/>
    </x:row>
    <x:row r="39" ht="24" customHeight="1">
      <x:c r="A39" s="85" t="str">
        <x:f>IF('Pallet Plan'!C6=0,"","INSIGHT FIRE SOLUTIONS LTD")</x:f>
      </x:c>
      <x:c r="B39" s="81"/>
      <x:c r="C39" s="81"/>
      <x:c r="D39" s="81"/>
      <x:c r="E39" s="81"/>
      <x:c r="F39" s="81"/>
      <x:c r="G39" s="81"/>
      <x:c r="H39" s="8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  <x:c r="AA39" s="101"/>
      <x:c r="AB39" s="101"/>
      <x:c r="AC39" s="101"/>
      <x:c r="AD39" s="101"/>
      <x:c r="AE39" s="101"/>
    </x:row>
    <x:row r="40" ht="24" customHeight="1">
      <x:c r="A40" s="81" t="str">
        <x:f>IF('Pallet Plan'!C6=0,"",'START HERE'!B5 &amp; " - " &amp; 'START HERE'!B7)</x:f>
      </x:c>
      <x:c r="B40" s="81"/>
      <x:c r="C40" s="81"/>
      <x:c r="D40" s="81"/>
      <x:c r="E40" s="81"/>
      <x:c r="F40" s="81"/>
      <x:c r="G40" s="81"/>
      <x:c r="H40" s="8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  <x:c r="AA40" s="101"/>
      <x:c r="AB40" s="101"/>
      <x:c r="AC40" s="101"/>
      <x:c r="AD40" s="101"/>
      <x:c r="AE40" s="101"/>
    </x:row>
    <x:row r="41" ht="24" customHeight="1">
      <x:c r="A41" s="81" t="str">
        <x:f>IF('Pallet Plan'!C6=0,"","ORDER REF: " &amp; 'START HERE'!B8 &amp; "     PROJECT: " &amp; 'START HERE'!B6)</x:f>
      </x:c>
      <x:c r="B41" s="81"/>
      <x:c r="C41" s="81"/>
      <x:c r="D41" s="81"/>
      <x:c r="E41" s="81"/>
      <x:c r="F41" s="81"/>
      <x:c r="G41" s="81"/>
      <x:c r="H41" s="8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  <x:c r="AA41" s="101"/>
      <x:c r="AB41" s="101"/>
      <x:c r="AC41" s="101"/>
      <x:c r="AD41" s="101"/>
      <x:c r="AE41" s="101"/>
    </x:row>
    <x:row r="42" ht="24" customHeight="1">
      <x:c r="A42" s="89" t="str">
        <x:f>IF('Pallet Plan'!C6=0,"","PALLET " &amp; ROWS('Pallet Plan'!$A$3:A6) &amp; " OF " &amp; COUNTIF('Pallet Plan'!$C$3:$C$14,"&gt;0"))</x:f>
      </x:c>
      <x:c r="B42" s="81"/>
      <x:c r="C42" s="81"/>
      <x:c r="D42" s="81"/>
      <x:c r="E42" s="81"/>
      <x:c r="F42" s="81"/>
      <x:c r="G42" s="81"/>
      <x:c r="H42" s="8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  <x:c r="AA42" s="101"/>
      <x:c r="AB42" s="101"/>
      <x:c r="AC42" s="101"/>
      <x:c r="AD42" s="101"/>
      <x:c r="AE42" s="101"/>
    </x:row>
    <x:row r="43" ht="24" customHeight="1">
      <x:c r="A43" s="81" t="str">
        <x:f>IF('Pallet Plan'!C6=0,"","CURTAINS: " &amp; 'Pallet Plan'!B6)</x:f>
      </x:c>
      <x:c r="B43" s="81"/>
      <x:c r="C43" s="81"/>
      <x:c r="D43" s="81"/>
      <x:c r="E43" s="81"/>
      <x:c r="F43" s="81"/>
      <x:c r="G43" s="81"/>
      <x:c r="H43" s="8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  <x:c r="AA43" s="101"/>
      <x:c r="AB43" s="101"/>
      <x:c r="AC43" s="101"/>
      <x:c r="AD43" s="101"/>
      <x:c r="AE43" s="101"/>
    </x:row>
    <x:row r="44" ht="24" customHeight="1">
      <x:c r="A44" s="81" t="str">
        <x:f>IF('Pallet Plan'!C6=0,"","CONTENTS: " &amp; 'Pallet Plan'!L6)</x:f>
      </x:c>
      <x:c r="B44" s="81"/>
      <x:c r="C44" s="81"/>
      <x:c r="D44" s="81"/>
      <x:c r="E44" s="81"/>
      <x:c r="F44" s="81"/>
      <x:c r="G44" s="81"/>
      <x:c r="H44" s="8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  <x:c r="AA44" s="101"/>
      <x:c r="AB44" s="101"/>
      <x:c r="AC44" s="101"/>
      <x:c r="AD44" s="101"/>
      <x:c r="AE44" s="101"/>
    </x:row>
    <x:row r="45" ht="24" customHeight="1">
      <x:c r="A45" s="81" t="str">
        <x:f>IF('Pallet Plan'!C6=0,"","APPROX GROSS WEIGHT: " &amp; ROUND('Pallet Plan'!G6,0) &amp; " kg")</x:f>
      </x:c>
      <x:c r="B45" s="81"/>
      <x:c r="C45" s="81"/>
      <x:c r="D45" s="81"/>
      <x:c r="E45" s="81"/>
      <x:c r="F45" s="81"/>
      <x:c r="G45" s="81"/>
      <x:c r="H45" s="8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  <x:c r="AA45" s="101"/>
      <x:c r="AB45" s="101"/>
      <x:c r="AC45" s="101"/>
      <x:c r="AD45" s="101"/>
      <x:c r="AE45" s="101"/>
    </x:row>
    <x:row r="46" ht="24" customHeight="1">
      <x:c r="A46" s="81" t="str">
        <x:f>IF('Pallet Plan'!C6=0,"","APPROX DIMENSIONS: " &amp; 'Pallet Plan'!I6 &amp; " x " &amp; 'Pallet Plan'!J6 &amp; " x " &amp; 'Pallet Plan'!K6 &amp; " mm")</x:f>
      </x:c>
      <x:c r="B46" s="81"/>
      <x:c r="C46" s="81"/>
      <x:c r="D46" s="81"/>
      <x:c r="E46" s="81"/>
      <x:c r="F46" s="81"/>
      <x:c r="G46" s="81"/>
      <x:c r="H46" s="8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  <x:c r="AA46" s="101"/>
      <x:c r="AB46" s="101"/>
      <x:c r="AC46" s="101"/>
      <x:c r="AD46" s="101"/>
      <x:c r="AE46" s="101"/>
    </x:row>
    <x:row r="47" ht="24" customHeight="1">
      <x:c r="A47" s="93" t="str">
        <x:f>IF('Pallet Plan'!C6=0,"","KEEP DRY | LONG STEEL SECTIONS | HANDLE WITH CARE | DO NOT STACK")</x:f>
      </x:c>
      <x:c r="B47" s="81"/>
      <x:c r="C47" s="81"/>
      <x:c r="D47" s="81"/>
      <x:c r="E47" s="81"/>
      <x:c r="F47" s="81"/>
      <x:c r="G47" s="81"/>
      <x:c r="H47" s="8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  <x:c r="AA47" s="101"/>
      <x:c r="AB47" s="101"/>
      <x:c r="AC47" s="101"/>
      <x:c r="AD47" s="101"/>
      <x:c r="AE47" s="101"/>
    </x:row>
    <x:row r="48" ht="24" customHeight="1">
      <x:c r="A48" s="81" t="str">
        <x:f>IF('Pallet Plan'!C6=0,"","Collection/Delivery address: " &amp; 'START HERE'!B11)</x:f>
      </x:c>
      <x:c r="B48" s="81"/>
      <x:c r="C48" s="81"/>
      <x:c r="D48" s="81"/>
      <x:c r="E48" s="81"/>
      <x:c r="F48" s="81"/>
      <x:c r="G48" s="81"/>
      <x:c r="H48" s="8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  <x:c r="AA48" s="101"/>
      <x:c r="AB48" s="101"/>
      <x:c r="AC48" s="101"/>
      <x:c r="AD48" s="101"/>
      <x:c r="AE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  <x:c r="AA49" s="101"/>
      <x:c r="AB49" s="101"/>
      <x:c r="AC49" s="101"/>
      <x:c r="AD49" s="101"/>
      <x:c r="AE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  <x:c r="AA50" s="101"/>
      <x:c r="AB50" s="101"/>
      <x:c r="AC50" s="101"/>
      <x:c r="AD50" s="101"/>
      <x:c r="AE50" s="101"/>
    </x:row>
    <x:row r="51" ht="24" customHeight="1">
      <x:c r="A51" s="85" t="str">
        <x:f>IF('Pallet Plan'!C7=0,"","INSIGHT FIRE SOLUTIONS LTD")</x:f>
      </x:c>
      <x:c r="B51" s="81"/>
      <x:c r="C51" s="81"/>
      <x:c r="D51" s="81"/>
      <x:c r="E51" s="81"/>
      <x:c r="F51" s="81"/>
      <x:c r="G51" s="81"/>
      <x:c r="H51" s="8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  <x:c r="AA51" s="101"/>
      <x:c r="AB51" s="101"/>
      <x:c r="AC51" s="101"/>
      <x:c r="AD51" s="101"/>
      <x:c r="AE51" s="101"/>
    </x:row>
    <x:row r="52" ht="24" customHeight="1">
      <x:c r="A52" s="81" t="str">
        <x:f>IF('Pallet Plan'!C7=0,"",'START HERE'!B5 &amp; " - " &amp; 'START HERE'!B7)</x:f>
      </x:c>
      <x:c r="B52" s="81"/>
      <x:c r="C52" s="81"/>
      <x:c r="D52" s="81"/>
      <x:c r="E52" s="81"/>
      <x:c r="F52" s="81"/>
      <x:c r="G52" s="81"/>
      <x:c r="H52" s="8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  <x:c r="AA52" s="101"/>
      <x:c r="AB52" s="101"/>
      <x:c r="AC52" s="101"/>
      <x:c r="AD52" s="101"/>
      <x:c r="AE52" s="101"/>
    </x:row>
    <x:row r="53" ht="24" customHeight="1">
      <x:c r="A53" s="81" t="str">
        <x:f>IF('Pallet Plan'!C7=0,"","ORDER REF: " &amp; 'START HERE'!B8 &amp; "     PROJECT: " &amp; 'START HERE'!B6)</x:f>
      </x:c>
      <x:c r="B53" s="81"/>
      <x:c r="C53" s="81"/>
      <x:c r="D53" s="81"/>
      <x:c r="E53" s="81"/>
      <x:c r="F53" s="81"/>
      <x:c r="G53" s="81"/>
      <x:c r="H53" s="8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  <x:c r="AA53" s="101"/>
      <x:c r="AB53" s="101"/>
      <x:c r="AC53" s="101"/>
      <x:c r="AD53" s="101"/>
      <x:c r="AE53" s="101"/>
    </x:row>
    <x:row r="54" ht="24" customHeight="1">
      <x:c r="A54" s="89" t="str">
        <x:f>IF('Pallet Plan'!C7=0,"","PALLET " &amp; ROWS('Pallet Plan'!$A$3:A7) &amp; " OF " &amp; COUNTIF('Pallet Plan'!$C$3:$C$14,"&gt;0"))</x:f>
      </x:c>
      <x:c r="B54" s="81"/>
      <x:c r="C54" s="81"/>
      <x:c r="D54" s="81"/>
      <x:c r="E54" s="81"/>
      <x:c r="F54" s="81"/>
      <x:c r="G54" s="81"/>
      <x:c r="H54" s="8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  <x:c r="AA54" s="101"/>
      <x:c r="AB54" s="101"/>
      <x:c r="AC54" s="101"/>
      <x:c r="AD54" s="101"/>
      <x:c r="AE54" s="101"/>
    </x:row>
    <x:row r="55" ht="24" customHeight="1">
      <x:c r="A55" s="81" t="str">
        <x:f>IF('Pallet Plan'!C7=0,"","CURTAINS: " &amp; 'Pallet Plan'!B7)</x:f>
      </x:c>
      <x:c r="B55" s="81"/>
      <x:c r="C55" s="81"/>
      <x:c r="D55" s="81"/>
      <x:c r="E55" s="81"/>
      <x:c r="F55" s="81"/>
      <x:c r="G55" s="81"/>
      <x:c r="H55" s="8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  <x:c r="AA55" s="101"/>
      <x:c r="AB55" s="101"/>
      <x:c r="AC55" s="101"/>
      <x:c r="AD55" s="101"/>
      <x:c r="AE55" s="101"/>
    </x:row>
    <x:row r="56" ht="24" customHeight="1">
      <x:c r="A56" s="81" t="str">
        <x:f>IF('Pallet Plan'!C7=0,"","CONTENTS: " &amp; 'Pallet Plan'!L7)</x:f>
      </x:c>
      <x:c r="B56" s="81"/>
      <x:c r="C56" s="81"/>
      <x:c r="D56" s="81"/>
      <x:c r="E56" s="81"/>
      <x:c r="F56" s="81"/>
      <x:c r="G56" s="81"/>
      <x:c r="H56" s="8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  <x:c r="AA56" s="101"/>
      <x:c r="AB56" s="101"/>
      <x:c r="AC56" s="101"/>
      <x:c r="AD56" s="101"/>
      <x:c r="AE56" s="101"/>
    </x:row>
    <x:row r="57" ht="24" customHeight="1">
      <x:c r="A57" s="81" t="str">
        <x:f>IF('Pallet Plan'!C7=0,"","APPROX GROSS WEIGHT: " &amp; ROUND('Pallet Plan'!G7,0) &amp; " kg")</x:f>
      </x:c>
      <x:c r="B57" s="81"/>
      <x:c r="C57" s="81"/>
      <x:c r="D57" s="81"/>
      <x:c r="E57" s="81"/>
      <x:c r="F57" s="81"/>
      <x:c r="G57" s="81"/>
      <x:c r="H57" s="8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  <x:c r="AA57" s="101"/>
      <x:c r="AB57" s="101"/>
      <x:c r="AC57" s="101"/>
      <x:c r="AD57" s="101"/>
      <x:c r="AE57" s="101"/>
    </x:row>
    <x:row r="58" ht="24" customHeight="1">
      <x:c r="A58" s="81" t="str">
        <x:f>IF('Pallet Plan'!C7=0,"","APPROX DIMENSIONS: " &amp; 'Pallet Plan'!I7 &amp; " x " &amp; 'Pallet Plan'!J7 &amp; " x " &amp; 'Pallet Plan'!K7 &amp; " mm")</x:f>
      </x:c>
      <x:c r="B58" s="81"/>
      <x:c r="C58" s="81"/>
      <x:c r="D58" s="81"/>
      <x:c r="E58" s="81"/>
      <x:c r="F58" s="81"/>
      <x:c r="G58" s="81"/>
      <x:c r="H58" s="8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  <x:c r="AA58" s="101"/>
      <x:c r="AB58" s="101"/>
      <x:c r="AC58" s="101"/>
      <x:c r="AD58" s="101"/>
      <x:c r="AE58" s="101"/>
    </x:row>
    <x:row r="59" ht="24" customHeight="1">
      <x:c r="A59" s="93" t="str">
        <x:f>IF('Pallet Plan'!C7=0,"","KEEP DRY | LONG STEEL SECTIONS | HANDLE WITH CARE | DO NOT STACK")</x:f>
      </x:c>
      <x:c r="B59" s="81"/>
      <x:c r="C59" s="81"/>
      <x:c r="D59" s="81"/>
      <x:c r="E59" s="81"/>
      <x:c r="F59" s="81"/>
      <x:c r="G59" s="81"/>
      <x:c r="H59" s="8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  <x:c r="AA59" s="101"/>
      <x:c r="AB59" s="101"/>
      <x:c r="AC59" s="101"/>
      <x:c r="AD59" s="101"/>
      <x:c r="AE59" s="101"/>
    </x:row>
    <x:row r="60" ht="24" customHeight="1">
      <x:c r="A60" s="81" t="str">
        <x:f>IF('Pallet Plan'!C7=0,"","Collection/Delivery address: " &amp; 'START HERE'!B11)</x:f>
      </x:c>
      <x:c r="B60" s="81"/>
      <x:c r="C60" s="81"/>
      <x:c r="D60" s="81"/>
      <x:c r="E60" s="81"/>
      <x:c r="F60" s="81"/>
      <x:c r="G60" s="81"/>
      <x:c r="H60" s="8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  <x:c r="AA60" s="101"/>
      <x:c r="AB60" s="101"/>
      <x:c r="AC60" s="101"/>
      <x:c r="AD60" s="101"/>
      <x:c r="AE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  <x:c r="AA61" s="101"/>
      <x:c r="AB61" s="101"/>
      <x:c r="AC61" s="101"/>
      <x:c r="AD61" s="101"/>
      <x:c r="AE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  <x:c r="AA62" s="101"/>
      <x:c r="AB62" s="101"/>
      <x:c r="AC62" s="101"/>
      <x:c r="AD62" s="101"/>
      <x:c r="AE62" s="101"/>
    </x:row>
    <x:row r="63" ht="24" customHeight="1">
      <x:c r="A63" s="85" t="str">
        <x:f>IF('Pallet Plan'!C8=0,"","INSIGHT FIRE SOLUTIONS LTD")</x:f>
      </x:c>
      <x:c r="B63" s="81"/>
      <x:c r="C63" s="81"/>
      <x:c r="D63" s="81"/>
      <x:c r="E63" s="81"/>
      <x:c r="F63" s="81"/>
      <x:c r="G63" s="81"/>
      <x:c r="H63" s="8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  <x:c r="AA63" s="101"/>
      <x:c r="AB63" s="101"/>
      <x:c r="AC63" s="101"/>
      <x:c r="AD63" s="101"/>
      <x:c r="AE63" s="101"/>
    </x:row>
    <x:row r="64" ht="24" customHeight="1">
      <x:c r="A64" s="81" t="str">
        <x:f>IF('Pallet Plan'!C8=0,"",'START HERE'!B5 &amp; " - " &amp; 'START HERE'!B7)</x:f>
      </x:c>
      <x:c r="B64" s="81"/>
      <x:c r="C64" s="81"/>
      <x:c r="D64" s="81"/>
      <x:c r="E64" s="81"/>
      <x:c r="F64" s="81"/>
      <x:c r="G64" s="81"/>
      <x:c r="H64" s="8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  <x:c r="AA64" s="101"/>
      <x:c r="AB64" s="101"/>
      <x:c r="AC64" s="101"/>
      <x:c r="AD64" s="101"/>
      <x:c r="AE64" s="101"/>
    </x:row>
    <x:row r="65" ht="24" customHeight="1">
      <x:c r="A65" s="81" t="str">
        <x:f>IF('Pallet Plan'!C8=0,"","ORDER REF: " &amp; 'START HERE'!B8 &amp; "     PROJECT: " &amp; 'START HERE'!B6)</x:f>
      </x:c>
      <x:c r="B65" s="81"/>
      <x:c r="C65" s="81"/>
      <x:c r="D65" s="81"/>
      <x:c r="E65" s="81"/>
      <x:c r="F65" s="81"/>
      <x:c r="G65" s="81"/>
      <x:c r="H65" s="8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  <x:c r="AA65" s="101"/>
      <x:c r="AB65" s="101"/>
      <x:c r="AC65" s="101"/>
      <x:c r="AD65" s="101"/>
      <x:c r="AE65" s="101"/>
    </x:row>
    <x:row r="66" ht="24" customHeight="1">
      <x:c r="A66" s="89" t="str">
        <x:f>IF('Pallet Plan'!C8=0,"","PALLET " &amp; ROWS('Pallet Plan'!$A$3:A8) &amp; " OF " &amp; COUNTIF('Pallet Plan'!$C$3:$C$14,"&gt;0"))</x:f>
      </x:c>
      <x:c r="B66" s="81"/>
      <x:c r="C66" s="81"/>
      <x:c r="D66" s="81"/>
      <x:c r="E66" s="81"/>
      <x:c r="F66" s="81"/>
      <x:c r="G66" s="81"/>
      <x:c r="H66" s="8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  <x:c r="AA66" s="101"/>
      <x:c r="AB66" s="101"/>
      <x:c r="AC66" s="101"/>
      <x:c r="AD66" s="101"/>
      <x:c r="AE66" s="101"/>
    </x:row>
    <x:row r="67" ht="24" customHeight="1">
      <x:c r="A67" s="81" t="str">
        <x:f>IF('Pallet Plan'!C8=0,"","CURTAINS: " &amp; 'Pallet Plan'!B8)</x:f>
      </x:c>
      <x:c r="B67" s="81"/>
      <x:c r="C67" s="81"/>
      <x:c r="D67" s="81"/>
      <x:c r="E67" s="81"/>
      <x:c r="F67" s="81"/>
      <x:c r="G67" s="81"/>
      <x:c r="H67" s="8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  <x:c r="AA67" s="101"/>
      <x:c r="AB67" s="101"/>
      <x:c r="AC67" s="101"/>
      <x:c r="AD67" s="101"/>
      <x:c r="AE67" s="101"/>
    </x:row>
    <x:row r="68" ht="24" customHeight="1">
      <x:c r="A68" s="81" t="str">
        <x:f>IF('Pallet Plan'!C8=0,"","CONTENTS: " &amp; 'Pallet Plan'!L8)</x:f>
      </x:c>
      <x:c r="B68" s="81"/>
      <x:c r="C68" s="81"/>
      <x:c r="D68" s="81"/>
      <x:c r="E68" s="81"/>
      <x:c r="F68" s="81"/>
      <x:c r="G68" s="81"/>
      <x:c r="H68" s="8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  <x:c r="AA68" s="101"/>
      <x:c r="AB68" s="101"/>
      <x:c r="AC68" s="101"/>
      <x:c r="AD68" s="101"/>
      <x:c r="AE68" s="101"/>
    </x:row>
    <x:row r="69" ht="24" customHeight="1">
      <x:c r="A69" s="81" t="str">
        <x:f>IF('Pallet Plan'!C8=0,"","APPROX GROSS WEIGHT: " &amp; ROUND('Pallet Plan'!G8,0) &amp; " kg")</x:f>
      </x:c>
      <x:c r="B69" s="81"/>
      <x:c r="C69" s="81"/>
      <x:c r="D69" s="81"/>
      <x:c r="E69" s="81"/>
      <x:c r="F69" s="81"/>
      <x:c r="G69" s="81"/>
      <x:c r="H69" s="8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  <x:c r="AA69" s="101"/>
      <x:c r="AB69" s="101"/>
      <x:c r="AC69" s="101"/>
      <x:c r="AD69" s="101"/>
      <x:c r="AE69" s="101"/>
    </x:row>
    <x:row r="70" ht="24" customHeight="1">
      <x:c r="A70" s="81" t="str">
        <x:f>IF('Pallet Plan'!C8=0,"","APPROX DIMENSIONS: " &amp; 'Pallet Plan'!I8 &amp; " x " &amp; 'Pallet Plan'!J8 &amp; " x " &amp; 'Pallet Plan'!K8 &amp; " mm")</x:f>
      </x:c>
      <x:c r="B70" s="81"/>
      <x:c r="C70" s="81"/>
      <x:c r="D70" s="81"/>
      <x:c r="E70" s="81"/>
      <x:c r="F70" s="81"/>
      <x:c r="G70" s="81"/>
      <x:c r="H70" s="8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  <x:c r="AA70" s="101"/>
      <x:c r="AB70" s="101"/>
      <x:c r="AC70" s="101"/>
      <x:c r="AD70" s="101"/>
      <x:c r="AE70" s="101"/>
    </x:row>
    <x:row r="71" ht="24" customHeight="1">
      <x:c r="A71" s="93" t="str">
        <x:f>IF('Pallet Plan'!C8=0,"","KEEP DRY | LONG STEEL SECTIONS | HANDLE WITH CARE | DO NOT STACK")</x:f>
      </x:c>
      <x:c r="B71" s="81"/>
      <x:c r="C71" s="81"/>
      <x:c r="D71" s="81"/>
      <x:c r="E71" s="81"/>
      <x:c r="F71" s="81"/>
      <x:c r="G71" s="81"/>
      <x:c r="H71" s="8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  <x:c r="AA71" s="101"/>
      <x:c r="AB71" s="101"/>
      <x:c r="AC71" s="101"/>
      <x:c r="AD71" s="101"/>
      <x:c r="AE71" s="101"/>
    </x:row>
    <x:row r="72" ht="24" customHeight="1">
      <x:c r="A72" s="81" t="str">
        <x:f>IF('Pallet Plan'!C8=0,"","Collection/Delivery address: " &amp; 'START HERE'!B11)</x:f>
      </x:c>
      <x:c r="B72" s="81"/>
      <x:c r="C72" s="81"/>
      <x:c r="D72" s="81"/>
      <x:c r="E72" s="81"/>
      <x:c r="F72" s="81"/>
      <x:c r="G72" s="81"/>
      <x:c r="H72" s="8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  <x:c r="AA72" s="101"/>
      <x:c r="AB72" s="101"/>
      <x:c r="AC72" s="101"/>
      <x:c r="AD72" s="101"/>
      <x:c r="AE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  <x:c r="AA73" s="101"/>
      <x:c r="AB73" s="101"/>
      <x:c r="AC73" s="101"/>
      <x:c r="AD73" s="101"/>
      <x:c r="AE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  <x:c r="AA74" s="101"/>
      <x:c r="AB74" s="101"/>
      <x:c r="AC74" s="101"/>
      <x:c r="AD74" s="101"/>
      <x:c r="AE74" s="101"/>
    </x:row>
    <x:row r="75" ht="24" customHeight="1">
      <x:c r="A75" s="85" t="str">
        <x:f>IF('Pallet Plan'!C9=0,"","INSIGHT FIRE SOLUTIONS LTD")</x:f>
      </x:c>
      <x:c r="B75" s="81"/>
      <x:c r="C75" s="81"/>
      <x:c r="D75" s="81"/>
      <x:c r="E75" s="81"/>
      <x:c r="F75" s="81"/>
      <x:c r="G75" s="81"/>
      <x:c r="H75" s="8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  <x:c r="AA75" s="101"/>
      <x:c r="AB75" s="101"/>
      <x:c r="AC75" s="101"/>
      <x:c r="AD75" s="101"/>
      <x:c r="AE75" s="101"/>
    </x:row>
    <x:row r="76" ht="24" customHeight="1">
      <x:c r="A76" s="81" t="str">
        <x:f>IF('Pallet Plan'!C9=0,"",'START HERE'!B5 &amp; " - " &amp; 'START HERE'!B7)</x:f>
      </x:c>
      <x:c r="B76" s="81"/>
      <x:c r="C76" s="81"/>
      <x:c r="D76" s="81"/>
      <x:c r="E76" s="81"/>
      <x:c r="F76" s="81"/>
      <x:c r="G76" s="81"/>
      <x:c r="H76" s="8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  <x:c r="AA76" s="101"/>
      <x:c r="AB76" s="101"/>
      <x:c r="AC76" s="101"/>
      <x:c r="AD76" s="101"/>
      <x:c r="AE76" s="101"/>
    </x:row>
    <x:row r="77" ht="24" customHeight="1">
      <x:c r="A77" s="81" t="str">
        <x:f>IF('Pallet Plan'!C9=0,"","ORDER REF: " &amp; 'START HERE'!B8 &amp; "     PROJECT: " &amp; 'START HERE'!B6)</x:f>
      </x:c>
      <x:c r="B77" s="81"/>
      <x:c r="C77" s="81"/>
      <x:c r="D77" s="81"/>
      <x:c r="E77" s="81"/>
      <x:c r="F77" s="81"/>
      <x:c r="G77" s="81"/>
      <x:c r="H77" s="8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  <x:c r="AA77" s="101"/>
      <x:c r="AB77" s="101"/>
      <x:c r="AC77" s="101"/>
      <x:c r="AD77" s="101"/>
      <x:c r="AE77" s="101"/>
    </x:row>
    <x:row r="78" ht="24" customHeight="1">
      <x:c r="A78" s="89" t="str">
        <x:f>IF('Pallet Plan'!C9=0,"","PALLET " &amp; ROWS('Pallet Plan'!$A$3:A9) &amp; " OF " &amp; COUNTIF('Pallet Plan'!$C$3:$C$14,"&gt;0"))</x:f>
      </x:c>
      <x:c r="B78" s="81"/>
      <x:c r="C78" s="81"/>
      <x:c r="D78" s="81"/>
      <x:c r="E78" s="81"/>
      <x:c r="F78" s="81"/>
      <x:c r="G78" s="81"/>
      <x:c r="H78" s="8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  <x:c r="AA78" s="101"/>
      <x:c r="AB78" s="101"/>
      <x:c r="AC78" s="101"/>
      <x:c r="AD78" s="101"/>
      <x:c r="AE78" s="101"/>
    </x:row>
    <x:row r="79" ht="24" customHeight="1">
      <x:c r="A79" s="81" t="str">
        <x:f>IF('Pallet Plan'!C9=0,"","CURTAINS: " &amp; 'Pallet Plan'!B9)</x:f>
      </x:c>
      <x:c r="B79" s="81"/>
      <x:c r="C79" s="81"/>
      <x:c r="D79" s="81"/>
      <x:c r="E79" s="81"/>
      <x:c r="F79" s="81"/>
      <x:c r="G79" s="81"/>
      <x:c r="H79" s="8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  <x:c r="AA79" s="101"/>
      <x:c r="AB79" s="101"/>
      <x:c r="AC79" s="101"/>
      <x:c r="AD79" s="101"/>
      <x:c r="AE79" s="101"/>
    </x:row>
    <x:row r="80" ht="24" customHeight="1">
      <x:c r="A80" s="81" t="str">
        <x:f>IF('Pallet Plan'!C9=0,"","CONTENTS: " &amp; 'Pallet Plan'!L9)</x:f>
      </x:c>
      <x:c r="B80" s="81"/>
      <x:c r="C80" s="81"/>
      <x:c r="D80" s="81"/>
      <x:c r="E80" s="81"/>
      <x:c r="F80" s="81"/>
      <x:c r="G80" s="81"/>
      <x:c r="H80" s="8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  <x:c r="AA80" s="101"/>
      <x:c r="AB80" s="101"/>
      <x:c r="AC80" s="101"/>
      <x:c r="AD80" s="101"/>
      <x:c r="AE80" s="101"/>
    </x:row>
    <x:row r="81" ht="24" customHeight="1">
      <x:c r="A81" s="81" t="str">
        <x:f>IF('Pallet Plan'!C9=0,"","APPROX GROSS WEIGHT: " &amp; ROUND('Pallet Plan'!G9,0) &amp; " kg")</x:f>
      </x:c>
      <x:c r="B81" s="81"/>
      <x:c r="C81" s="81"/>
      <x:c r="D81" s="81"/>
      <x:c r="E81" s="81"/>
      <x:c r="F81" s="81"/>
      <x:c r="G81" s="81"/>
      <x:c r="H81" s="8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  <x:c r="AA81" s="101"/>
      <x:c r="AB81" s="101"/>
      <x:c r="AC81" s="101"/>
      <x:c r="AD81" s="101"/>
      <x:c r="AE81" s="101"/>
    </x:row>
    <x:row r="82" ht="24" customHeight="1">
      <x:c r="A82" s="81" t="str">
        <x:f>IF('Pallet Plan'!C9=0,"","APPROX DIMENSIONS: " &amp; 'Pallet Plan'!I9 &amp; " x " &amp; 'Pallet Plan'!J9 &amp; " x " &amp; 'Pallet Plan'!K9 &amp; " mm")</x:f>
      </x:c>
      <x:c r="B82" s="81"/>
      <x:c r="C82" s="81"/>
      <x:c r="D82" s="81"/>
      <x:c r="E82" s="81"/>
      <x:c r="F82" s="81"/>
      <x:c r="G82" s="81"/>
      <x:c r="H82" s="8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  <x:c r="AA82" s="101"/>
      <x:c r="AB82" s="101"/>
      <x:c r="AC82" s="101"/>
      <x:c r="AD82" s="101"/>
      <x:c r="AE82" s="101"/>
    </x:row>
    <x:row r="83" ht="24" customHeight="1">
      <x:c r="A83" s="93" t="str">
        <x:f>IF('Pallet Plan'!C9=0,"","KEEP DRY | LONG STEEL SECTIONS | HANDLE WITH CARE | DO NOT STACK")</x:f>
      </x:c>
      <x:c r="B83" s="81"/>
      <x:c r="C83" s="81"/>
      <x:c r="D83" s="81"/>
      <x:c r="E83" s="81"/>
      <x:c r="F83" s="81"/>
      <x:c r="G83" s="81"/>
      <x:c r="H83" s="8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  <x:c r="AA83" s="101"/>
      <x:c r="AB83" s="101"/>
      <x:c r="AC83" s="101"/>
      <x:c r="AD83" s="101"/>
      <x:c r="AE83" s="101"/>
    </x:row>
    <x:row r="84" ht="24" customHeight="1">
      <x:c r="A84" s="81" t="str">
        <x:f>IF('Pallet Plan'!C9=0,"","Collection/Delivery address: " &amp; 'START HERE'!B11)</x:f>
      </x:c>
      <x:c r="B84" s="81"/>
      <x:c r="C84" s="81"/>
      <x:c r="D84" s="81"/>
      <x:c r="E84" s="81"/>
      <x:c r="F84" s="81"/>
      <x:c r="G84" s="81"/>
      <x:c r="H84" s="8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  <x:c r="AA84" s="101"/>
      <x:c r="AB84" s="101"/>
      <x:c r="AC84" s="101"/>
      <x:c r="AD84" s="101"/>
      <x:c r="AE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  <x:c r="AA85" s="101"/>
      <x:c r="AB85" s="101"/>
      <x:c r="AC85" s="101"/>
      <x:c r="AD85" s="101"/>
      <x:c r="AE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  <x:c r="AA86" s="101"/>
      <x:c r="AB86" s="101"/>
      <x:c r="AC86" s="101"/>
      <x:c r="AD86" s="101"/>
      <x:c r="AE86" s="101"/>
    </x:row>
    <x:row r="87" ht="24" customHeight="1">
      <x:c r="A87" s="85" t="str">
        <x:f>IF('Pallet Plan'!C10=0,"","INSIGHT FIRE SOLUTIONS LTD")</x:f>
      </x:c>
      <x:c r="B87" s="81"/>
      <x:c r="C87" s="81"/>
      <x:c r="D87" s="81"/>
      <x:c r="E87" s="81"/>
      <x:c r="F87" s="81"/>
      <x:c r="G87" s="81"/>
      <x:c r="H87" s="8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  <x:c r="AA87" s="101"/>
      <x:c r="AB87" s="101"/>
      <x:c r="AC87" s="101"/>
      <x:c r="AD87" s="101"/>
      <x:c r="AE87" s="101"/>
    </x:row>
    <x:row r="88" ht="24" customHeight="1">
      <x:c r="A88" s="81" t="str">
        <x:f>IF('Pallet Plan'!C10=0,"",'START HERE'!B5 &amp; " - " &amp; 'START HERE'!B7)</x:f>
      </x:c>
      <x:c r="B88" s="81"/>
      <x:c r="C88" s="81"/>
      <x:c r="D88" s="81"/>
      <x:c r="E88" s="81"/>
      <x:c r="F88" s="81"/>
      <x:c r="G88" s="81"/>
      <x:c r="H88" s="8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  <x:c r="AA88" s="101"/>
      <x:c r="AB88" s="101"/>
      <x:c r="AC88" s="101"/>
      <x:c r="AD88" s="101"/>
      <x:c r="AE88" s="101"/>
    </x:row>
    <x:row r="89" ht="24" customHeight="1">
      <x:c r="A89" s="81" t="str">
        <x:f>IF('Pallet Plan'!C10=0,"","ORDER REF: " &amp; 'START HERE'!B8 &amp; "     PROJECT: " &amp; 'START HERE'!B6)</x:f>
      </x:c>
      <x:c r="B89" s="81"/>
      <x:c r="C89" s="81"/>
      <x:c r="D89" s="81"/>
      <x:c r="E89" s="81"/>
      <x:c r="F89" s="81"/>
      <x:c r="G89" s="81"/>
      <x:c r="H89" s="8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  <x:c r="AA89" s="101"/>
      <x:c r="AB89" s="101"/>
      <x:c r="AC89" s="101"/>
      <x:c r="AD89" s="101"/>
      <x:c r="AE89" s="101"/>
    </x:row>
    <x:row r="90" ht="24" customHeight="1">
      <x:c r="A90" s="89" t="str">
        <x:f>IF('Pallet Plan'!C10=0,"","PALLET " &amp; ROWS('Pallet Plan'!$A$3:A10) &amp; " OF " &amp; COUNTIF('Pallet Plan'!$C$3:$C$14,"&gt;0"))</x:f>
      </x:c>
      <x:c r="B90" s="81"/>
      <x:c r="C90" s="81"/>
      <x:c r="D90" s="81"/>
      <x:c r="E90" s="81"/>
      <x:c r="F90" s="81"/>
      <x:c r="G90" s="81"/>
      <x:c r="H90" s="8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  <x:c r="AA90" s="101"/>
      <x:c r="AB90" s="101"/>
      <x:c r="AC90" s="101"/>
      <x:c r="AD90" s="101"/>
      <x:c r="AE90" s="101"/>
    </x:row>
    <x:row r="91" ht="24" customHeight="1">
      <x:c r="A91" s="81" t="str">
        <x:f>IF('Pallet Plan'!C10=0,"","CURTAINS: " &amp; 'Pallet Plan'!B10)</x:f>
      </x:c>
      <x:c r="B91" s="81"/>
      <x:c r="C91" s="81"/>
      <x:c r="D91" s="81"/>
      <x:c r="E91" s="81"/>
      <x:c r="F91" s="81"/>
      <x:c r="G91" s="81"/>
      <x:c r="H91" s="8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  <x:c r="AA91" s="101"/>
      <x:c r="AB91" s="101"/>
      <x:c r="AC91" s="101"/>
      <x:c r="AD91" s="101"/>
      <x:c r="AE91" s="101"/>
    </x:row>
    <x:row r="92" ht="24" customHeight="1">
      <x:c r="A92" s="81" t="str">
        <x:f>IF('Pallet Plan'!C10=0,"","CONTENTS: " &amp; 'Pallet Plan'!L10)</x:f>
      </x:c>
      <x:c r="B92" s="81"/>
      <x:c r="C92" s="81"/>
      <x:c r="D92" s="81"/>
      <x:c r="E92" s="81"/>
      <x:c r="F92" s="81"/>
      <x:c r="G92" s="81"/>
      <x:c r="H92" s="8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  <x:c r="AA92" s="101"/>
      <x:c r="AB92" s="101"/>
      <x:c r="AC92" s="101"/>
      <x:c r="AD92" s="101"/>
      <x:c r="AE92" s="101"/>
    </x:row>
    <x:row r="93" ht="24" customHeight="1">
      <x:c r="A93" s="81" t="str">
        <x:f>IF('Pallet Plan'!C10=0,"","APPROX GROSS WEIGHT: " &amp; ROUND('Pallet Plan'!G10,0) &amp; " kg")</x:f>
      </x:c>
      <x:c r="B93" s="81"/>
      <x:c r="C93" s="81"/>
      <x:c r="D93" s="81"/>
      <x:c r="E93" s="81"/>
      <x:c r="F93" s="81"/>
      <x:c r="G93" s="81"/>
      <x:c r="H93" s="8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  <x:c r="AA93" s="101"/>
      <x:c r="AB93" s="101"/>
      <x:c r="AC93" s="101"/>
      <x:c r="AD93" s="101"/>
      <x:c r="AE93" s="101"/>
    </x:row>
    <x:row r="94" ht="24" customHeight="1">
      <x:c r="A94" s="81" t="str">
        <x:f>IF('Pallet Plan'!C10=0,"","APPROX DIMENSIONS: " &amp; 'Pallet Plan'!I10 &amp; " x " &amp; 'Pallet Plan'!J10 &amp; " x " &amp; 'Pallet Plan'!K10 &amp; " mm")</x:f>
      </x:c>
      <x:c r="B94" s="81"/>
      <x:c r="C94" s="81"/>
      <x:c r="D94" s="81"/>
      <x:c r="E94" s="81"/>
      <x:c r="F94" s="81"/>
      <x:c r="G94" s="81"/>
      <x:c r="H94" s="8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  <x:c r="AA94" s="101"/>
      <x:c r="AB94" s="101"/>
      <x:c r="AC94" s="101"/>
      <x:c r="AD94" s="101"/>
      <x:c r="AE94" s="101"/>
    </x:row>
    <x:row r="95" ht="24" customHeight="1">
      <x:c r="A95" s="93" t="str">
        <x:f>IF('Pallet Plan'!C10=0,"","KEEP DRY | LONG STEEL SECTIONS | HANDLE WITH CARE | DO NOT STACK")</x:f>
      </x:c>
      <x:c r="B95" s="81"/>
      <x:c r="C95" s="81"/>
      <x:c r="D95" s="81"/>
      <x:c r="E95" s="81"/>
      <x:c r="F95" s="81"/>
      <x:c r="G95" s="81"/>
      <x:c r="H95" s="8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  <x:c r="AA95" s="101"/>
      <x:c r="AB95" s="101"/>
      <x:c r="AC95" s="101"/>
      <x:c r="AD95" s="101"/>
      <x:c r="AE95" s="101"/>
    </x:row>
    <x:row r="96" ht="24" customHeight="1">
      <x:c r="A96" s="81" t="str">
        <x:f>IF('Pallet Plan'!C10=0,"","Collection/Delivery address: " &amp; 'START HERE'!B11)</x:f>
      </x:c>
      <x:c r="B96" s="81"/>
      <x:c r="C96" s="81"/>
      <x:c r="D96" s="81"/>
      <x:c r="E96" s="81"/>
      <x:c r="F96" s="81"/>
      <x:c r="G96" s="81"/>
      <x:c r="H96" s="8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  <x:c r="AA96" s="101"/>
      <x:c r="AB96" s="101"/>
      <x:c r="AC96" s="101"/>
      <x:c r="AD96" s="101"/>
      <x:c r="AE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  <x:c r="AA97" s="101"/>
      <x:c r="AB97" s="101"/>
      <x:c r="AC97" s="101"/>
      <x:c r="AD97" s="101"/>
      <x:c r="AE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  <x:c r="AA98" s="101"/>
      <x:c r="AB98" s="101"/>
      <x:c r="AC98" s="101"/>
      <x:c r="AD98" s="101"/>
      <x:c r="AE98" s="101"/>
    </x:row>
    <x:row r="99" ht="24" customHeight="1">
      <x:c r="A99" s="85" t="str">
        <x:f>IF('Pallet Plan'!C11=0,"","INSIGHT FIRE SOLUTIONS LTD")</x:f>
      </x:c>
      <x:c r="B99" s="81"/>
      <x:c r="C99" s="81"/>
      <x:c r="D99" s="81"/>
      <x:c r="E99" s="81"/>
      <x:c r="F99" s="81"/>
      <x:c r="G99" s="81"/>
      <x:c r="H99" s="8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  <x:c r="AA99" s="101"/>
      <x:c r="AB99" s="101"/>
      <x:c r="AC99" s="101"/>
      <x:c r="AD99" s="101"/>
      <x:c r="AE99" s="101"/>
    </x:row>
    <x:row r="100" ht="24" customHeight="1">
      <x:c r="A100" s="81" t="str">
        <x:f>IF('Pallet Plan'!C11=0,"",'START HERE'!B5 &amp; " - " &amp; 'START HERE'!B7)</x:f>
      </x:c>
      <x:c r="B100" s="81"/>
      <x:c r="C100" s="81"/>
      <x:c r="D100" s="81"/>
      <x:c r="E100" s="81"/>
      <x:c r="F100" s="81"/>
      <x:c r="G100" s="81"/>
      <x:c r="H100" s="8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  <x:c r="AA100" s="101"/>
      <x:c r="AB100" s="101"/>
      <x:c r="AC100" s="101"/>
      <x:c r="AD100" s="101"/>
      <x:c r="AE100" s="101"/>
    </x:row>
    <x:row r="101" ht="24" customHeight="1">
      <x:c r="A101" s="81" t="str">
        <x:f>IF('Pallet Plan'!C11=0,"","ORDER REF: " &amp; 'START HERE'!B8 &amp; "     PROJECT: " &amp; 'START HERE'!B6)</x:f>
      </x:c>
      <x:c r="B101" s="81"/>
      <x:c r="C101" s="81"/>
      <x:c r="D101" s="81"/>
      <x:c r="E101" s="81"/>
      <x:c r="F101" s="81"/>
      <x:c r="G101" s="81"/>
      <x:c r="H101" s="8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  <x:c r="AA101" s="101"/>
      <x:c r="AB101" s="101"/>
      <x:c r="AC101" s="101"/>
      <x:c r="AD101" s="101"/>
      <x:c r="AE101" s="101"/>
    </x:row>
    <x:row r="102" ht="24" customHeight="1">
      <x:c r="A102" s="89" t="str">
        <x:f>IF('Pallet Plan'!C11=0,"","PALLET " &amp; ROWS('Pallet Plan'!$A$3:A11) &amp; " OF " &amp; COUNTIF('Pallet Plan'!$C$3:$C$14,"&gt;0"))</x:f>
      </x:c>
      <x:c r="B102" s="81"/>
      <x:c r="C102" s="81"/>
      <x:c r="D102" s="81"/>
      <x:c r="E102" s="81"/>
      <x:c r="F102" s="81"/>
      <x:c r="G102" s="81"/>
      <x:c r="H102" s="8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  <x:c r="AA102" s="101"/>
      <x:c r="AB102" s="101"/>
      <x:c r="AC102" s="101"/>
      <x:c r="AD102" s="101"/>
      <x:c r="AE102" s="101"/>
    </x:row>
    <x:row r="103" ht="24" customHeight="1">
      <x:c r="A103" s="81" t="str">
        <x:f>IF('Pallet Plan'!C11=0,"","CURTAINS: " &amp; 'Pallet Plan'!B11)</x:f>
      </x:c>
      <x:c r="B103" s="81"/>
      <x:c r="C103" s="81"/>
      <x:c r="D103" s="81"/>
      <x:c r="E103" s="81"/>
      <x:c r="F103" s="81"/>
      <x:c r="G103" s="81"/>
      <x:c r="H103" s="8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  <x:c r="AA103" s="101"/>
      <x:c r="AB103" s="101"/>
      <x:c r="AC103" s="101"/>
      <x:c r="AD103" s="101"/>
      <x:c r="AE103" s="101"/>
    </x:row>
    <x:row r="104" ht="24" customHeight="1">
      <x:c r="A104" s="81" t="str">
        <x:f>IF('Pallet Plan'!C11=0,"","CONTENTS: " &amp; 'Pallet Plan'!L11)</x:f>
      </x:c>
      <x:c r="B104" s="81"/>
      <x:c r="C104" s="81"/>
      <x:c r="D104" s="81"/>
      <x:c r="E104" s="81"/>
      <x:c r="F104" s="81"/>
      <x:c r="G104" s="81"/>
      <x:c r="H104" s="8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  <x:c r="AA104" s="101"/>
      <x:c r="AB104" s="101"/>
      <x:c r="AC104" s="101"/>
      <x:c r="AD104" s="101"/>
      <x:c r="AE104" s="101"/>
    </x:row>
    <x:row r="105" ht="24" customHeight="1">
      <x:c r="A105" s="81" t="str">
        <x:f>IF('Pallet Plan'!C11=0,"","APPROX GROSS WEIGHT: " &amp; ROUND('Pallet Plan'!G11,0) &amp; " kg")</x:f>
      </x:c>
      <x:c r="B105" s="81"/>
      <x:c r="C105" s="81"/>
      <x:c r="D105" s="81"/>
      <x:c r="E105" s="81"/>
      <x:c r="F105" s="81"/>
      <x:c r="G105" s="81"/>
      <x:c r="H105" s="8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  <x:c r="AA105" s="101"/>
      <x:c r="AB105" s="101"/>
      <x:c r="AC105" s="101"/>
      <x:c r="AD105" s="101"/>
      <x:c r="AE105" s="101"/>
    </x:row>
    <x:row r="106" ht="24" customHeight="1">
      <x:c r="A106" s="81" t="str">
        <x:f>IF('Pallet Plan'!C11=0,"","APPROX DIMENSIONS: " &amp; 'Pallet Plan'!I11 &amp; " x " &amp; 'Pallet Plan'!J11 &amp; " x " &amp; 'Pallet Plan'!K11 &amp; " mm")</x:f>
      </x:c>
      <x:c r="B106" s="81"/>
      <x:c r="C106" s="81"/>
      <x:c r="D106" s="81"/>
      <x:c r="E106" s="81"/>
      <x:c r="F106" s="81"/>
      <x:c r="G106" s="81"/>
      <x:c r="H106" s="8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  <x:c r="AA106" s="101"/>
      <x:c r="AB106" s="101"/>
      <x:c r="AC106" s="101"/>
      <x:c r="AD106" s="101"/>
      <x:c r="AE106" s="101"/>
    </x:row>
    <x:row r="107" ht="24" customHeight="1">
      <x:c r="A107" s="93" t="str">
        <x:f>IF('Pallet Plan'!C11=0,"","KEEP DRY | LONG STEEL SECTIONS | HANDLE WITH CARE | DO NOT STACK")</x:f>
      </x:c>
      <x:c r="B107" s="81"/>
      <x:c r="C107" s="81"/>
      <x:c r="D107" s="81"/>
      <x:c r="E107" s="81"/>
      <x:c r="F107" s="81"/>
      <x:c r="G107" s="81"/>
      <x:c r="H107" s="8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  <x:c r="AA107" s="101"/>
      <x:c r="AB107" s="101"/>
      <x:c r="AC107" s="101"/>
      <x:c r="AD107" s="101"/>
      <x:c r="AE107" s="101"/>
    </x:row>
    <x:row r="108" ht="24" customHeight="1">
      <x:c r="A108" s="81" t="str">
        <x:f>IF('Pallet Plan'!C11=0,"","Collection/Delivery address: " &amp; 'START HERE'!B11)</x:f>
      </x:c>
      <x:c r="B108" s="81"/>
      <x:c r="C108" s="81"/>
      <x:c r="D108" s="81"/>
      <x:c r="E108" s="81"/>
      <x:c r="F108" s="81"/>
      <x:c r="G108" s="81"/>
      <x:c r="H108" s="8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  <x:c r="AA108" s="101"/>
      <x:c r="AB108" s="101"/>
      <x:c r="AC108" s="101"/>
      <x:c r="AD108" s="101"/>
      <x:c r="AE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  <x:c r="AA109" s="101"/>
      <x:c r="AB109" s="101"/>
      <x:c r="AC109" s="101"/>
      <x:c r="AD109" s="101"/>
      <x:c r="AE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  <x:c r="AA110" s="101"/>
      <x:c r="AB110" s="101"/>
      <x:c r="AC110" s="101"/>
      <x:c r="AD110" s="101"/>
      <x:c r="AE110" s="101"/>
    </x:row>
    <x:row r="111" ht="24" customHeight="1">
      <x:c r="A111" s="85" t="str">
        <x:f>IF('Pallet Plan'!C12=0,"","INSIGHT FIRE SOLUTIONS LTD")</x:f>
      </x:c>
      <x:c r="B111" s="81"/>
      <x:c r="C111" s="81"/>
      <x:c r="D111" s="81"/>
      <x:c r="E111" s="81"/>
      <x:c r="F111" s="81"/>
      <x:c r="G111" s="81"/>
      <x:c r="H111" s="8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  <x:c r="AA111" s="101"/>
      <x:c r="AB111" s="101"/>
      <x:c r="AC111" s="101"/>
      <x:c r="AD111" s="101"/>
      <x:c r="AE111" s="101"/>
    </x:row>
    <x:row r="112" ht="24" customHeight="1">
      <x:c r="A112" s="81" t="str">
        <x:f>IF('Pallet Plan'!C12=0,"",'START HERE'!B5 &amp; " - " &amp; 'START HERE'!B7)</x:f>
      </x:c>
      <x:c r="B112" s="81"/>
      <x:c r="C112" s="81"/>
      <x:c r="D112" s="81"/>
      <x:c r="E112" s="81"/>
      <x:c r="F112" s="81"/>
      <x:c r="G112" s="81"/>
      <x:c r="H112" s="8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  <x:c r="AA112" s="101"/>
      <x:c r="AB112" s="101"/>
      <x:c r="AC112" s="101"/>
      <x:c r="AD112" s="101"/>
      <x:c r="AE112" s="101"/>
    </x:row>
    <x:row r="113" ht="24" customHeight="1">
      <x:c r="A113" s="81" t="str">
        <x:f>IF('Pallet Plan'!C12=0,"","ORDER REF: " &amp; 'START HERE'!B8 &amp; "     PROJECT: " &amp; 'START HERE'!B6)</x:f>
      </x:c>
      <x:c r="B113" s="81"/>
      <x:c r="C113" s="81"/>
      <x:c r="D113" s="81"/>
      <x:c r="E113" s="81"/>
      <x:c r="F113" s="81"/>
      <x:c r="G113" s="81"/>
      <x:c r="H113" s="8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  <x:c r="AA113" s="101"/>
      <x:c r="AB113" s="101"/>
      <x:c r="AC113" s="101"/>
      <x:c r="AD113" s="101"/>
      <x:c r="AE113" s="101"/>
    </x:row>
    <x:row r="114" ht="24" customHeight="1">
      <x:c r="A114" s="89" t="str">
        <x:f>IF('Pallet Plan'!C12=0,"","PALLET " &amp; ROWS('Pallet Plan'!$A$3:A12) &amp; " OF " &amp; COUNTIF('Pallet Plan'!$C$3:$C$14,"&gt;0"))</x:f>
      </x:c>
      <x:c r="B114" s="81"/>
      <x:c r="C114" s="81"/>
      <x:c r="D114" s="81"/>
      <x:c r="E114" s="81"/>
      <x:c r="F114" s="81"/>
      <x:c r="G114" s="81"/>
      <x:c r="H114" s="8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  <x:c r="AA114" s="101"/>
      <x:c r="AB114" s="101"/>
      <x:c r="AC114" s="101"/>
      <x:c r="AD114" s="101"/>
      <x:c r="AE114" s="101"/>
    </x:row>
    <x:row r="115" ht="24" customHeight="1">
      <x:c r="A115" s="81" t="str">
        <x:f>IF('Pallet Plan'!C12=0,"","CURTAINS: " &amp; 'Pallet Plan'!B12)</x:f>
      </x:c>
      <x:c r="B115" s="81"/>
      <x:c r="C115" s="81"/>
      <x:c r="D115" s="81"/>
      <x:c r="E115" s="81"/>
      <x:c r="F115" s="81"/>
      <x:c r="G115" s="81"/>
      <x:c r="H115" s="8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  <x:c r="AA115" s="101"/>
      <x:c r="AB115" s="101"/>
      <x:c r="AC115" s="101"/>
      <x:c r="AD115" s="101"/>
      <x:c r="AE115" s="101"/>
    </x:row>
    <x:row r="116" ht="24" customHeight="1">
      <x:c r="A116" s="81" t="str">
        <x:f>IF('Pallet Plan'!C12=0,"","CONTENTS: " &amp; 'Pallet Plan'!L12)</x:f>
      </x:c>
      <x:c r="B116" s="81"/>
      <x:c r="C116" s="81"/>
      <x:c r="D116" s="81"/>
      <x:c r="E116" s="81"/>
      <x:c r="F116" s="81"/>
      <x:c r="G116" s="81"/>
      <x:c r="H116" s="8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  <x:c r="AA116" s="101"/>
      <x:c r="AB116" s="101"/>
      <x:c r="AC116" s="101"/>
      <x:c r="AD116" s="101"/>
      <x:c r="AE116" s="101"/>
    </x:row>
    <x:row r="117" ht="24" customHeight="1">
      <x:c r="A117" s="81" t="str">
        <x:f>IF('Pallet Plan'!C12=0,"","APPROX GROSS WEIGHT: " &amp; ROUND('Pallet Plan'!G12,0) &amp; " kg")</x:f>
      </x:c>
      <x:c r="B117" s="81"/>
      <x:c r="C117" s="81"/>
      <x:c r="D117" s="81"/>
      <x:c r="E117" s="81"/>
      <x:c r="F117" s="81"/>
      <x:c r="G117" s="81"/>
      <x:c r="H117" s="8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  <x:c r="AA117" s="101"/>
      <x:c r="AB117" s="101"/>
      <x:c r="AC117" s="101"/>
      <x:c r="AD117" s="101"/>
      <x:c r="AE117" s="101"/>
    </x:row>
    <x:row r="118" ht="24" customHeight="1">
      <x:c r="A118" s="81" t="str">
        <x:f>IF('Pallet Plan'!C12=0,"","APPROX DIMENSIONS: " &amp; 'Pallet Plan'!I12 &amp; " x " &amp; 'Pallet Plan'!J12 &amp; " x " &amp; 'Pallet Plan'!K12 &amp; " mm")</x:f>
      </x:c>
      <x:c r="B118" s="81"/>
      <x:c r="C118" s="81"/>
      <x:c r="D118" s="81"/>
      <x:c r="E118" s="81"/>
      <x:c r="F118" s="81"/>
      <x:c r="G118" s="81"/>
      <x:c r="H118" s="8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  <x:c r="AA118" s="101"/>
      <x:c r="AB118" s="101"/>
      <x:c r="AC118" s="101"/>
      <x:c r="AD118" s="101"/>
      <x:c r="AE118" s="101"/>
    </x:row>
    <x:row r="119" ht="24" customHeight="1">
      <x:c r="A119" s="93" t="str">
        <x:f>IF('Pallet Plan'!C12=0,"","KEEP DRY | LONG STEEL SECTIONS | HANDLE WITH CARE | DO NOT STACK")</x:f>
      </x:c>
      <x:c r="B119" s="81"/>
      <x:c r="C119" s="81"/>
      <x:c r="D119" s="81"/>
      <x:c r="E119" s="81"/>
      <x:c r="F119" s="81"/>
      <x:c r="G119" s="81"/>
      <x:c r="H119" s="8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  <x:c r="AA119" s="101"/>
      <x:c r="AB119" s="101"/>
      <x:c r="AC119" s="101"/>
      <x:c r="AD119" s="101"/>
      <x:c r="AE119" s="101"/>
    </x:row>
    <x:row r="120" ht="24" customHeight="1">
      <x:c r="A120" s="81" t="str">
        <x:f>IF('Pallet Plan'!C12=0,"","Collection/Delivery address: " &amp; 'START HERE'!B11)</x:f>
      </x:c>
      <x:c r="B120" s="81"/>
      <x:c r="C120" s="81"/>
      <x:c r="D120" s="81"/>
      <x:c r="E120" s="81"/>
      <x:c r="F120" s="81"/>
      <x:c r="G120" s="81"/>
      <x:c r="H120" s="8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  <x:c r="AA120" s="101"/>
      <x:c r="AB120" s="101"/>
      <x:c r="AC120" s="101"/>
      <x:c r="AD120" s="101"/>
      <x:c r="AE120" s="101"/>
    </x:row>
    <x:row r="121">
      <x:c r="A121" s="101"/>
      <x:c r="B121" s="101"/>
      <x:c r="C121" s="101"/>
      <x:c r="D121" s="101"/>
      <x:c r="E121" s="101"/>
      <x:c r="F121" s="101"/>
      <x:c r="G121" s="101"/>
      <x:c r="H121" s="101"/>
      <x:c r="I121" s="101"/>
      <x:c r="J121" s="101"/>
      <x:c r="K121" s="101"/>
      <x:c r="L121" s="101"/>
      <x:c r="M121" s="101"/>
      <x:c r="N121" s="101"/>
      <x:c r="O121" s="101"/>
      <x:c r="P121" s="101"/>
      <x:c r="Q121" s="101"/>
      <x:c r="R121" s="101"/>
      <x:c r="S121" s="101"/>
      <x:c r="T121" s="101"/>
      <x:c r="U121" s="101"/>
      <x:c r="V121" s="101"/>
      <x:c r="W121" s="101"/>
      <x:c r="X121" s="101"/>
      <x:c r="Y121" s="101"/>
      <x:c r="Z121" s="101"/>
      <x:c r="AA121" s="101"/>
      <x:c r="AB121" s="101"/>
      <x:c r="AC121" s="101"/>
      <x:c r="AD121" s="101"/>
      <x:c r="AE121" s="101"/>
    </x:row>
    <x:row r="122">
      <x:c r="A122" s="101"/>
      <x:c r="B122" s="101"/>
      <x:c r="C122" s="101"/>
      <x:c r="D122" s="101"/>
      <x:c r="E122" s="101"/>
      <x:c r="F122" s="101"/>
      <x:c r="G122" s="101"/>
      <x:c r="H122" s="101"/>
      <x:c r="I122" s="101"/>
      <x:c r="J122" s="101"/>
      <x:c r="K122" s="101"/>
      <x:c r="L122" s="101"/>
      <x:c r="M122" s="101"/>
      <x:c r="N122" s="101"/>
      <x:c r="O122" s="101"/>
      <x:c r="P122" s="101"/>
      <x:c r="Q122" s="101"/>
      <x:c r="R122" s="101"/>
      <x:c r="S122" s="101"/>
      <x:c r="T122" s="101"/>
      <x:c r="U122" s="101"/>
      <x:c r="V122" s="101"/>
      <x:c r="W122" s="101"/>
      <x:c r="X122" s="101"/>
      <x:c r="Y122" s="101"/>
      <x:c r="Z122" s="101"/>
      <x:c r="AA122" s="101"/>
      <x:c r="AB122" s="101"/>
      <x:c r="AC122" s="101"/>
      <x:c r="AD122" s="101"/>
      <x:c r="AE122" s="101"/>
    </x:row>
    <x:row r="123" ht="24" customHeight="1">
      <x:c r="A123" s="85" t="str">
        <x:f>IF('Pallet Plan'!C13=0,"","INSIGHT FIRE SOLUTIONS LTD")</x:f>
      </x:c>
      <x:c r="B123" s="81"/>
      <x:c r="C123" s="81"/>
      <x:c r="D123" s="81"/>
      <x:c r="E123" s="81"/>
      <x:c r="F123" s="81"/>
      <x:c r="G123" s="81"/>
      <x:c r="H123" s="81"/>
      <x:c r="I123" s="101"/>
      <x:c r="J123" s="101"/>
      <x:c r="K123" s="101"/>
      <x:c r="L123" s="101"/>
      <x:c r="M123" s="101"/>
      <x:c r="N123" s="101"/>
      <x:c r="O123" s="101"/>
      <x:c r="P123" s="101"/>
      <x:c r="Q123" s="101"/>
      <x:c r="R123" s="101"/>
      <x:c r="S123" s="101"/>
      <x:c r="T123" s="101"/>
      <x:c r="U123" s="101"/>
      <x:c r="V123" s="101"/>
      <x:c r="W123" s="101"/>
      <x:c r="X123" s="101"/>
      <x:c r="Y123" s="101"/>
      <x:c r="Z123" s="101"/>
      <x:c r="AA123" s="101"/>
      <x:c r="AB123" s="101"/>
      <x:c r="AC123" s="101"/>
      <x:c r="AD123" s="101"/>
      <x:c r="AE123" s="101"/>
    </x:row>
    <x:row r="124" ht="24" customHeight="1">
      <x:c r="A124" s="81" t="str">
        <x:f>IF('Pallet Plan'!C13=0,"",'START HERE'!B5 &amp; " - " &amp; 'START HERE'!B7)</x:f>
      </x:c>
      <x:c r="B124" s="81"/>
      <x:c r="C124" s="81"/>
      <x:c r="D124" s="81"/>
      <x:c r="E124" s="81"/>
      <x:c r="F124" s="81"/>
      <x:c r="G124" s="81"/>
      <x:c r="H124" s="81"/>
      <x:c r="I124" s="101"/>
      <x:c r="J124" s="101"/>
      <x:c r="K124" s="101"/>
      <x:c r="L124" s="101"/>
      <x:c r="M124" s="101"/>
      <x:c r="N124" s="101"/>
      <x:c r="O124" s="101"/>
      <x:c r="P124" s="101"/>
      <x:c r="Q124" s="101"/>
      <x:c r="R124" s="101"/>
      <x:c r="S124" s="101"/>
      <x:c r="T124" s="101"/>
      <x:c r="U124" s="101"/>
      <x:c r="V124" s="101"/>
      <x:c r="W124" s="101"/>
      <x:c r="X124" s="101"/>
      <x:c r="Y124" s="101"/>
      <x:c r="Z124" s="101"/>
      <x:c r="AA124" s="101"/>
      <x:c r="AB124" s="101"/>
      <x:c r="AC124" s="101"/>
      <x:c r="AD124" s="101"/>
      <x:c r="AE124" s="101"/>
    </x:row>
    <x:row r="125" ht="24" customHeight="1">
      <x:c r="A125" s="81" t="str">
        <x:f>IF('Pallet Plan'!C13=0,"","ORDER REF: " &amp; 'START HERE'!B8 &amp; "     PROJECT: " &amp; 'START HERE'!B6)</x:f>
      </x:c>
      <x:c r="B125" s="81"/>
      <x:c r="C125" s="81"/>
      <x:c r="D125" s="81"/>
      <x:c r="E125" s="81"/>
      <x:c r="F125" s="81"/>
      <x:c r="G125" s="81"/>
      <x:c r="H125" s="81"/>
      <x:c r="I125" s="101"/>
      <x:c r="J125" s="101"/>
      <x:c r="K125" s="101"/>
      <x:c r="L125" s="101"/>
      <x:c r="M125" s="101"/>
      <x:c r="N125" s="101"/>
      <x:c r="O125" s="101"/>
      <x:c r="P125" s="101"/>
      <x:c r="Q125" s="101"/>
      <x:c r="R125" s="101"/>
      <x:c r="S125" s="101"/>
      <x:c r="T125" s="101"/>
      <x:c r="U125" s="101"/>
      <x:c r="V125" s="101"/>
      <x:c r="W125" s="101"/>
      <x:c r="X125" s="101"/>
      <x:c r="Y125" s="101"/>
      <x:c r="Z125" s="101"/>
      <x:c r="AA125" s="101"/>
      <x:c r="AB125" s="101"/>
      <x:c r="AC125" s="101"/>
      <x:c r="AD125" s="101"/>
      <x:c r="AE125" s="101"/>
    </x:row>
    <x:row r="126" ht="24" customHeight="1">
      <x:c r="A126" s="89" t="str">
        <x:f>IF('Pallet Plan'!C13=0,"","PALLET " &amp; ROWS('Pallet Plan'!$A$3:A13) &amp; " OF " &amp; COUNTIF('Pallet Plan'!$C$3:$C$14,"&gt;0"))</x:f>
      </x:c>
      <x:c r="B126" s="81"/>
      <x:c r="C126" s="81"/>
      <x:c r="D126" s="81"/>
      <x:c r="E126" s="81"/>
      <x:c r="F126" s="81"/>
      <x:c r="G126" s="81"/>
      <x:c r="H126" s="81"/>
      <x:c r="I126" s="101"/>
      <x:c r="J126" s="101"/>
      <x:c r="K126" s="101"/>
      <x:c r="L126" s="101"/>
      <x:c r="M126" s="101"/>
      <x:c r="N126" s="101"/>
      <x:c r="O126" s="101"/>
      <x:c r="P126" s="101"/>
      <x:c r="Q126" s="101"/>
      <x:c r="R126" s="101"/>
      <x:c r="S126" s="101"/>
      <x:c r="T126" s="101"/>
      <x:c r="U126" s="101"/>
      <x:c r="V126" s="101"/>
      <x:c r="W126" s="101"/>
      <x:c r="X126" s="101"/>
      <x:c r="Y126" s="101"/>
      <x:c r="Z126" s="101"/>
      <x:c r="AA126" s="101"/>
      <x:c r="AB126" s="101"/>
      <x:c r="AC126" s="101"/>
      <x:c r="AD126" s="101"/>
      <x:c r="AE126" s="101"/>
    </x:row>
    <x:row r="127" ht="24" customHeight="1">
      <x:c r="A127" s="81" t="str">
        <x:f>IF('Pallet Plan'!C13=0,"","CURTAINS: " &amp; 'Pallet Plan'!B13)</x:f>
      </x:c>
      <x:c r="B127" s="81"/>
      <x:c r="C127" s="81"/>
      <x:c r="D127" s="81"/>
      <x:c r="E127" s="81"/>
      <x:c r="F127" s="81"/>
      <x:c r="G127" s="81"/>
      <x:c r="H127" s="81"/>
      <x:c r="I127" s="101"/>
      <x:c r="J127" s="101"/>
      <x:c r="K127" s="101"/>
      <x:c r="L127" s="101"/>
      <x:c r="M127" s="101"/>
      <x:c r="N127" s="101"/>
      <x:c r="O127" s="101"/>
      <x:c r="P127" s="101"/>
      <x:c r="Q127" s="101"/>
      <x:c r="R127" s="101"/>
      <x:c r="S127" s="101"/>
      <x:c r="T127" s="101"/>
      <x:c r="U127" s="101"/>
      <x:c r="V127" s="101"/>
      <x:c r="W127" s="101"/>
      <x:c r="X127" s="101"/>
      <x:c r="Y127" s="101"/>
      <x:c r="Z127" s="101"/>
      <x:c r="AA127" s="101"/>
      <x:c r="AB127" s="101"/>
      <x:c r="AC127" s="101"/>
      <x:c r="AD127" s="101"/>
      <x:c r="AE127" s="101"/>
    </x:row>
    <x:row r="128" ht="24" customHeight="1">
      <x:c r="A128" s="81" t="str">
        <x:f>IF('Pallet Plan'!C13=0,"","CONTENTS: " &amp; 'Pallet Plan'!L13)</x:f>
      </x:c>
      <x:c r="B128" s="81"/>
      <x:c r="C128" s="81"/>
      <x:c r="D128" s="81"/>
      <x:c r="E128" s="81"/>
      <x:c r="F128" s="81"/>
      <x:c r="G128" s="81"/>
      <x:c r="H128" s="81"/>
      <x:c r="I128" s="101"/>
      <x:c r="J128" s="101"/>
      <x:c r="K128" s="101"/>
      <x:c r="L128" s="101"/>
      <x:c r="M128" s="101"/>
      <x:c r="N128" s="101"/>
      <x:c r="O128" s="101"/>
      <x:c r="P128" s="101"/>
      <x:c r="Q128" s="101"/>
      <x:c r="R128" s="101"/>
      <x:c r="S128" s="101"/>
      <x:c r="T128" s="101"/>
      <x:c r="U128" s="101"/>
      <x:c r="V128" s="101"/>
      <x:c r="W128" s="101"/>
      <x:c r="X128" s="101"/>
      <x:c r="Y128" s="101"/>
      <x:c r="Z128" s="101"/>
      <x:c r="AA128" s="101"/>
      <x:c r="AB128" s="101"/>
      <x:c r="AC128" s="101"/>
      <x:c r="AD128" s="101"/>
      <x:c r="AE128" s="101"/>
    </x:row>
    <x:row r="129" ht="24" customHeight="1">
      <x:c r="A129" s="81" t="str">
        <x:f>IF('Pallet Plan'!C13=0,"","APPROX GROSS WEIGHT: " &amp; ROUND('Pallet Plan'!G13,0) &amp; " kg")</x:f>
      </x:c>
      <x:c r="B129" s="81"/>
      <x:c r="C129" s="81"/>
      <x:c r="D129" s="81"/>
      <x:c r="E129" s="81"/>
      <x:c r="F129" s="81"/>
      <x:c r="G129" s="81"/>
      <x:c r="H129" s="81"/>
      <x:c r="I129" s="101"/>
      <x:c r="J129" s="101"/>
      <x:c r="K129" s="101"/>
      <x:c r="L129" s="101"/>
      <x:c r="M129" s="101"/>
      <x:c r="N129" s="101"/>
      <x:c r="O129" s="101"/>
      <x:c r="P129" s="101"/>
      <x:c r="Q129" s="101"/>
      <x:c r="R129" s="101"/>
      <x:c r="S129" s="101"/>
      <x:c r="T129" s="101"/>
      <x:c r="U129" s="101"/>
      <x:c r="V129" s="101"/>
      <x:c r="W129" s="101"/>
      <x:c r="X129" s="101"/>
      <x:c r="Y129" s="101"/>
      <x:c r="Z129" s="101"/>
      <x:c r="AA129" s="101"/>
      <x:c r="AB129" s="101"/>
      <x:c r="AC129" s="101"/>
      <x:c r="AD129" s="101"/>
      <x:c r="AE129" s="101"/>
    </x:row>
    <x:row r="130" ht="24" customHeight="1">
      <x:c r="A130" s="81" t="str">
        <x:f>IF('Pallet Plan'!C13=0,"","APPROX DIMENSIONS: " &amp; 'Pallet Plan'!I13 &amp; " x " &amp; 'Pallet Plan'!J13 &amp; " x " &amp; 'Pallet Plan'!K13 &amp; " mm")</x:f>
      </x:c>
      <x:c r="B130" s="81"/>
      <x:c r="C130" s="81"/>
      <x:c r="D130" s="81"/>
      <x:c r="E130" s="81"/>
      <x:c r="F130" s="81"/>
      <x:c r="G130" s="81"/>
      <x:c r="H130" s="81"/>
      <x:c r="I130" s="101"/>
      <x:c r="J130" s="101"/>
      <x:c r="K130" s="101"/>
      <x:c r="L130" s="101"/>
      <x:c r="M130" s="101"/>
      <x:c r="N130" s="101"/>
      <x:c r="O130" s="101"/>
      <x:c r="P130" s="101"/>
      <x:c r="Q130" s="101"/>
      <x:c r="R130" s="101"/>
      <x:c r="S130" s="101"/>
      <x:c r="T130" s="101"/>
      <x:c r="U130" s="101"/>
      <x:c r="V130" s="101"/>
      <x:c r="W130" s="101"/>
      <x:c r="X130" s="101"/>
      <x:c r="Y130" s="101"/>
      <x:c r="Z130" s="101"/>
      <x:c r="AA130" s="101"/>
      <x:c r="AB130" s="101"/>
      <x:c r="AC130" s="101"/>
      <x:c r="AD130" s="101"/>
      <x:c r="AE130" s="101"/>
    </x:row>
    <x:row r="131" ht="24" customHeight="1">
      <x:c r="A131" s="93" t="str">
        <x:f>IF('Pallet Plan'!C13=0,"","KEEP DRY | LONG STEEL SECTIONS | HANDLE WITH CARE | DO NOT STACK")</x:f>
      </x:c>
      <x:c r="B131" s="81"/>
      <x:c r="C131" s="81"/>
      <x:c r="D131" s="81"/>
      <x:c r="E131" s="81"/>
      <x:c r="F131" s="81"/>
      <x:c r="G131" s="81"/>
      <x:c r="H131" s="81"/>
      <x:c r="I131" s="101"/>
      <x:c r="J131" s="101"/>
      <x:c r="K131" s="101"/>
      <x:c r="L131" s="101"/>
      <x:c r="M131" s="101"/>
      <x:c r="N131" s="101"/>
      <x:c r="O131" s="101"/>
      <x:c r="P131" s="101"/>
      <x:c r="Q131" s="101"/>
      <x:c r="R131" s="101"/>
      <x:c r="S131" s="101"/>
      <x:c r="T131" s="101"/>
      <x:c r="U131" s="101"/>
      <x:c r="V131" s="101"/>
      <x:c r="W131" s="101"/>
      <x:c r="X131" s="101"/>
      <x:c r="Y131" s="101"/>
      <x:c r="Z131" s="101"/>
      <x:c r="AA131" s="101"/>
      <x:c r="AB131" s="101"/>
      <x:c r="AC131" s="101"/>
      <x:c r="AD131" s="101"/>
      <x:c r="AE131" s="101"/>
    </x:row>
    <x:row r="132" ht="24" customHeight="1">
      <x:c r="A132" s="81" t="str">
        <x:f>IF('Pallet Plan'!C13=0,"","Collection/Delivery address: " &amp; 'START HERE'!B11)</x:f>
      </x:c>
      <x:c r="B132" s="81"/>
      <x:c r="C132" s="81"/>
      <x:c r="D132" s="81"/>
      <x:c r="E132" s="81"/>
      <x:c r="F132" s="81"/>
      <x:c r="G132" s="81"/>
      <x:c r="H132" s="81"/>
      <x:c r="I132" s="101"/>
      <x:c r="J132" s="101"/>
      <x:c r="K132" s="101"/>
      <x:c r="L132" s="101"/>
      <x:c r="M132" s="101"/>
      <x:c r="N132" s="101"/>
      <x:c r="O132" s="101"/>
      <x:c r="P132" s="101"/>
      <x:c r="Q132" s="101"/>
      <x:c r="R132" s="101"/>
      <x:c r="S132" s="101"/>
      <x:c r="T132" s="101"/>
      <x:c r="U132" s="101"/>
      <x:c r="V132" s="101"/>
      <x:c r="W132" s="101"/>
      <x:c r="X132" s="101"/>
      <x:c r="Y132" s="101"/>
      <x:c r="Z132" s="101"/>
      <x:c r="AA132" s="101"/>
      <x:c r="AB132" s="101"/>
      <x:c r="AC132" s="101"/>
      <x:c r="AD132" s="101"/>
      <x:c r="AE132" s="101"/>
    </x:row>
    <x:row r="133">
      <x:c r="A133" s="101"/>
      <x:c r="B133" s="101"/>
      <x:c r="C133" s="101"/>
      <x:c r="D133" s="101"/>
      <x:c r="E133" s="101"/>
      <x:c r="F133" s="101"/>
      <x:c r="G133" s="101"/>
      <x:c r="H133" s="101"/>
      <x:c r="I133" s="101"/>
      <x:c r="J133" s="101"/>
      <x:c r="K133" s="101"/>
      <x:c r="L133" s="101"/>
      <x:c r="M133" s="101"/>
      <x:c r="N133" s="101"/>
      <x:c r="O133" s="101"/>
      <x:c r="P133" s="101"/>
      <x:c r="Q133" s="101"/>
      <x:c r="R133" s="101"/>
      <x:c r="S133" s="101"/>
      <x:c r="T133" s="101"/>
      <x:c r="U133" s="101"/>
      <x:c r="V133" s="101"/>
      <x:c r="W133" s="101"/>
      <x:c r="X133" s="101"/>
      <x:c r="Y133" s="101"/>
      <x:c r="Z133" s="101"/>
      <x:c r="AA133" s="101"/>
      <x:c r="AB133" s="101"/>
      <x:c r="AC133" s="101"/>
      <x:c r="AD133" s="101"/>
      <x:c r="AE133" s="101"/>
    </x:row>
    <x:row r="134">
      <x:c r="A134" s="101"/>
      <x:c r="B134" s="101"/>
      <x:c r="C134" s="101"/>
      <x:c r="D134" s="101"/>
      <x:c r="E134" s="101"/>
      <x:c r="F134" s="101"/>
      <x:c r="G134" s="101"/>
      <x:c r="H134" s="101"/>
      <x:c r="I134" s="101"/>
      <x:c r="J134" s="101"/>
      <x:c r="K134" s="101"/>
      <x:c r="L134" s="101"/>
      <x:c r="M134" s="101"/>
      <x:c r="N134" s="101"/>
      <x:c r="O134" s="101"/>
      <x:c r="P134" s="101"/>
      <x:c r="Q134" s="101"/>
      <x:c r="R134" s="101"/>
      <x:c r="S134" s="101"/>
      <x:c r="T134" s="101"/>
      <x:c r="U134" s="101"/>
      <x:c r="V134" s="101"/>
      <x:c r="W134" s="101"/>
      <x:c r="X134" s="101"/>
      <x:c r="Y134" s="101"/>
      <x:c r="Z134" s="101"/>
      <x:c r="AA134" s="101"/>
      <x:c r="AB134" s="101"/>
      <x:c r="AC134" s="101"/>
      <x:c r="AD134" s="101"/>
      <x:c r="AE134" s="101"/>
    </x:row>
    <x:row r="135" ht="24" customHeight="1">
      <x:c r="A135" s="85" t="str">
        <x:f>IF('Pallet Plan'!C14=0,"","INSIGHT FIRE SOLUTIONS LTD")</x:f>
      </x:c>
      <x:c r="B135" s="81"/>
      <x:c r="C135" s="81"/>
      <x:c r="D135" s="81"/>
      <x:c r="E135" s="81"/>
      <x:c r="F135" s="81"/>
      <x:c r="G135" s="81"/>
      <x:c r="H135" s="81"/>
      <x:c r="I135" s="101"/>
      <x:c r="J135" s="101"/>
      <x:c r="K135" s="101"/>
      <x:c r="L135" s="101"/>
      <x:c r="M135" s="101"/>
      <x:c r="N135" s="101"/>
      <x:c r="O135" s="101"/>
      <x:c r="P135" s="101"/>
      <x:c r="Q135" s="101"/>
      <x:c r="R135" s="101"/>
      <x:c r="S135" s="101"/>
      <x:c r="T135" s="101"/>
      <x:c r="U135" s="101"/>
      <x:c r="V135" s="101"/>
      <x:c r="W135" s="101"/>
      <x:c r="X135" s="101"/>
      <x:c r="Y135" s="101"/>
      <x:c r="Z135" s="101"/>
      <x:c r="AA135" s="101"/>
      <x:c r="AB135" s="101"/>
      <x:c r="AC135" s="101"/>
      <x:c r="AD135" s="101"/>
      <x:c r="AE135" s="101"/>
    </x:row>
    <x:row r="136" ht="24" customHeight="1">
      <x:c r="A136" s="81" t="str">
        <x:f>IF('Pallet Plan'!C14=0,"",'START HERE'!B5 &amp; " - " &amp; 'START HERE'!B7)</x:f>
      </x:c>
      <x:c r="B136" s="81"/>
      <x:c r="C136" s="81"/>
      <x:c r="D136" s="81"/>
      <x:c r="E136" s="81"/>
      <x:c r="F136" s="81"/>
      <x:c r="G136" s="81"/>
      <x:c r="H136" s="81"/>
      <x:c r="I136" s="101"/>
      <x:c r="J136" s="101"/>
      <x:c r="K136" s="101"/>
      <x:c r="L136" s="101"/>
      <x:c r="M136" s="101"/>
      <x:c r="N136" s="101"/>
      <x:c r="O136" s="101"/>
      <x:c r="P136" s="101"/>
      <x:c r="Q136" s="101"/>
      <x:c r="R136" s="101"/>
      <x:c r="S136" s="101"/>
      <x:c r="T136" s="101"/>
      <x:c r="U136" s="101"/>
      <x:c r="V136" s="101"/>
      <x:c r="W136" s="101"/>
      <x:c r="X136" s="101"/>
      <x:c r="Y136" s="101"/>
      <x:c r="Z136" s="101"/>
      <x:c r="AA136" s="101"/>
      <x:c r="AB136" s="101"/>
      <x:c r="AC136" s="101"/>
      <x:c r="AD136" s="101"/>
      <x:c r="AE136" s="101"/>
    </x:row>
    <x:row r="137" ht="24" customHeight="1">
      <x:c r="A137" s="81" t="str">
        <x:f>IF('Pallet Plan'!C14=0,"","ORDER REF: " &amp; 'START HERE'!B8 &amp; "     PROJECT: " &amp; 'START HERE'!B6)</x:f>
      </x:c>
      <x:c r="B137" s="81"/>
      <x:c r="C137" s="81"/>
      <x:c r="D137" s="81"/>
      <x:c r="E137" s="81"/>
      <x:c r="F137" s="81"/>
      <x:c r="G137" s="81"/>
      <x:c r="H137" s="81"/>
      <x:c r="I137" s="101"/>
      <x:c r="J137" s="101"/>
      <x:c r="K137" s="101"/>
      <x:c r="L137" s="101"/>
      <x:c r="M137" s="101"/>
      <x:c r="N137" s="101"/>
      <x:c r="O137" s="101"/>
      <x:c r="P137" s="101"/>
      <x:c r="Q137" s="101"/>
      <x:c r="R137" s="101"/>
      <x:c r="S137" s="101"/>
      <x:c r="T137" s="101"/>
      <x:c r="U137" s="101"/>
      <x:c r="V137" s="101"/>
      <x:c r="W137" s="101"/>
      <x:c r="X137" s="101"/>
      <x:c r="Y137" s="101"/>
      <x:c r="Z137" s="101"/>
      <x:c r="AA137" s="101"/>
      <x:c r="AB137" s="101"/>
      <x:c r="AC137" s="101"/>
      <x:c r="AD137" s="101"/>
      <x:c r="AE137" s="101"/>
    </x:row>
    <x:row r="138" ht="24" customHeight="1">
      <x:c r="A138" s="89" t="str">
        <x:f>IF('Pallet Plan'!C14=0,"","PALLET " &amp; ROWS('Pallet Plan'!$A$3:A14) &amp; " OF " &amp; COUNTIF('Pallet Plan'!$C$3:$C$14,"&gt;0"))</x:f>
      </x:c>
      <x:c r="B138" s="81"/>
      <x:c r="C138" s="81"/>
      <x:c r="D138" s="81"/>
      <x:c r="E138" s="81"/>
      <x:c r="F138" s="81"/>
      <x:c r="G138" s="81"/>
      <x:c r="H138" s="81"/>
      <x:c r="I138" s="101"/>
      <x:c r="J138" s="101"/>
      <x:c r="K138" s="101"/>
      <x:c r="L138" s="101"/>
      <x:c r="M138" s="101"/>
      <x:c r="N138" s="101"/>
      <x:c r="O138" s="101"/>
      <x:c r="P138" s="101"/>
      <x:c r="Q138" s="101"/>
      <x:c r="R138" s="101"/>
      <x:c r="S138" s="101"/>
      <x:c r="T138" s="101"/>
      <x:c r="U138" s="101"/>
      <x:c r="V138" s="101"/>
      <x:c r="W138" s="101"/>
      <x:c r="X138" s="101"/>
      <x:c r="Y138" s="101"/>
      <x:c r="Z138" s="101"/>
      <x:c r="AA138" s="101"/>
      <x:c r="AB138" s="101"/>
      <x:c r="AC138" s="101"/>
      <x:c r="AD138" s="101"/>
      <x:c r="AE138" s="101"/>
    </x:row>
    <x:row r="139" ht="24" customHeight="1">
      <x:c r="A139" s="81" t="str">
        <x:f>IF('Pallet Plan'!C14=0,"","CURTAINS: " &amp; 'Pallet Plan'!B14)</x:f>
      </x:c>
      <x:c r="B139" s="81"/>
      <x:c r="C139" s="81"/>
      <x:c r="D139" s="81"/>
      <x:c r="E139" s="81"/>
      <x:c r="F139" s="81"/>
      <x:c r="G139" s="81"/>
      <x:c r="H139" s="81"/>
      <x:c r="I139" s="101"/>
      <x:c r="J139" s="101"/>
      <x:c r="K139" s="101"/>
      <x:c r="L139" s="101"/>
      <x:c r="M139" s="101"/>
      <x:c r="N139" s="101"/>
      <x:c r="O139" s="101"/>
      <x:c r="P139" s="101"/>
      <x:c r="Q139" s="101"/>
      <x:c r="R139" s="101"/>
      <x:c r="S139" s="101"/>
      <x:c r="T139" s="101"/>
      <x:c r="U139" s="101"/>
      <x:c r="V139" s="101"/>
      <x:c r="W139" s="101"/>
      <x:c r="X139" s="101"/>
      <x:c r="Y139" s="101"/>
      <x:c r="Z139" s="101"/>
      <x:c r="AA139" s="101"/>
      <x:c r="AB139" s="101"/>
      <x:c r="AC139" s="101"/>
      <x:c r="AD139" s="101"/>
      <x:c r="AE139" s="101"/>
    </x:row>
    <x:row r="140" ht="24" customHeight="1">
      <x:c r="A140" s="81" t="str">
        <x:f>IF('Pallet Plan'!C14=0,"","CONTENTS: " &amp; 'Pallet Plan'!L14)</x:f>
      </x:c>
      <x:c r="B140" s="81"/>
      <x:c r="C140" s="81"/>
      <x:c r="D140" s="81"/>
      <x:c r="E140" s="81"/>
      <x:c r="F140" s="81"/>
      <x:c r="G140" s="81"/>
      <x:c r="H140" s="81"/>
      <x:c r="I140" s="101"/>
      <x:c r="J140" s="101"/>
      <x:c r="K140" s="101"/>
      <x:c r="L140" s="101"/>
      <x:c r="M140" s="101"/>
      <x:c r="N140" s="101"/>
      <x:c r="O140" s="101"/>
      <x:c r="P140" s="101"/>
      <x:c r="Q140" s="101"/>
      <x:c r="R140" s="101"/>
      <x:c r="S140" s="101"/>
      <x:c r="T140" s="101"/>
      <x:c r="U140" s="101"/>
      <x:c r="V140" s="101"/>
      <x:c r="W140" s="101"/>
      <x:c r="X140" s="101"/>
      <x:c r="Y140" s="101"/>
      <x:c r="Z140" s="101"/>
      <x:c r="AA140" s="101"/>
      <x:c r="AB140" s="101"/>
      <x:c r="AC140" s="101"/>
      <x:c r="AD140" s="101"/>
      <x:c r="AE140" s="101"/>
    </x:row>
    <x:row r="141" ht="24" customHeight="1">
      <x:c r="A141" s="81" t="str">
        <x:f>IF('Pallet Plan'!C14=0,"","APPROX GROSS WEIGHT: " &amp; ROUND('Pallet Plan'!G14,0) &amp; " kg")</x:f>
      </x:c>
      <x:c r="B141" s="81"/>
      <x:c r="C141" s="81"/>
      <x:c r="D141" s="81"/>
      <x:c r="E141" s="81"/>
      <x:c r="F141" s="81"/>
      <x:c r="G141" s="81"/>
      <x:c r="H141" s="81"/>
      <x:c r="I141" s="101"/>
      <x:c r="J141" s="101"/>
      <x:c r="K141" s="101"/>
      <x:c r="L141" s="101"/>
      <x:c r="M141" s="101"/>
      <x:c r="N141" s="101"/>
      <x:c r="O141" s="101"/>
      <x:c r="P141" s="101"/>
      <x:c r="Q141" s="101"/>
      <x:c r="R141" s="101"/>
      <x:c r="S141" s="101"/>
      <x:c r="T141" s="101"/>
      <x:c r="U141" s="101"/>
      <x:c r="V141" s="101"/>
      <x:c r="W141" s="101"/>
      <x:c r="X141" s="101"/>
      <x:c r="Y141" s="101"/>
      <x:c r="Z141" s="101"/>
      <x:c r="AA141" s="101"/>
      <x:c r="AB141" s="101"/>
      <x:c r="AC141" s="101"/>
      <x:c r="AD141" s="101"/>
      <x:c r="AE141" s="101"/>
    </x:row>
    <x:row r="142" ht="24" customHeight="1">
      <x:c r="A142" s="81" t="str">
        <x:f>IF('Pallet Plan'!C14=0,"","APPROX DIMENSIONS: " &amp; 'Pallet Plan'!I14 &amp; " x " &amp; 'Pallet Plan'!J14 &amp; " x " &amp; 'Pallet Plan'!K14 &amp; " mm")</x:f>
      </x:c>
      <x:c r="B142" s="81"/>
      <x:c r="C142" s="81"/>
      <x:c r="D142" s="81"/>
      <x:c r="E142" s="81"/>
      <x:c r="F142" s="81"/>
      <x:c r="G142" s="81"/>
      <x:c r="H142" s="81"/>
      <x:c r="I142" s="101"/>
      <x:c r="J142" s="101"/>
      <x:c r="K142" s="101"/>
      <x:c r="L142" s="101"/>
      <x:c r="M142" s="101"/>
      <x:c r="N142" s="101"/>
      <x:c r="O142" s="101"/>
      <x:c r="P142" s="101"/>
      <x:c r="Q142" s="101"/>
      <x:c r="R142" s="101"/>
      <x:c r="S142" s="101"/>
      <x:c r="T142" s="101"/>
      <x:c r="U142" s="101"/>
      <x:c r="V142" s="101"/>
      <x:c r="W142" s="101"/>
      <x:c r="X142" s="101"/>
      <x:c r="Y142" s="101"/>
      <x:c r="Z142" s="101"/>
      <x:c r="AA142" s="101"/>
      <x:c r="AB142" s="101"/>
      <x:c r="AC142" s="101"/>
      <x:c r="AD142" s="101"/>
      <x:c r="AE142" s="101"/>
    </x:row>
    <x:row r="143" ht="24" customHeight="1">
      <x:c r="A143" s="93" t="str">
        <x:f>IF('Pallet Plan'!C14=0,"","KEEP DRY | LONG STEEL SECTIONS | HANDLE WITH CARE | DO NOT STACK")</x:f>
      </x:c>
      <x:c r="B143" s="81"/>
      <x:c r="C143" s="81"/>
      <x:c r="D143" s="81"/>
      <x:c r="E143" s="81"/>
      <x:c r="F143" s="81"/>
      <x:c r="G143" s="81"/>
      <x:c r="H143" s="81"/>
      <x:c r="I143" s="101"/>
      <x:c r="J143" s="101"/>
      <x:c r="K143" s="101"/>
      <x:c r="L143" s="101"/>
      <x:c r="M143" s="101"/>
      <x:c r="N143" s="101"/>
      <x:c r="O143" s="101"/>
      <x:c r="P143" s="101"/>
      <x:c r="Q143" s="101"/>
      <x:c r="R143" s="101"/>
      <x:c r="S143" s="101"/>
      <x:c r="T143" s="101"/>
      <x:c r="U143" s="101"/>
      <x:c r="V143" s="101"/>
      <x:c r="W143" s="101"/>
      <x:c r="X143" s="101"/>
      <x:c r="Y143" s="101"/>
      <x:c r="Z143" s="101"/>
      <x:c r="AA143" s="101"/>
      <x:c r="AB143" s="101"/>
      <x:c r="AC143" s="101"/>
      <x:c r="AD143" s="101"/>
      <x:c r="AE143" s="101"/>
    </x:row>
    <x:row r="144" ht="24" customHeight="1">
      <x:c r="A144" s="81" t="str">
        <x:f>IF('Pallet Plan'!C14=0,"","Collection/Delivery address: " &amp; 'START HERE'!B11)</x:f>
      </x:c>
      <x:c r="B144" s="81"/>
      <x:c r="C144" s="81"/>
      <x:c r="D144" s="81"/>
      <x:c r="E144" s="81"/>
      <x:c r="F144" s="81"/>
      <x:c r="G144" s="81"/>
      <x:c r="H144" s="81"/>
      <x:c r="I144" s="101"/>
      <x:c r="J144" s="101"/>
      <x:c r="K144" s="101"/>
      <x:c r="L144" s="101"/>
      <x:c r="M144" s="101"/>
      <x:c r="N144" s="101"/>
      <x:c r="O144" s="101"/>
      <x:c r="P144" s="101"/>
      <x:c r="Q144" s="101"/>
      <x:c r="R144" s="101"/>
      <x:c r="S144" s="101"/>
      <x:c r="T144" s="101"/>
      <x:c r="U144" s="101"/>
      <x:c r="V144" s="101"/>
      <x:c r="W144" s="101"/>
      <x:c r="X144" s="101"/>
      <x:c r="Y144" s="101"/>
      <x:c r="Z144" s="101"/>
      <x:c r="AA144" s="101"/>
      <x:c r="AB144" s="101"/>
      <x:c r="AC144" s="101"/>
      <x:c r="AD144" s="101"/>
      <x:c r="AE144" s="101"/>
    </x:row>
    <x:row r="145">
      <x:c r="A145" s="101"/>
      <x:c r="B145" s="101"/>
      <x:c r="C145" s="101"/>
      <x:c r="D145" s="101"/>
      <x:c r="E145" s="101"/>
      <x:c r="F145" s="101"/>
      <x:c r="G145" s="101"/>
      <x:c r="H145" s="101"/>
      <x:c r="I145" s="101"/>
      <x:c r="J145" s="101"/>
      <x:c r="K145" s="101"/>
      <x:c r="L145" s="101"/>
      <x:c r="M145" s="101"/>
      <x:c r="N145" s="101"/>
      <x:c r="O145" s="101"/>
      <x:c r="P145" s="101"/>
      <x:c r="Q145" s="101"/>
      <x:c r="R145" s="101"/>
      <x:c r="S145" s="101"/>
      <x:c r="T145" s="101"/>
      <x:c r="U145" s="101"/>
      <x:c r="V145" s="101"/>
      <x:c r="W145" s="101"/>
      <x:c r="X145" s="101"/>
      <x:c r="Y145" s="101"/>
      <x:c r="Z145" s="101"/>
      <x:c r="AA145" s="101"/>
      <x:c r="AB145" s="101"/>
      <x:c r="AC145" s="101"/>
      <x:c r="AD145" s="101"/>
      <x:c r="AE145" s="101"/>
    </x:row>
    <x:row r="146">
      <x:c r="A146" s="101"/>
      <x:c r="B146" s="101"/>
      <x:c r="C146" s="101"/>
      <x:c r="D146" s="101"/>
      <x:c r="E146" s="101"/>
      <x:c r="F146" s="101"/>
      <x:c r="G146" s="101"/>
      <x:c r="H146" s="101"/>
      <x:c r="I146" s="101"/>
      <x:c r="J146" s="101"/>
      <x:c r="K146" s="101"/>
      <x:c r="L146" s="101"/>
      <x:c r="M146" s="101"/>
      <x:c r="N146" s="101"/>
      <x:c r="O146" s="101"/>
      <x:c r="P146" s="101"/>
      <x:c r="Q146" s="101"/>
      <x:c r="R146" s="101"/>
      <x:c r="S146" s="101"/>
      <x:c r="T146" s="101"/>
      <x:c r="U146" s="101"/>
      <x:c r="V146" s="101"/>
      <x:c r="W146" s="101"/>
      <x:c r="X146" s="101"/>
      <x:c r="Y146" s="101"/>
      <x:c r="Z146" s="101"/>
      <x:c r="AA146" s="101"/>
      <x:c r="AB146" s="101"/>
      <x:c r="AC146" s="101"/>
      <x:c r="AD146" s="101"/>
      <x:c r="AE146" s="101"/>
    </x:row>
    <x:row r="147">
      <x:c r="A147" s="101"/>
      <x:c r="B147" s="101"/>
      <x:c r="C147" s="101"/>
      <x:c r="D147" s="101"/>
      <x:c r="E147" s="101"/>
      <x:c r="F147" s="101"/>
      <x:c r="G147" s="101"/>
      <x:c r="H147" s="101"/>
      <x:c r="I147" s="101"/>
      <x:c r="J147" s="101"/>
      <x:c r="K147" s="101"/>
      <x:c r="L147" s="101"/>
      <x:c r="M147" s="101"/>
      <x:c r="N147" s="101"/>
      <x:c r="O147" s="101"/>
      <x:c r="P147" s="101"/>
      <x:c r="Q147" s="101"/>
      <x:c r="R147" s="101"/>
      <x:c r="S147" s="101"/>
      <x:c r="T147" s="101"/>
      <x:c r="U147" s="101"/>
      <x:c r="V147" s="101"/>
      <x:c r="W147" s="101"/>
      <x:c r="X147" s="101"/>
      <x:c r="Y147" s="101"/>
      <x:c r="Z147" s="101"/>
      <x:c r="AA147" s="101"/>
      <x:c r="AB147" s="101"/>
      <x:c r="AC147" s="101"/>
      <x:c r="AD147" s="101"/>
      <x:c r="AE147" s="101"/>
    </x:row>
    <x:row r="148">
      <x:c r="A148" s="101"/>
      <x:c r="B148" s="101"/>
      <x:c r="C148" s="101"/>
      <x:c r="D148" s="101"/>
      <x:c r="E148" s="101"/>
      <x:c r="F148" s="101"/>
      <x:c r="G148" s="101"/>
      <x:c r="H148" s="101"/>
      <x:c r="I148" s="101"/>
      <x:c r="J148" s="101"/>
      <x:c r="K148" s="101"/>
      <x:c r="L148" s="101"/>
      <x:c r="M148" s="101"/>
      <x:c r="N148" s="101"/>
      <x:c r="O148" s="101"/>
      <x:c r="P148" s="101"/>
      <x:c r="Q148" s="101"/>
      <x:c r="R148" s="101"/>
      <x:c r="S148" s="101"/>
      <x:c r="T148" s="101"/>
      <x:c r="U148" s="101"/>
      <x:c r="V148" s="101"/>
      <x:c r="W148" s="101"/>
      <x:c r="X148" s="101"/>
      <x:c r="Y148" s="101"/>
      <x:c r="Z148" s="101"/>
      <x:c r="AA148" s="101"/>
      <x:c r="AB148" s="101"/>
      <x:c r="AC148" s="101"/>
      <x:c r="AD148" s="101"/>
      <x:c r="AE148" s="101"/>
    </x:row>
    <x:row r="149">
      <x:c r="A149" s="101"/>
      <x:c r="B149" s="101"/>
      <x:c r="C149" s="101"/>
      <x:c r="D149" s="101"/>
      <x:c r="E149" s="101"/>
      <x:c r="F149" s="101"/>
      <x:c r="G149" s="101"/>
      <x:c r="H149" s="101"/>
      <x:c r="I149" s="101"/>
      <x:c r="J149" s="101"/>
      <x:c r="K149" s="101"/>
      <x:c r="L149" s="101"/>
      <x:c r="M149" s="101"/>
      <x:c r="N149" s="101"/>
      <x:c r="O149" s="101"/>
      <x:c r="P149" s="101"/>
      <x:c r="Q149" s="101"/>
      <x:c r="R149" s="101"/>
      <x:c r="S149" s="101"/>
      <x:c r="T149" s="101"/>
      <x:c r="U149" s="101"/>
      <x:c r="V149" s="101"/>
      <x:c r="W149" s="101"/>
      <x:c r="X149" s="101"/>
      <x:c r="Y149" s="101"/>
      <x:c r="Z149" s="101"/>
      <x:c r="AA149" s="101"/>
      <x:c r="AB149" s="101"/>
      <x:c r="AC149" s="101"/>
      <x:c r="AD149" s="101"/>
      <x:c r="AE149" s="101"/>
    </x:row>
    <x:row r="150">
      <x:c r="A150" s="101"/>
      <x:c r="B150" s="101"/>
      <x:c r="C150" s="101"/>
      <x:c r="D150" s="101"/>
      <x:c r="E150" s="101"/>
      <x:c r="F150" s="101"/>
      <x:c r="G150" s="101"/>
      <x:c r="H150" s="101"/>
      <x:c r="I150" s="101"/>
      <x:c r="J150" s="101"/>
      <x:c r="K150" s="101"/>
      <x:c r="L150" s="101"/>
      <x:c r="M150" s="101"/>
      <x:c r="N150" s="101"/>
      <x:c r="O150" s="101"/>
      <x:c r="P150" s="101"/>
      <x:c r="Q150" s="101"/>
      <x:c r="R150" s="101"/>
      <x:c r="S150" s="101"/>
      <x:c r="T150" s="101"/>
      <x:c r="U150" s="101"/>
      <x:c r="V150" s="101"/>
      <x:c r="W150" s="101"/>
      <x:c r="X150" s="101"/>
      <x:c r="Y150" s="101"/>
      <x:c r="Z150" s="101"/>
      <x:c r="AA150" s="101"/>
      <x:c r="AB150" s="101"/>
      <x:c r="AC150" s="101"/>
      <x:c r="AD150" s="101"/>
      <x:c r="AE150" s="101"/>
    </x:row>
    <x:row r="151">
      <x:c r="A151" s="101"/>
      <x:c r="B151" s="101"/>
      <x:c r="C151" s="101"/>
      <x:c r="D151" s="101"/>
      <x:c r="E151" s="101"/>
      <x:c r="F151" s="101"/>
      <x:c r="G151" s="101"/>
      <x:c r="H151" s="101"/>
      <x:c r="I151" s="101"/>
      <x:c r="J151" s="101"/>
      <x:c r="K151" s="101"/>
      <x:c r="L151" s="101"/>
      <x:c r="M151" s="101"/>
      <x:c r="N151" s="101"/>
      <x:c r="O151" s="101"/>
      <x:c r="P151" s="101"/>
      <x:c r="Q151" s="101"/>
      <x:c r="R151" s="101"/>
      <x:c r="S151" s="101"/>
      <x:c r="T151" s="101"/>
      <x:c r="U151" s="101"/>
      <x:c r="V151" s="101"/>
      <x:c r="W151" s="101"/>
      <x:c r="X151" s="101"/>
      <x:c r="Y151" s="101"/>
      <x:c r="Z151" s="101"/>
      <x:c r="AA151" s="101"/>
      <x:c r="AB151" s="101"/>
      <x:c r="AC151" s="101"/>
      <x:c r="AD151" s="101"/>
      <x:c r="AE151" s="101"/>
    </x:row>
    <x:row r="152">
      <x:c r="A152" s="101"/>
      <x:c r="B152" s="101"/>
      <x:c r="C152" s="101"/>
      <x:c r="D152" s="101"/>
      <x:c r="E152" s="101"/>
      <x:c r="F152" s="101"/>
      <x:c r="G152" s="101"/>
      <x:c r="H152" s="101"/>
      <x:c r="I152" s="101"/>
      <x:c r="J152" s="101"/>
      <x:c r="K152" s="101"/>
      <x:c r="L152" s="101"/>
      <x:c r="M152" s="101"/>
      <x:c r="N152" s="101"/>
      <x:c r="O152" s="101"/>
      <x:c r="P152" s="101"/>
      <x:c r="Q152" s="101"/>
      <x:c r="R152" s="101"/>
      <x:c r="S152" s="101"/>
      <x:c r="T152" s="101"/>
      <x:c r="U152" s="101"/>
      <x:c r="V152" s="101"/>
      <x:c r="W152" s="101"/>
      <x:c r="X152" s="101"/>
      <x:c r="Y152" s="101"/>
      <x:c r="Z152" s="101"/>
      <x:c r="AA152" s="101"/>
      <x:c r="AB152" s="101"/>
      <x:c r="AC152" s="101"/>
      <x:c r="AD152" s="101"/>
      <x:c r="AE152" s="101"/>
    </x:row>
    <x:row r="153">
      <x:c r="A153" s="101"/>
      <x:c r="B153" s="101"/>
      <x:c r="C153" s="101"/>
      <x:c r="D153" s="101"/>
      <x:c r="E153" s="101"/>
      <x:c r="F153" s="101"/>
      <x:c r="G153" s="101"/>
      <x:c r="H153" s="101"/>
      <x:c r="I153" s="101"/>
      <x:c r="J153" s="101"/>
      <x:c r="K153" s="101"/>
      <x:c r="L153" s="101"/>
      <x:c r="M153" s="101"/>
      <x:c r="N153" s="101"/>
      <x:c r="O153" s="101"/>
      <x:c r="P153" s="101"/>
      <x:c r="Q153" s="101"/>
      <x:c r="R153" s="101"/>
      <x:c r="S153" s="101"/>
      <x:c r="T153" s="101"/>
      <x:c r="U153" s="101"/>
      <x:c r="V153" s="101"/>
      <x:c r="W153" s="101"/>
      <x:c r="X153" s="101"/>
      <x:c r="Y153" s="101"/>
      <x:c r="Z153" s="101"/>
      <x:c r="AA153" s="101"/>
      <x:c r="AB153" s="101"/>
      <x:c r="AC153" s="101"/>
      <x:c r="AD153" s="101"/>
      <x:c r="AE153" s="101"/>
    </x:row>
    <x:row r="154">
      <x:c r="A154" s="101"/>
      <x:c r="B154" s="101"/>
      <x:c r="C154" s="101"/>
      <x:c r="D154" s="101"/>
      <x:c r="E154" s="101"/>
      <x:c r="F154" s="101"/>
      <x:c r="G154" s="101"/>
      <x:c r="H154" s="101"/>
      <x:c r="I154" s="101"/>
      <x:c r="J154" s="101"/>
      <x:c r="K154" s="101"/>
      <x:c r="L154" s="101"/>
      <x:c r="M154" s="101"/>
      <x:c r="N154" s="101"/>
      <x:c r="O154" s="101"/>
      <x:c r="P154" s="101"/>
      <x:c r="Q154" s="101"/>
      <x:c r="R154" s="101"/>
      <x:c r="S154" s="101"/>
      <x:c r="T154" s="101"/>
      <x:c r="U154" s="101"/>
      <x:c r="V154" s="101"/>
      <x:c r="W154" s="101"/>
      <x:c r="X154" s="101"/>
      <x:c r="Y154" s="101"/>
      <x:c r="Z154" s="101"/>
      <x:c r="AA154" s="101"/>
      <x:c r="AB154" s="101"/>
      <x:c r="AC154" s="101"/>
      <x:c r="AD154" s="101"/>
      <x:c r="AE154" s="101"/>
    </x:row>
    <x:row r="155">
      <x:c r="A155" s="101"/>
      <x:c r="B155" s="101"/>
      <x:c r="C155" s="101"/>
      <x:c r="D155" s="101"/>
      <x:c r="E155" s="101"/>
      <x:c r="F155" s="101"/>
      <x:c r="G155" s="101"/>
      <x:c r="H155" s="101"/>
      <x:c r="I155" s="101"/>
      <x:c r="J155" s="101"/>
      <x:c r="K155" s="101"/>
      <x:c r="L155" s="101"/>
      <x:c r="M155" s="101"/>
      <x:c r="N155" s="101"/>
      <x:c r="O155" s="101"/>
      <x:c r="P155" s="101"/>
      <x:c r="Q155" s="101"/>
      <x:c r="R155" s="101"/>
      <x:c r="S155" s="101"/>
      <x:c r="T155" s="101"/>
      <x:c r="U155" s="101"/>
      <x:c r="V155" s="101"/>
      <x:c r="W155" s="101"/>
      <x:c r="X155" s="101"/>
      <x:c r="Y155" s="101"/>
      <x:c r="Z155" s="101"/>
      <x:c r="AA155" s="101"/>
      <x:c r="AB155" s="101"/>
      <x:c r="AC155" s="101"/>
      <x:c r="AD155" s="101"/>
      <x:c r="AE155" s="101"/>
    </x:row>
    <x:row r="156">
      <x:c r="A156" s="101"/>
      <x:c r="B156" s="101"/>
      <x:c r="C156" s="101"/>
      <x:c r="D156" s="101"/>
      <x:c r="E156" s="101"/>
      <x:c r="F156" s="101"/>
      <x:c r="G156" s="101"/>
      <x:c r="H156" s="101"/>
      <x:c r="I156" s="101"/>
      <x:c r="J156" s="101"/>
      <x:c r="K156" s="101"/>
      <x:c r="L156" s="101"/>
      <x:c r="M156" s="101"/>
      <x:c r="N156" s="101"/>
      <x:c r="O156" s="101"/>
      <x:c r="P156" s="101"/>
      <x:c r="Q156" s="101"/>
      <x:c r="R156" s="101"/>
      <x:c r="S156" s="101"/>
      <x:c r="T156" s="101"/>
      <x:c r="U156" s="101"/>
      <x:c r="V156" s="101"/>
      <x:c r="W156" s="101"/>
      <x:c r="X156" s="101"/>
      <x:c r="Y156" s="101"/>
      <x:c r="Z156" s="101"/>
      <x:c r="AA156" s="101"/>
      <x:c r="AB156" s="101"/>
      <x:c r="AC156" s="101"/>
      <x:c r="AD156" s="101"/>
      <x:c r="AE156" s="101"/>
    </x:row>
    <x:row r="157">
      <x:c r="A157" s="101"/>
      <x:c r="B157" s="101"/>
      <x:c r="C157" s="101"/>
      <x:c r="D157" s="101"/>
      <x:c r="E157" s="101"/>
      <x:c r="F157" s="101"/>
      <x:c r="G157" s="101"/>
      <x:c r="H157" s="101"/>
      <x:c r="I157" s="101"/>
      <x:c r="J157" s="101"/>
      <x:c r="K157" s="101"/>
      <x:c r="L157" s="101"/>
      <x:c r="M157" s="101"/>
      <x:c r="N157" s="101"/>
      <x:c r="O157" s="101"/>
      <x:c r="P157" s="101"/>
      <x:c r="Q157" s="101"/>
      <x:c r="R157" s="101"/>
      <x:c r="S157" s="101"/>
      <x:c r="T157" s="101"/>
      <x:c r="U157" s="101"/>
      <x:c r="V157" s="101"/>
      <x:c r="W157" s="101"/>
      <x:c r="X157" s="101"/>
      <x:c r="Y157" s="101"/>
      <x:c r="Z157" s="101"/>
      <x:c r="AA157" s="101"/>
      <x:c r="AB157" s="101"/>
      <x:c r="AC157" s="101"/>
      <x:c r="AD157" s="101"/>
      <x:c r="AE157" s="101"/>
    </x:row>
    <x:row r="158">
      <x:c r="A158" s="101"/>
      <x:c r="B158" s="101"/>
      <x:c r="C158" s="101"/>
      <x:c r="D158" s="101"/>
      <x:c r="E158" s="101"/>
      <x:c r="F158" s="101"/>
      <x:c r="G158" s="101"/>
      <x:c r="H158" s="101"/>
      <x:c r="I158" s="101"/>
      <x:c r="J158" s="101"/>
      <x:c r="K158" s="101"/>
      <x:c r="L158" s="101"/>
      <x:c r="M158" s="101"/>
      <x:c r="N158" s="101"/>
      <x:c r="O158" s="101"/>
      <x:c r="P158" s="101"/>
      <x:c r="Q158" s="101"/>
      <x:c r="R158" s="101"/>
      <x:c r="S158" s="101"/>
      <x:c r="T158" s="101"/>
      <x:c r="U158" s="101"/>
      <x:c r="V158" s="101"/>
      <x:c r="W158" s="101"/>
      <x:c r="X158" s="101"/>
      <x:c r="Y158" s="101"/>
      <x:c r="Z158" s="101"/>
      <x:c r="AA158" s="101"/>
      <x:c r="AB158" s="101"/>
      <x:c r="AC158" s="101"/>
      <x:c r="AD158" s="101"/>
      <x:c r="AE158" s="101"/>
    </x:row>
    <x:row r="159">
      <x:c r="A159" s="101"/>
      <x:c r="B159" s="101"/>
      <x:c r="C159" s="101"/>
      <x:c r="D159" s="101"/>
      <x:c r="E159" s="101"/>
      <x:c r="F159" s="101"/>
      <x:c r="G159" s="101"/>
      <x:c r="H159" s="101"/>
      <x:c r="I159" s="101"/>
      <x:c r="J159" s="101"/>
      <x:c r="K159" s="101"/>
      <x:c r="L159" s="101"/>
      <x:c r="M159" s="101"/>
      <x:c r="N159" s="101"/>
      <x:c r="O159" s="101"/>
      <x:c r="P159" s="101"/>
      <x:c r="Q159" s="101"/>
      <x:c r="R159" s="101"/>
      <x:c r="S159" s="101"/>
      <x:c r="T159" s="101"/>
      <x:c r="U159" s="101"/>
      <x:c r="V159" s="101"/>
      <x:c r="W159" s="101"/>
      <x:c r="X159" s="101"/>
      <x:c r="Y159" s="101"/>
      <x:c r="Z159" s="101"/>
      <x:c r="AA159" s="101"/>
      <x:c r="AB159" s="101"/>
      <x:c r="AC159" s="101"/>
      <x:c r="AD159" s="101"/>
      <x:c r="AE159" s="101"/>
    </x:row>
    <x:row r="160">
      <x:c r="A160" s="101"/>
      <x:c r="B160" s="101"/>
      <x:c r="C160" s="101"/>
      <x:c r="D160" s="101"/>
      <x:c r="E160" s="101"/>
      <x:c r="F160" s="101"/>
      <x:c r="G160" s="101"/>
      <x:c r="H160" s="101"/>
      <x:c r="I160" s="101"/>
      <x:c r="J160" s="101"/>
      <x:c r="K160" s="101"/>
      <x:c r="L160" s="101"/>
      <x:c r="M160" s="101"/>
      <x:c r="N160" s="101"/>
      <x:c r="O160" s="101"/>
      <x:c r="P160" s="101"/>
      <x:c r="Q160" s="101"/>
      <x:c r="R160" s="101"/>
      <x:c r="S160" s="101"/>
      <x:c r="T160" s="101"/>
      <x:c r="U160" s="101"/>
      <x:c r="V160" s="101"/>
      <x:c r="W160" s="101"/>
      <x:c r="X160" s="101"/>
      <x:c r="Y160" s="101"/>
      <x:c r="Z160" s="101"/>
      <x:c r="AA160" s="101"/>
      <x:c r="AB160" s="101"/>
      <x:c r="AC160" s="101"/>
      <x:c r="AD160" s="101"/>
      <x:c r="AE160" s="101"/>
    </x:row>
    <x:row r="161">
      <x:c r="A161" s="101"/>
      <x:c r="B161" s="101"/>
      <x:c r="C161" s="101"/>
      <x:c r="D161" s="101"/>
      <x:c r="E161" s="101"/>
      <x:c r="F161" s="101"/>
      <x:c r="G161" s="101"/>
      <x:c r="H161" s="101"/>
      <x:c r="I161" s="101"/>
      <x:c r="J161" s="101"/>
      <x:c r="K161" s="101"/>
      <x:c r="L161" s="101"/>
      <x:c r="M161" s="101"/>
      <x:c r="N161" s="101"/>
      <x:c r="O161" s="101"/>
      <x:c r="P161" s="101"/>
      <x:c r="Q161" s="101"/>
      <x:c r="R161" s="101"/>
      <x:c r="S161" s="101"/>
      <x:c r="T161" s="101"/>
      <x:c r="U161" s="101"/>
      <x:c r="V161" s="101"/>
      <x:c r="W161" s="101"/>
      <x:c r="X161" s="101"/>
      <x:c r="Y161" s="101"/>
      <x:c r="Z161" s="101"/>
      <x:c r="AA161" s="101"/>
      <x:c r="AB161" s="101"/>
      <x:c r="AC161" s="101"/>
      <x:c r="AD161" s="101"/>
      <x:c r="AE161" s="101"/>
    </x:row>
    <x:row r="162">
      <x:c r="A162" s="101"/>
      <x:c r="B162" s="101"/>
      <x:c r="C162" s="101"/>
      <x:c r="D162" s="101"/>
      <x:c r="E162" s="101"/>
      <x:c r="F162" s="101"/>
      <x:c r="G162" s="101"/>
      <x:c r="H162" s="101"/>
      <x:c r="I162" s="101"/>
      <x:c r="J162" s="101"/>
      <x:c r="K162" s="101"/>
      <x:c r="L162" s="101"/>
      <x:c r="M162" s="101"/>
      <x:c r="N162" s="101"/>
      <x:c r="O162" s="101"/>
      <x:c r="P162" s="101"/>
      <x:c r="Q162" s="101"/>
      <x:c r="R162" s="101"/>
      <x:c r="S162" s="101"/>
      <x:c r="T162" s="101"/>
      <x:c r="U162" s="101"/>
      <x:c r="V162" s="101"/>
      <x:c r="W162" s="101"/>
      <x:c r="X162" s="101"/>
      <x:c r="Y162" s="101"/>
      <x:c r="Z162" s="101"/>
      <x:c r="AA162" s="101"/>
      <x:c r="AB162" s="101"/>
      <x:c r="AC162" s="101"/>
      <x:c r="AD162" s="101"/>
      <x:c r="AE162" s="101"/>
    </x:row>
    <x:row r="163">
      <x:c r="A163" s="101"/>
      <x:c r="B163" s="101"/>
      <x:c r="C163" s="101"/>
      <x:c r="D163" s="101"/>
      <x:c r="E163" s="101"/>
      <x:c r="F163" s="101"/>
      <x:c r="G163" s="101"/>
      <x:c r="H163" s="101"/>
      <x:c r="I163" s="101"/>
      <x:c r="J163" s="101"/>
      <x:c r="K163" s="101"/>
      <x:c r="L163" s="101"/>
      <x:c r="M163" s="101"/>
      <x:c r="N163" s="101"/>
      <x:c r="O163" s="101"/>
      <x:c r="P163" s="101"/>
      <x:c r="Q163" s="101"/>
      <x:c r="R163" s="101"/>
      <x:c r="S163" s="101"/>
      <x:c r="T163" s="101"/>
      <x:c r="U163" s="101"/>
      <x:c r="V163" s="101"/>
      <x:c r="W163" s="101"/>
      <x:c r="X163" s="101"/>
      <x:c r="Y163" s="101"/>
      <x:c r="Z163" s="101"/>
      <x:c r="AA163" s="101"/>
      <x:c r="AB163" s="101"/>
      <x:c r="AC163" s="101"/>
      <x:c r="AD163" s="101"/>
      <x:c r="AE163" s="101"/>
    </x:row>
    <x:row r="164">
      <x:c r="A164" s="101"/>
      <x:c r="B164" s="101"/>
      <x:c r="C164" s="101"/>
      <x:c r="D164" s="101"/>
      <x:c r="E164" s="101"/>
      <x:c r="F164" s="101"/>
      <x:c r="G164" s="101"/>
      <x:c r="H164" s="101"/>
      <x:c r="I164" s="101"/>
      <x:c r="J164" s="101"/>
      <x:c r="K164" s="101"/>
      <x:c r="L164" s="101"/>
      <x:c r="M164" s="101"/>
      <x:c r="N164" s="101"/>
      <x:c r="O164" s="101"/>
      <x:c r="P164" s="101"/>
      <x:c r="Q164" s="101"/>
      <x:c r="R164" s="101"/>
      <x:c r="S164" s="101"/>
      <x:c r="T164" s="101"/>
      <x:c r="U164" s="101"/>
      <x:c r="V164" s="101"/>
      <x:c r="W164" s="101"/>
      <x:c r="X164" s="101"/>
      <x:c r="Y164" s="101"/>
      <x:c r="Z164" s="101"/>
      <x:c r="AA164" s="101"/>
      <x:c r="AB164" s="101"/>
      <x:c r="AC164" s="101"/>
      <x:c r="AD164" s="101"/>
      <x:c r="AE164" s="101"/>
    </x:row>
    <x:row r="165">
      <x:c r="A165" s="101"/>
      <x:c r="B165" s="101"/>
      <x:c r="C165" s="101"/>
      <x:c r="D165" s="101"/>
      <x:c r="E165" s="101"/>
      <x:c r="F165" s="101"/>
      <x:c r="G165" s="101"/>
      <x:c r="H165" s="101"/>
      <x:c r="I165" s="101"/>
      <x:c r="J165" s="101"/>
      <x:c r="K165" s="101"/>
      <x:c r="L165" s="101"/>
      <x:c r="M165" s="101"/>
      <x:c r="N165" s="101"/>
      <x:c r="O165" s="101"/>
      <x:c r="P165" s="101"/>
      <x:c r="Q165" s="101"/>
      <x:c r="R165" s="101"/>
      <x:c r="S165" s="101"/>
      <x:c r="T165" s="101"/>
      <x:c r="U165" s="101"/>
      <x:c r="V165" s="101"/>
      <x:c r="W165" s="101"/>
      <x:c r="X165" s="101"/>
      <x:c r="Y165" s="101"/>
      <x:c r="Z165" s="101"/>
      <x:c r="AA165" s="101"/>
      <x:c r="AB165" s="101"/>
      <x:c r="AC165" s="101"/>
      <x:c r="AD165" s="101"/>
      <x:c r="AE165" s="101"/>
    </x:row>
    <x:row r="166">
      <x:c r="A166" s="101"/>
      <x:c r="B166" s="101"/>
      <x:c r="C166" s="101"/>
      <x:c r="D166" s="101"/>
      <x:c r="E166" s="101"/>
      <x:c r="F166" s="101"/>
      <x:c r="G166" s="101"/>
      <x:c r="H166" s="101"/>
      <x:c r="I166" s="101"/>
      <x:c r="J166" s="101"/>
      <x:c r="K166" s="101"/>
      <x:c r="L166" s="101"/>
      <x:c r="M166" s="101"/>
      <x:c r="N166" s="101"/>
      <x:c r="O166" s="101"/>
      <x:c r="P166" s="101"/>
      <x:c r="Q166" s="101"/>
      <x:c r="R166" s="101"/>
      <x:c r="S166" s="101"/>
      <x:c r="T166" s="101"/>
      <x:c r="U166" s="101"/>
      <x:c r="V166" s="101"/>
      <x:c r="W166" s="101"/>
      <x:c r="X166" s="101"/>
      <x:c r="Y166" s="101"/>
      <x:c r="Z166" s="101"/>
      <x:c r="AA166" s="101"/>
      <x:c r="AB166" s="101"/>
      <x:c r="AC166" s="101"/>
      <x:c r="AD166" s="101"/>
      <x:c r="AE166" s="101"/>
    </x:row>
    <x:row r="167">
      <x:c r="A167" s="101"/>
      <x:c r="B167" s="101"/>
      <x:c r="C167" s="101"/>
      <x:c r="D167" s="101"/>
      <x:c r="E167" s="101"/>
      <x:c r="F167" s="101"/>
      <x:c r="G167" s="101"/>
      <x:c r="H167" s="101"/>
      <x:c r="I167" s="101"/>
      <x:c r="J167" s="101"/>
      <x:c r="K167" s="101"/>
      <x:c r="L167" s="101"/>
      <x:c r="M167" s="101"/>
      <x:c r="N167" s="101"/>
      <x:c r="O167" s="101"/>
      <x:c r="P167" s="101"/>
      <x:c r="Q167" s="101"/>
      <x:c r="R167" s="101"/>
      <x:c r="S167" s="101"/>
      <x:c r="T167" s="101"/>
      <x:c r="U167" s="101"/>
      <x:c r="V167" s="101"/>
      <x:c r="W167" s="101"/>
      <x:c r="X167" s="101"/>
      <x:c r="Y167" s="101"/>
      <x:c r="Z167" s="101"/>
      <x:c r="AA167" s="101"/>
      <x:c r="AB167" s="101"/>
      <x:c r="AC167" s="101"/>
      <x:c r="AD167" s="101"/>
      <x:c r="AE167" s="101"/>
    </x:row>
    <x:row r="168">
      <x:c r="A168" s="101"/>
      <x:c r="B168" s="101"/>
      <x:c r="C168" s="101"/>
      <x:c r="D168" s="101"/>
      <x:c r="E168" s="101"/>
      <x:c r="F168" s="101"/>
      <x:c r="G168" s="101"/>
      <x:c r="H168" s="101"/>
      <x:c r="I168" s="101"/>
      <x:c r="J168" s="101"/>
      <x:c r="K168" s="101"/>
      <x:c r="L168" s="101"/>
      <x:c r="M168" s="101"/>
      <x:c r="N168" s="101"/>
      <x:c r="O168" s="101"/>
      <x:c r="P168" s="101"/>
      <x:c r="Q168" s="101"/>
      <x:c r="R168" s="101"/>
      <x:c r="S168" s="101"/>
      <x:c r="T168" s="101"/>
      <x:c r="U168" s="101"/>
      <x:c r="V168" s="101"/>
      <x:c r="W168" s="101"/>
      <x:c r="X168" s="101"/>
      <x:c r="Y168" s="101"/>
      <x:c r="Z168" s="101"/>
      <x:c r="AA168" s="101"/>
      <x:c r="AB168" s="101"/>
      <x:c r="AC168" s="101"/>
      <x:c r="AD168" s="101"/>
      <x:c r="AE168" s="101"/>
    </x:row>
    <x:row r="169">
      <x:c r="A169" s="101"/>
      <x:c r="B169" s="101"/>
      <x:c r="C169" s="101"/>
      <x:c r="D169" s="101"/>
      <x:c r="E169" s="101"/>
      <x:c r="F169" s="101"/>
      <x:c r="G169" s="101"/>
      <x:c r="H169" s="101"/>
      <x:c r="I169" s="101"/>
      <x:c r="J169" s="101"/>
      <x:c r="K169" s="101"/>
      <x:c r="L169" s="101"/>
      <x:c r="M169" s="101"/>
      <x:c r="N169" s="101"/>
      <x:c r="O169" s="101"/>
      <x:c r="P169" s="101"/>
      <x:c r="Q169" s="101"/>
      <x:c r="R169" s="101"/>
      <x:c r="S169" s="101"/>
      <x:c r="T169" s="101"/>
      <x:c r="U169" s="101"/>
      <x:c r="V169" s="101"/>
      <x:c r="W169" s="101"/>
      <x:c r="X169" s="101"/>
      <x:c r="Y169" s="101"/>
      <x:c r="Z169" s="101"/>
      <x:c r="AA169" s="101"/>
      <x:c r="AB169" s="101"/>
      <x:c r="AC169" s="101"/>
      <x:c r="AD169" s="101"/>
      <x:c r="AE169" s="101"/>
    </x:row>
    <x:row r="170">
      <x:c r="A170" s="101"/>
      <x:c r="B170" s="101"/>
      <x:c r="C170" s="101"/>
      <x:c r="D170" s="101"/>
      <x:c r="E170" s="101"/>
      <x:c r="F170" s="101"/>
      <x:c r="G170" s="101"/>
      <x:c r="H170" s="101"/>
      <x:c r="I170" s="101"/>
      <x:c r="J170" s="101"/>
      <x:c r="K170" s="101"/>
      <x:c r="L170" s="101"/>
      <x:c r="M170" s="101"/>
      <x:c r="N170" s="101"/>
      <x:c r="O170" s="101"/>
      <x:c r="P170" s="101"/>
      <x:c r="Q170" s="101"/>
      <x:c r="R170" s="101"/>
      <x:c r="S170" s="101"/>
      <x:c r="T170" s="101"/>
      <x:c r="U170" s="101"/>
      <x:c r="V170" s="101"/>
      <x:c r="W170" s="101"/>
      <x:c r="X170" s="101"/>
      <x:c r="Y170" s="101"/>
      <x:c r="Z170" s="101"/>
      <x:c r="AA170" s="101"/>
      <x:c r="AB170" s="101"/>
      <x:c r="AC170" s="101"/>
      <x:c r="AD170" s="101"/>
      <x:c r="AE170" s="101"/>
    </x:row>
    <x:row r="171">
      <x:c r="A171" s="101"/>
      <x:c r="B171" s="101"/>
      <x:c r="C171" s="101"/>
      <x:c r="D171" s="101"/>
      <x:c r="E171" s="101"/>
      <x:c r="F171" s="101"/>
      <x:c r="G171" s="101"/>
      <x:c r="H171" s="101"/>
      <x:c r="I171" s="101"/>
      <x:c r="J171" s="101"/>
      <x:c r="K171" s="101"/>
      <x:c r="L171" s="101"/>
      <x:c r="M171" s="101"/>
      <x:c r="N171" s="101"/>
      <x:c r="O171" s="101"/>
      <x:c r="P171" s="101"/>
      <x:c r="Q171" s="101"/>
      <x:c r="R171" s="101"/>
      <x:c r="S171" s="101"/>
      <x:c r="T171" s="101"/>
      <x:c r="U171" s="101"/>
      <x:c r="V171" s="101"/>
      <x:c r="W171" s="101"/>
      <x:c r="X171" s="101"/>
      <x:c r="Y171" s="101"/>
      <x:c r="Z171" s="101"/>
      <x:c r="AA171" s="101"/>
      <x:c r="AB171" s="101"/>
      <x:c r="AC171" s="101"/>
      <x:c r="AD171" s="101"/>
      <x:c r="AE171" s="101"/>
    </x:row>
    <x:row r="172">
      <x:c r="A172" s="101"/>
      <x:c r="B172" s="101"/>
      <x:c r="C172" s="101"/>
      <x:c r="D172" s="101"/>
      <x:c r="E172" s="101"/>
      <x:c r="F172" s="101"/>
      <x:c r="G172" s="101"/>
      <x:c r="H172" s="101"/>
      <x:c r="I172" s="101"/>
      <x:c r="J172" s="101"/>
      <x:c r="K172" s="101"/>
      <x:c r="L172" s="101"/>
      <x:c r="M172" s="101"/>
      <x:c r="N172" s="101"/>
      <x:c r="O172" s="101"/>
      <x:c r="P172" s="101"/>
      <x:c r="Q172" s="101"/>
      <x:c r="R172" s="101"/>
      <x:c r="S172" s="101"/>
      <x:c r="T172" s="101"/>
      <x:c r="U172" s="101"/>
      <x:c r="V172" s="101"/>
      <x:c r="W172" s="101"/>
      <x:c r="X172" s="101"/>
      <x:c r="Y172" s="101"/>
      <x:c r="Z172" s="101"/>
      <x:c r="AA172" s="101"/>
      <x:c r="AB172" s="101"/>
      <x:c r="AC172" s="101"/>
      <x:c r="AD172" s="101"/>
      <x:c r="AE172" s="101"/>
    </x:row>
    <x:row r="173">
      <x:c r="A173" s="101"/>
      <x:c r="B173" s="101"/>
      <x:c r="C173" s="101"/>
      <x:c r="D173" s="101"/>
      <x:c r="E173" s="101"/>
      <x:c r="F173" s="101"/>
      <x:c r="G173" s="101"/>
      <x:c r="H173" s="101"/>
      <x:c r="I173" s="101"/>
      <x:c r="J173" s="101"/>
      <x:c r="K173" s="101"/>
      <x:c r="L173" s="101"/>
      <x:c r="M173" s="101"/>
      <x:c r="N173" s="101"/>
      <x:c r="O173" s="101"/>
      <x:c r="P173" s="101"/>
      <x:c r="Q173" s="101"/>
      <x:c r="R173" s="101"/>
      <x:c r="S173" s="101"/>
      <x:c r="T173" s="101"/>
      <x:c r="U173" s="101"/>
      <x:c r="V173" s="101"/>
      <x:c r="W173" s="101"/>
      <x:c r="X173" s="101"/>
      <x:c r="Y173" s="101"/>
      <x:c r="Z173" s="101"/>
      <x:c r="AA173" s="101"/>
      <x:c r="AB173" s="101"/>
      <x:c r="AC173" s="101"/>
      <x:c r="AD173" s="101"/>
      <x:c r="AE173" s="101"/>
    </x:row>
    <x:row r="174">
      <x:c r="A174" s="101"/>
      <x:c r="B174" s="101"/>
      <x:c r="C174" s="101"/>
      <x:c r="D174" s="101"/>
      <x:c r="E174" s="101"/>
      <x:c r="F174" s="101"/>
      <x:c r="G174" s="101"/>
      <x:c r="H174" s="101"/>
      <x:c r="I174" s="101"/>
      <x:c r="J174" s="101"/>
      <x:c r="K174" s="101"/>
      <x:c r="L174" s="101"/>
      <x:c r="M174" s="101"/>
      <x:c r="N174" s="101"/>
      <x:c r="O174" s="101"/>
      <x:c r="P174" s="101"/>
      <x:c r="Q174" s="101"/>
      <x:c r="R174" s="101"/>
      <x:c r="S174" s="101"/>
      <x:c r="T174" s="101"/>
      <x:c r="U174" s="101"/>
      <x:c r="V174" s="101"/>
      <x:c r="W174" s="101"/>
      <x:c r="X174" s="101"/>
      <x:c r="Y174" s="101"/>
      <x:c r="Z174" s="101"/>
      <x:c r="AA174" s="101"/>
      <x:c r="AB174" s="101"/>
      <x:c r="AC174" s="101"/>
      <x:c r="AD174" s="101"/>
      <x:c r="AE174" s="101"/>
    </x:row>
    <x:row r="175">
      <x:c r="A175" s="101"/>
      <x:c r="B175" s="101"/>
      <x:c r="C175" s="101"/>
      <x:c r="D175" s="101"/>
      <x:c r="E175" s="101"/>
      <x:c r="F175" s="101"/>
      <x:c r="G175" s="101"/>
      <x:c r="H175" s="101"/>
      <x:c r="I175" s="101"/>
      <x:c r="J175" s="101"/>
      <x:c r="K175" s="101"/>
      <x:c r="L175" s="101"/>
      <x:c r="M175" s="101"/>
      <x:c r="N175" s="101"/>
      <x:c r="O175" s="101"/>
      <x:c r="P175" s="101"/>
      <x:c r="Q175" s="101"/>
      <x:c r="R175" s="101"/>
      <x:c r="S175" s="101"/>
      <x:c r="T175" s="101"/>
      <x:c r="U175" s="101"/>
      <x:c r="V175" s="101"/>
      <x:c r="W175" s="101"/>
      <x:c r="X175" s="101"/>
      <x:c r="Y175" s="101"/>
      <x:c r="Z175" s="101"/>
      <x:c r="AA175" s="101"/>
      <x:c r="AB175" s="101"/>
      <x:c r="AC175" s="101"/>
      <x:c r="AD175" s="101"/>
      <x:c r="AE175" s="101"/>
    </x:row>
    <x:row r="176">
      <x:c r="A176" s="101"/>
      <x:c r="B176" s="101"/>
      <x:c r="C176" s="101"/>
      <x:c r="D176" s="101"/>
      <x:c r="E176" s="101"/>
      <x:c r="F176" s="101"/>
      <x:c r="G176" s="101"/>
      <x:c r="H176" s="101"/>
      <x:c r="I176" s="101"/>
      <x:c r="J176" s="101"/>
      <x:c r="K176" s="101"/>
      <x:c r="L176" s="101"/>
      <x:c r="M176" s="101"/>
      <x:c r="N176" s="101"/>
      <x:c r="O176" s="101"/>
      <x:c r="P176" s="101"/>
      <x:c r="Q176" s="101"/>
      <x:c r="R176" s="101"/>
      <x:c r="S176" s="101"/>
      <x:c r="T176" s="101"/>
      <x:c r="U176" s="101"/>
      <x:c r="V176" s="101"/>
      <x:c r="W176" s="101"/>
      <x:c r="X176" s="101"/>
      <x:c r="Y176" s="101"/>
      <x:c r="Z176" s="101"/>
      <x:c r="AA176" s="101"/>
      <x:c r="AB176" s="101"/>
      <x:c r="AC176" s="101"/>
      <x:c r="AD176" s="101"/>
      <x:c r="AE176" s="101"/>
    </x:row>
    <x:row r="177">
      <x:c r="A177" s="101"/>
      <x:c r="B177" s="101"/>
      <x:c r="C177" s="101"/>
      <x:c r="D177" s="101"/>
      <x:c r="E177" s="101"/>
      <x:c r="F177" s="101"/>
      <x:c r="G177" s="101"/>
      <x:c r="H177" s="101"/>
      <x:c r="I177" s="101"/>
      <x:c r="J177" s="101"/>
      <x:c r="K177" s="101"/>
      <x:c r="L177" s="101"/>
      <x:c r="M177" s="101"/>
      <x:c r="N177" s="101"/>
      <x:c r="O177" s="101"/>
      <x:c r="P177" s="101"/>
      <x:c r="Q177" s="101"/>
      <x:c r="R177" s="101"/>
      <x:c r="S177" s="101"/>
      <x:c r="T177" s="101"/>
      <x:c r="U177" s="101"/>
      <x:c r="V177" s="101"/>
      <x:c r="W177" s="101"/>
      <x:c r="X177" s="101"/>
      <x:c r="Y177" s="101"/>
      <x:c r="Z177" s="101"/>
      <x:c r="AA177" s="101"/>
      <x:c r="AB177" s="101"/>
      <x:c r="AC177" s="101"/>
      <x:c r="AD177" s="101"/>
      <x:c r="AE177" s="101"/>
    </x:row>
    <x:row r="178">
      <x:c r="A178" s="101"/>
      <x:c r="B178" s="101"/>
      <x:c r="C178" s="101"/>
      <x:c r="D178" s="101"/>
      <x:c r="E178" s="101"/>
      <x:c r="F178" s="101"/>
      <x:c r="G178" s="101"/>
      <x:c r="H178" s="101"/>
      <x:c r="I178" s="101"/>
      <x:c r="J178" s="101"/>
      <x:c r="K178" s="101"/>
      <x:c r="L178" s="101"/>
      <x:c r="M178" s="101"/>
      <x:c r="N178" s="101"/>
      <x:c r="O178" s="101"/>
      <x:c r="P178" s="101"/>
      <x:c r="Q178" s="101"/>
      <x:c r="R178" s="101"/>
      <x:c r="S178" s="101"/>
      <x:c r="T178" s="101"/>
      <x:c r="U178" s="101"/>
      <x:c r="V178" s="101"/>
      <x:c r="W178" s="101"/>
      <x:c r="X178" s="101"/>
      <x:c r="Y178" s="101"/>
      <x:c r="Z178" s="101"/>
      <x:c r="AA178" s="101"/>
      <x:c r="AB178" s="101"/>
      <x:c r="AC178" s="101"/>
      <x:c r="AD178" s="101"/>
      <x:c r="AE178" s="101"/>
    </x:row>
    <x:row r="179">
      <x:c r="A179" s="101"/>
      <x:c r="B179" s="101"/>
      <x:c r="C179" s="101"/>
      <x:c r="D179" s="101"/>
      <x:c r="E179" s="101"/>
      <x:c r="F179" s="101"/>
      <x:c r="G179" s="101"/>
      <x:c r="H179" s="101"/>
      <x:c r="I179" s="101"/>
      <x:c r="J179" s="101"/>
      <x:c r="K179" s="101"/>
      <x:c r="L179" s="101"/>
      <x:c r="M179" s="101"/>
      <x:c r="N179" s="101"/>
      <x:c r="O179" s="101"/>
      <x:c r="P179" s="101"/>
      <x:c r="Q179" s="101"/>
      <x:c r="R179" s="101"/>
      <x:c r="S179" s="101"/>
      <x:c r="T179" s="101"/>
      <x:c r="U179" s="101"/>
      <x:c r="V179" s="101"/>
      <x:c r="W179" s="101"/>
      <x:c r="X179" s="101"/>
      <x:c r="Y179" s="101"/>
      <x:c r="Z179" s="101"/>
      <x:c r="AA179" s="101"/>
      <x:c r="AB179" s="101"/>
      <x:c r="AC179" s="101"/>
      <x:c r="AD179" s="101"/>
      <x:c r="AE179" s="101"/>
    </x:row>
    <x:row r="180">
      <x:c r="A180" s="101"/>
      <x:c r="B180" s="101"/>
      <x:c r="C180" s="101"/>
      <x:c r="D180" s="101"/>
      <x:c r="E180" s="101"/>
      <x:c r="F180" s="101"/>
      <x:c r="G180" s="101"/>
      <x:c r="H180" s="101"/>
      <x:c r="I180" s="101"/>
      <x:c r="J180" s="101"/>
      <x:c r="K180" s="101"/>
      <x:c r="L180" s="101"/>
      <x:c r="M180" s="101"/>
      <x:c r="N180" s="101"/>
      <x:c r="O180" s="101"/>
      <x:c r="P180" s="101"/>
      <x:c r="Q180" s="101"/>
      <x:c r="R180" s="101"/>
      <x:c r="S180" s="101"/>
      <x:c r="T180" s="101"/>
      <x:c r="U180" s="101"/>
      <x:c r="V180" s="101"/>
      <x:c r="W180" s="101"/>
      <x:c r="X180" s="101"/>
      <x:c r="Y180" s="101"/>
      <x:c r="Z180" s="101"/>
      <x:c r="AA180" s="101"/>
      <x:c r="AB180" s="101"/>
      <x:c r="AC180" s="101"/>
      <x:c r="AD180" s="101"/>
      <x:c r="AE180" s="101"/>
    </x:row>
    <x:row r="181">
      <x:c r="A181" s="101"/>
      <x:c r="B181" s="101"/>
      <x:c r="C181" s="101"/>
      <x:c r="D181" s="101"/>
      <x:c r="E181" s="101"/>
      <x:c r="F181" s="101"/>
      <x:c r="G181" s="101"/>
      <x:c r="H181" s="101"/>
      <x:c r="I181" s="101"/>
      <x:c r="J181" s="101"/>
      <x:c r="K181" s="101"/>
      <x:c r="L181" s="101"/>
      <x:c r="M181" s="101"/>
      <x:c r="N181" s="101"/>
      <x:c r="O181" s="101"/>
      <x:c r="P181" s="101"/>
      <x:c r="Q181" s="101"/>
      <x:c r="R181" s="101"/>
      <x:c r="S181" s="101"/>
      <x:c r="T181" s="101"/>
      <x:c r="U181" s="101"/>
      <x:c r="V181" s="101"/>
      <x:c r="W181" s="101"/>
      <x:c r="X181" s="101"/>
      <x:c r="Y181" s="101"/>
      <x:c r="Z181" s="101"/>
      <x:c r="AA181" s="101"/>
      <x:c r="AB181" s="101"/>
      <x:c r="AC181" s="101"/>
      <x:c r="AD181" s="101"/>
      <x:c r="AE181" s="101"/>
    </x:row>
    <x:row r="182">
      <x:c r="A182" s="101"/>
      <x:c r="B182" s="101"/>
      <x:c r="C182" s="101"/>
      <x:c r="D182" s="101"/>
      <x:c r="E182" s="101"/>
      <x:c r="F182" s="101"/>
      <x:c r="G182" s="101"/>
      <x:c r="H182" s="101"/>
      <x:c r="I182" s="101"/>
      <x:c r="J182" s="101"/>
      <x:c r="K182" s="101"/>
      <x:c r="L182" s="101"/>
      <x:c r="M182" s="101"/>
      <x:c r="N182" s="101"/>
      <x:c r="O182" s="101"/>
      <x:c r="P182" s="101"/>
      <x:c r="Q182" s="101"/>
      <x:c r="R182" s="101"/>
      <x:c r="S182" s="101"/>
      <x:c r="T182" s="101"/>
      <x:c r="U182" s="101"/>
      <x:c r="V182" s="101"/>
      <x:c r="W182" s="101"/>
      <x:c r="X182" s="101"/>
      <x:c r="Y182" s="101"/>
      <x:c r="Z182" s="101"/>
      <x:c r="AA182" s="101"/>
      <x:c r="AB182" s="101"/>
      <x:c r="AC182" s="101"/>
      <x:c r="AD182" s="101"/>
      <x:c r="AE182" s="101"/>
    </x:row>
    <x:row r="183">
      <x:c r="A183" s="101"/>
      <x:c r="B183" s="101"/>
      <x:c r="C183" s="101"/>
      <x:c r="D183" s="101"/>
      <x:c r="E183" s="101"/>
      <x:c r="F183" s="101"/>
      <x:c r="G183" s="101"/>
      <x:c r="H183" s="101"/>
      <x:c r="I183" s="101"/>
      <x:c r="J183" s="101"/>
      <x:c r="K183" s="101"/>
      <x:c r="L183" s="101"/>
      <x:c r="M183" s="101"/>
      <x:c r="N183" s="101"/>
      <x:c r="O183" s="101"/>
      <x:c r="P183" s="101"/>
      <x:c r="Q183" s="101"/>
      <x:c r="R183" s="101"/>
      <x:c r="S183" s="101"/>
      <x:c r="T183" s="101"/>
      <x:c r="U183" s="101"/>
      <x:c r="V183" s="101"/>
      <x:c r="W183" s="101"/>
      <x:c r="X183" s="101"/>
      <x:c r="Y183" s="101"/>
      <x:c r="Z183" s="101"/>
      <x:c r="AA183" s="101"/>
      <x:c r="AB183" s="101"/>
      <x:c r="AC183" s="101"/>
      <x:c r="AD183" s="101"/>
      <x:c r="AE183" s="101"/>
    </x:row>
    <x:row r="184">
      <x:c r="A184" s="101"/>
      <x:c r="B184" s="101"/>
      <x:c r="C184" s="101"/>
      <x:c r="D184" s="101"/>
      <x:c r="E184" s="101"/>
      <x:c r="F184" s="101"/>
      <x:c r="G184" s="101"/>
      <x:c r="H184" s="101"/>
      <x:c r="I184" s="101"/>
      <x:c r="J184" s="101"/>
      <x:c r="K184" s="101"/>
      <x:c r="L184" s="101"/>
      <x:c r="M184" s="101"/>
      <x:c r="N184" s="101"/>
      <x:c r="O184" s="101"/>
      <x:c r="P184" s="101"/>
      <x:c r="Q184" s="101"/>
      <x:c r="R184" s="101"/>
      <x:c r="S184" s="101"/>
      <x:c r="T184" s="101"/>
      <x:c r="U184" s="101"/>
      <x:c r="V184" s="101"/>
      <x:c r="W184" s="101"/>
      <x:c r="X184" s="101"/>
      <x:c r="Y184" s="101"/>
      <x:c r="Z184" s="101"/>
      <x:c r="AA184" s="101"/>
      <x:c r="AB184" s="101"/>
      <x:c r="AC184" s="101"/>
      <x:c r="AD184" s="101"/>
      <x:c r="AE184" s="101"/>
    </x:row>
    <x:row r="185">
      <x:c r="A185" s="101"/>
      <x:c r="B185" s="101"/>
      <x:c r="C185" s="101"/>
      <x:c r="D185" s="101"/>
      <x:c r="E185" s="101"/>
      <x:c r="F185" s="101"/>
      <x:c r="G185" s="101"/>
      <x:c r="H185" s="101"/>
      <x:c r="I185" s="101"/>
      <x:c r="J185" s="101"/>
      <x:c r="K185" s="101"/>
      <x:c r="L185" s="101"/>
      <x:c r="M185" s="101"/>
      <x:c r="N185" s="101"/>
      <x:c r="O185" s="101"/>
      <x:c r="P185" s="101"/>
      <x:c r="Q185" s="101"/>
      <x:c r="R185" s="101"/>
      <x:c r="S185" s="101"/>
      <x:c r="T185" s="101"/>
      <x:c r="U185" s="101"/>
      <x:c r="V185" s="101"/>
      <x:c r="W185" s="101"/>
      <x:c r="X185" s="101"/>
      <x:c r="Y185" s="101"/>
      <x:c r="Z185" s="101"/>
      <x:c r="AA185" s="101"/>
      <x:c r="AB185" s="101"/>
      <x:c r="AC185" s="101"/>
      <x:c r="AD185" s="101"/>
      <x:c r="AE185" s="101"/>
    </x:row>
    <x:row r="186">
      <x:c r="A186" s="101"/>
      <x:c r="B186" s="101"/>
      <x:c r="C186" s="101"/>
      <x:c r="D186" s="101"/>
      <x:c r="E186" s="101"/>
      <x:c r="F186" s="101"/>
      <x:c r="G186" s="101"/>
      <x:c r="H186" s="101"/>
      <x:c r="I186" s="101"/>
      <x:c r="J186" s="101"/>
      <x:c r="K186" s="101"/>
      <x:c r="L186" s="101"/>
      <x:c r="M186" s="101"/>
      <x:c r="N186" s="101"/>
      <x:c r="O186" s="101"/>
      <x:c r="P186" s="101"/>
      <x:c r="Q186" s="101"/>
      <x:c r="R186" s="101"/>
      <x:c r="S186" s="101"/>
      <x:c r="T186" s="101"/>
      <x:c r="U186" s="101"/>
      <x:c r="V186" s="101"/>
      <x:c r="W186" s="101"/>
      <x:c r="X186" s="101"/>
      <x:c r="Y186" s="101"/>
      <x:c r="Z186" s="101"/>
      <x:c r="AA186" s="101"/>
      <x:c r="AB186" s="101"/>
      <x:c r="AC186" s="101"/>
      <x:c r="AD186" s="101"/>
      <x:c r="AE186" s="101"/>
    </x:row>
    <x:row r="187">
      <x:c r="A187" s="101"/>
      <x:c r="B187" s="101"/>
      <x:c r="C187" s="101"/>
      <x:c r="D187" s="101"/>
      <x:c r="E187" s="101"/>
      <x:c r="F187" s="101"/>
      <x:c r="G187" s="101"/>
      <x:c r="H187" s="101"/>
      <x:c r="I187" s="101"/>
      <x:c r="J187" s="101"/>
      <x:c r="K187" s="101"/>
      <x:c r="L187" s="101"/>
      <x:c r="M187" s="101"/>
      <x:c r="N187" s="101"/>
      <x:c r="O187" s="101"/>
      <x:c r="P187" s="101"/>
      <x:c r="Q187" s="101"/>
      <x:c r="R187" s="101"/>
      <x:c r="S187" s="101"/>
      <x:c r="T187" s="101"/>
      <x:c r="U187" s="101"/>
      <x:c r="V187" s="101"/>
      <x:c r="W187" s="101"/>
      <x:c r="X187" s="101"/>
      <x:c r="Y187" s="101"/>
      <x:c r="Z187" s="101"/>
      <x:c r="AA187" s="101"/>
      <x:c r="AB187" s="101"/>
      <x:c r="AC187" s="101"/>
      <x:c r="AD187" s="101"/>
      <x:c r="AE187" s="101"/>
    </x:row>
    <x:row r="188">
      <x:c r="A188" s="101"/>
      <x:c r="B188" s="101"/>
      <x:c r="C188" s="101"/>
      <x:c r="D188" s="101"/>
      <x:c r="E188" s="101"/>
      <x:c r="F188" s="101"/>
      <x:c r="G188" s="101"/>
      <x:c r="H188" s="101"/>
      <x:c r="I188" s="101"/>
      <x:c r="J188" s="101"/>
      <x:c r="K188" s="101"/>
      <x:c r="L188" s="101"/>
      <x:c r="M188" s="101"/>
      <x:c r="N188" s="101"/>
      <x:c r="O188" s="101"/>
      <x:c r="P188" s="101"/>
      <x:c r="Q188" s="101"/>
      <x:c r="R188" s="101"/>
      <x:c r="S188" s="101"/>
      <x:c r="T188" s="101"/>
      <x:c r="U188" s="101"/>
      <x:c r="V188" s="101"/>
      <x:c r="W188" s="101"/>
      <x:c r="X188" s="101"/>
      <x:c r="Y188" s="101"/>
      <x:c r="Z188" s="101"/>
      <x:c r="AA188" s="101"/>
      <x:c r="AB188" s="101"/>
      <x:c r="AC188" s="101"/>
      <x:c r="AD188" s="101"/>
      <x:c r="AE188" s="101"/>
    </x:row>
    <x:row r="189">
      <x:c r="A189" s="101"/>
      <x:c r="B189" s="101"/>
      <x:c r="C189" s="101"/>
      <x:c r="D189" s="101"/>
      <x:c r="E189" s="101"/>
      <x:c r="F189" s="101"/>
      <x:c r="G189" s="101"/>
      <x:c r="H189" s="101"/>
      <x:c r="I189" s="101"/>
      <x:c r="J189" s="101"/>
      <x:c r="K189" s="101"/>
      <x:c r="L189" s="101"/>
      <x:c r="M189" s="101"/>
      <x:c r="N189" s="101"/>
      <x:c r="O189" s="101"/>
      <x:c r="P189" s="101"/>
      <x:c r="Q189" s="101"/>
      <x:c r="R189" s="101"/>
      <x:c r="S189" s="101"/>
      <x:c r="T189" s="101"/>
      <x:c r="U189" s="101"/>
      <x:c r="V189" s="101"/>
      <x:c r="W189" s="101"/>
      <x:c r="X189" s="101"/>
      <x:c r="Y189" s="101"/>
      <x:c r="Z189" s="101"/>
      <x:c r="AA189" s="101"/>
      <x:c r="AB189" s="101"/>
      <x:c r="AC189" s="101"/>
      <x:c r="AD189" s="101"/>
      <x:c r="AE189" s="101"/>
    </x:row>
    <x:row r="190">
      <x:c r="A190" s="101"/>
      <x:c r="B190" s="101"/>
      <x:c r="C190" s="101"/>
      <x:c r="D190" s="101"/>
      <x:c r="E190" s="101"/>
      <x:c r="F190" s="101"/>
      <x:c r="G190" s="101"/>
      <x:c r="H190" s="101"/>
      <x:c r="I190" s="101"/>
      <x:c r="J190" s="101"/>
      <x:c r="K190" s="101"/>
      <x:c r="L190" s="101"/>
      <x:c r="M190" s="101"/>
      <x:c r="N190" s="101"/>
      <x:c r="O190" s="101"/>
      <x:c r="P190" s="101"/>
      <x:c r="Q190" s="101"/>
      <x:c r="R190" s="101"/>
      <x:c r="S190" s="101"/>
      <x:c r="T190" s="101"/>
      <x:c r="U190" s="101"/>
      <x:c r="V190" s="101"/>
      <x:c r="W190" s="101"/>
      <x:c r="X190" s="101"/>
      <x:c r="Y190" s="101"/>
      <x:c r="Z190" s="101"/>
      <x:c r="AA190" s="101"/>
      <x:c r="AB190" s="101"/>
      <x:c r="AC190" s="101"/>
      <x:c r="AD190" s="101"/>
      <x:c r="AE190" s="101"/>
    </x:row>
    <x:row r="191">
      <x:c r="A191" s="101"/>
      <x:c r="B191" s="101"/>
      <x:c r="C191" s="101"/>
      <x:c r="D191" s="101"/>
      <x:c r="E191" s="101"/>
      <x:c r="F191" s="101"/>
      <x:c r="G191" s="101"/>
      <x:c r="H191" s="101"/>
      <x:c r="I191" s="101"/>
      <x:c r="J191" s="101"/>
      <x:c r="K191" s="101"/>
      <x:c r="L191" s="101"/>
      <x:c r="M191" s="101"/>
      <x:c r="N191" s="101"/>
      <x:c r="O191" s="101"/>
      <x:c r="P191" s="101"/>
      <x:c r="Q191" s="101"/>
      <x:c r="R191" s="101"/>
      <x:c r="S191" s="101"/>
      <x:c r="T191" s="101"/>
      <x:c r="U191" s="101"/>
      <x:c r="V191" s="101"/>
      <x:c r="W191" s="101"/>
      <x:c r="X191" s="101"/>
      <x:c r="Y191" s="101"/>
      <x:c r="Z191" s="101"/>
      <x:c r="AA191" s="101"/>
      <x:c r="AB191" s="101"/>
      <x:c r="AC191" s="101"/>
      <x:c r="AD191" s="101"/>
      <x:c r="AE191" s="101"/>
    </x:row>
    <x:row r="192">
      <x:c r="A192" s="101"/>
      <x:c r="B192" s="101"/>
      <x:c r="C192" s="101"/>
      <x:c r="D192" s="101"/>
      <x:c r="E192" s="101"/>
      <x:c r="F192" s="101"/>
      <x:c r="G192" s="101"/>
      <x:c r="H192" s="101"/>
      <x:c r="I192" s="101"/>
      <x:c r="J192" s="101"/>
      <x:c r="K192" s="101"/>
      <x:c r="L192" s="101"/>
      <x:c r="M192" s="101"/>
      <x:c r="N192" s="101"/>
      <x:c r="O192" s="101"/>
      <x:c r="P192" s="101"/>
      <x:c r="Q192" s="101"/>
      <x:c r="R192" s="101"/>
      <x:c r="S192" s="101"/>
      <x:c r="T192" s="101"/>
      <x:c r="U192" s="101"/>
      <x:c r="V192" s="101"/>
      <x:c r="W192" s="101"/>
      <x:c r="X192" s="101"/>
      <x:c r="Y192" s="101"/>
      <x:c r="Z192" s="101"/>
      <x:c r="AA192" s="101"/>
      <x:c r="AB192" s="101"/>
      <x:c r="AC192" s="101"/>
      <x:c r="AD192" s="101"/>
      <x:c r="AE192" s="101"/>
    </x:row>
    <x:row r="193">
      <x:c r="A193" s="101"/>
      <x:c r="B193" s="101"/>
      <x:c r="C193" s="101"/>
      <x:c r="D193" s="101"/>
      <x:c r="E193" s="101"/>
      <x:c r="F193" s="101"/>
      <x:c r="G193" s="101"/>
      <x:c r="H193" s="101"/>
      <x:c r="I193" s="101"/>
      <x:c r="J193" s="101"/>
      <x:c r="K193" s="101"/>
      <x:c r="L193" s="101"/>
      <x:c r="M193" s="101"/>
      <x:c r="N193" s="101"/>
      <x:c r="O193" s="101"/>
      <x:c r="P193" s="101"/>
      <x:c r="Q193" s="101"/>
      <x:c r="R193" s="101"/>
      <x:c r="S193" s="101"/>
      <x:c r="T193" s="101"/>
      <x:c r="U193" s="101"/>
      <x:c r="V193" s="101"/>
      <x:c r="W193" s="101"/>
      <x:c r="X193" s="101"/>
      <x:c r="Y193" s="101"/>
      <x:c r="Z193" s="101"/>
      <x:c r="AA193" s="101"/>
      <x:c r="AB193" s="101"/>
      <x:c r="AC193" s="101"/>
      <x:c r="AD193" s="101"/>
      <x:c r="AE193" s="101"/>
    </x:row>
    <x:row r="194">
      <x:c r="A194" s="101"/>
      <x:c r="B194" s="101"/>
      <x:c r="C194" s="101"/>
      <x:c r="D194" s="101"/>
      <x:c r="E194" s="101"/>
      <x:c r="F194" s="101"/>
      <x:c r="G194" s="101"/>
      <x:c r="H194" s="101"/>
      <x:c r="I194" s="101"/>
      <x:c r="J194" s="101"/>
      <x:c r="K194" s="101"/>
      <x:c r="L194" s="101"/>
      <x:c r="M194" s="101"/>
      <x:c r="N194" s="101"/>
      <x:c r="O194" s="101"/>
      <x:c r="P194" s="101"/>
      <x:c r="Q194" s="101"/>
      <x:c r="R194" s="101"/>
      <x:c r="S194" s="101"/>
      <x:c r="T194" s="101"/>
      <x:c r="U194" s="101"/>
      <x:c r="V194" s="101"/>
      <x:c r="W194" s="101"/>
      <x:c r="X194" s="101"/>
      <x:c r="Y194" s="101"/>
      <x:c r="Z194" s="101"/>
      <x:c r="AA194" s="101"/>
      <x:c r="AB194" s="101"/>
      <x:c r="AC194" s="101"/>
      <x:c r="AD194" s="101"/>
      <x:c r="AE194" s="101"/>
    </x:row>
    <x:row r="195">
      <x:c r="A195" s="101"/>
      <x:c r="B195" s="101"/>
      <x:c r="C195" s="101"/>
      <x:c r="D195" s="101"/>
      <x:c r="E195" s="101"/>
      <x:c r="F195" s="101"/>
      <x:c r="G195" s="101"/>
      <x:c r="H195" s="101"/>
      <x:c r="I195" s="101"/>
      <x:c r="J195" s="101"/>
      <x:c r="K195" s="101"/>
      <x:c r="L195" s="101"/>
      <x:c r="M195" s="101"/>
      <x:c r="N195" s="101"/>
      <x:c r="O195" s="101"/>
      <x:c r="P195" s="101"/>
      <x:c r="Q195" s="101"/>
      <x:c r="R195" s="101"/>
      <x:c r="S195" s="101"/>
      <x:c r="T195" s="101"/>
      <x:c r="U195" s="101"/>
      <x:c r="V195" s="101"/>
      <x:c r="W195" s="101"/>
      <x:c r="X195" s="101"/>
      <x:c r="Y195" s="101"/>
      <x:c r="Z195" s="101"/>
      <x:c r="AA195" s="101"/>
      <x:c r="AB195" s="101"/>
      <x:c r="AC195" s="101"/>
      <x:c r="AD195" s="101"/>
      <x:c r="AE195" s="101"/>
    </x:row>
    <x:row r="196">
      <x:c r="A196" s="101"/>
      <x:c r="B196" s="101"/>
      <x:c r="C196" s="101"/>
      <x:c r="D196" s="101"/>
      <x:c r="E196" s="101"/>
      <x:c r="F196" s="101"/>
      <x:c r="G196" s="101"/>
      <x:c r="H196" s="101"/>
      <x:c r="I196" s="101"/>
      <x:c r="J196" s="101"/>
      <x:c r="K196" s="101"/>
      <x:c r="L196" s="101"/>
      <x:c r="M196" s="101"/>
      <x:c r="N196" s="101"/>
      <x:c r="O196" s="101"/>
      <x:c r="P196" s="101"/>
      <x:c r="Q196" s="101"/>
      <x:c r="R196" s="101"/>
      <x:c r="S196" s="101"/>
      <x:c r="T196" s="101"/>
      <x:c r="U196" s="101"/>
      <x:c r="V196" s="101"/>
      <x:c r="W196" s="101"/>
      <x:c r="X196" s="101"/>
      <x:c r="Y196" s="101"/>
      <x:c r="Z196" s="101"/>
      <x:c r="AA196" s="101"/>
      <x:c r="AB196" s="101"/>
      <x:c r="AC196" s="101"/>
      <x:c r="AD196" s="101"/>
      <x:c r="AE196" s="101"/>
    </x:row>
    <x:row r="197">
      <x:c r="A197" s="101"/>
      <x:c r="B197" s="101"/>
      <x:c r="C197" s="101"/>
      <x:c r="D197" s="101"/>
      <x:c r="E197" s="101"/>
      <x:c r="F197" s="101"/>
      <x:c r="G197" s="101"/>
      <x:c r="H197" s="101"/>
      <x:c r="I197" s="101"/>
      <x:c r="J197" s="101"/>
      <x:c r="K197" s="101"/>
      <x:c r="L197" s="101"/>
      <x:c r="M197" s="101"/>
      <x:c r="N197" s="101"/>
      <x:c r="O197" s="101"/>
      <x:c r="P197" s="101"/>
      <x:c r="Q197" s="101"/>
      <x:c r="R197" s="101"/>
      <x:c r="S197" s="101"/>
      <x:c r="T197" s="101"/>
      <x:c r="U197" s="101"/>
      <x:c r="V197" s="101"/>
      <x:c r="W197" s="101"/>
      <x:c r="X197" s="101"/>
      <x:c r="Y197" s="101"/>
      <x:c r="Z197" s="101"/>
      <x:c r="AA197" s="101"/>
      <x:c r="AB197" s="101"/>
      <x:c r="AC197" s="101"/>
      <x:c r="AD197" s="101"/>
      <x:c r="AE197" s="101"/>
    </x:row>
    <x:row r="198">
      <x:c r="A198" s="101"/>
      <x:c r="B198" s="101"/>
      <x:c r="C198" s="101"/>
      <x:c r="D198" s="101"/>
      <x:c r="E198" s="101"/>
      <x:c r="F198" s="101"/>
      <x:c r="G198" s="101"/>
      <x:c r="H198" s="101"/>
      <x:c r="I198" s="101"/>
      <x:c r="J198" s="101"/>
      <x:c r="K198" s="101"/>
      <x:c r="L198" s="101"/>
      <x:c r="M198" s="101"/>
      <x:c r="N198" s="101"/>
      <x:c r="O198" s="101"/>
      <x:c r="P198" s="101"/>
      <x:c r="Q198" s="101"/>
      <x:c r="R198" s="101"/>
      <x:c r="S198" s="101"/>
      <x:c r="T198" s="101"/>
      <x:c r="U198" s="101"/>
      <x:c r="V198" s="101"/>
      <x:c r="W198" s="101"/>
      <x:c r="X198" s="101"/>
      <x:c r="Y198" s="101"/>
      <x:c r="Z198" s="101"/>
      <x:c r="AA198" s="101"/>
      <x:c r="AB198" s="101"/>
      <x:c r="AC198" s="101"/>
      <x:c r="AD198" s="101"/>
      <x:c r="AE198" s="101"/>
    </x:row>
    <x:row r="199">
      <x:c r="A199" s="101"/>
      <x:c r="B199" s="101"/>
      <x:c r="C199" s="101"/>
      <x:c r="D199" s="101"/>
      <x:c r="E199" s="101"/>
      <x:c r="F199" s="101"/>
      <x:c r="G199" s="101"/>
      <x:c r="H199" s="101"/>
      <x:c r="I199" s="101"/>
      <x:c r="J199" s="101"/>
      <x:c r="K199" s="101"/>
      <x:c r="L199" s="101"/>
      <x:c r="M199" s="101"/>
      <x:c r="N199" s="101"/>
      <x:c r="O199" s="101"/>
      <x:c r="P199" s="101"/>
      <x:c r="Q199" s="101"/>
      <x:c r="R199" s="101"/>
      <x:c r="S199" s="101"/>
      <x:c r="T199" s="101"/>
      <x:c r="U199" s="101"/>
      <x:c r="V199" s="101"/>
      <x:c r="W199" s="101"/>
      <x:c r="X199" s="101"/>
      <x:c r="Y199" s="101"/>
      <x:c r="Z199" s="101"/>
      <x:c r="AA199" s="101"/>
      <x:c r="AB199" s="101"/>
      <x:c r="AC199" s="101"/>
      <x:c r="AD199" s="101"/>
      <x:c r="AE199" s="101"/>
    </x:row>
    <x:row r="200">
      <x:c r="A200" s="101"/>
      <x:c r="B200" s="101"/>
      <x:c r="C200" s="101"/>
      <x:c r="D200" s="101"/>
      <x:c r="E200" s="101"/>
      <x:c r="F200" s="101"/>
      <x:c r="G200" s="101"/>
      <x:c r="H200" s="101"/>
      <x:c r="I200" s="101"/>
      <x:c r="J200" s="101"/>
      <x:c r="K200" s="101"/>
      <x:c r="L200" s="101"/>
      <x:c r="M200" s="101"/>
      <x:c r="N200" s="101"/>
      <x:c r="O200" s="101"/>
      <x:c r="P200" s="101"/>
      <x:c r="Q200" s="101"/>
      <x:c r="R200" s="101"/>
      <x:c r="S200" s="101"/>
      <x:c r="T200" s="101"/>
      <x:c r="U200" s="101"/>
      <x:c r="V200" s="101"/>
      <x:c r="W200" s="101"/>
      <x:c r="X200" s="101"/>
      <x:c r="Y200" s="101"/>
      <x:c r="Z200" s="101"/>
      <x:c r="AA200" s="101"/>
      <x:c r="AB200" s="101"/>
      <x:c r="AC200" s="101"/>
      <x:c r="AD200" s="101"/>
      <x:c r="AE200" s="101"/>
    </x:row>
  </x:sheetData>
  <x:mergeCells>
    <x:mergeCell ref="A1:H1"/>
    <x:mergeCell ref="A3:H3"/>
    <x:mergeCell ref="A4:H4"/>
    <x:mergeCell ref="A5:H5"/>
    <x:mergeCell ref="A6:H6"/>
    <x:mergeCell ref="A7:H7"/>
    <x:mergeCell ref="A8:H8"/>
    <x:mergeCell ref="A9:H9"/>
    <x:mergeCell ref="A10:H10"/>
    <x:mergeCell ref="A11:H11"/>
    <x:mergeCell ref="A12:H12"/>
    <x:mergeCell ref="A15:H15"/>
    <x:mergeCell ref="A16:H16"/>
    <x:mergeCell ref="A17:H17"/>
    <x:mergeCell ref="A18:H18"/>
    <x:mergeCell ref="A19:H19"/>
    <x:mergeCell ref="A20:H20"/>
    <x:mergeCell ref="A21:H21"/>
    <x:mergeCell ref="A22:H22"/>
    <x:mergeCell ref="A23:H23"/>
    <x:mergeCell ref="A24:H24"/>
    <x:mergeCell ref="A27:H27"/>
    <x:mergeCell ref="A28:H28"/>
    <x:mergeCell ref="A29:H29"/>
    <x:mergeCell ref="A30:H30"/>
    <x:mergeCell ref="A31:H31"/>
    <x:mergeCell ref="A32:H32"/>
    <x:mergeCell ref="A33:H33"/>
    <x:mergeCell ref="A34:H34"/>
    <x:mergeCell ref="A35:H35"/>
    <x:mergeCell ref="A36:H36"/>
    <x:mergeCell ref="A39:H39"/>
    <x:mergeCell ref="A40:H40"/>
    <x:mergeCell ref="A41:H41"/>
    <x:mergeCell ref="A42:H42"/>
    <x:mergeCell ref="A43:H43"/>
    <x:mergeCell ref="A44:H44"/>
    <x:mergeCell ref="A45:H45"/>
    <x:mergeCell ref="A46:H46"/>
    <x:mergeCell ref="A47:H47"/>
    <x:mergeCell ref="A48:H48"/>
    <x:mergeCell ref="A51:H51"/>
    <x:mergeCell ref="A52:H52"/>
    <x:mergeCell ref="A53:H53"/>
    <x:mergeCell ref="A54:H54"/>
    <x:mergeCell ref="A55:H55"/>
    <x:mergeCell ref="A56:H56"/>
    <x:mergeCell ref="A57:H57"/>
    <x:mergeCell ref="A58:H58"/>
    <x:mergeCell ref="A59:H59"/>
    <x:mergeCell ref="A60:H60"/>
    <x:mergeCell ref="A63:H63"/>
    <x:mergeCell ref="A64:H64"/>
    <x:mergeCell ref="A65:H65"/>
    <x:mergeCell ref="A66:H66"/>
    <x:mergeCell ref="A67:H67"/>
    <x:mergeCell ref="A68:H68"/>
    <x:mergeCell ref="A69:H69"/>
    <x:mergeCell ref="A70:H70"/>
    <x:mergeCell ref="A71:H71"/>
    <x:mergeCell ref="A72:H72"/>
    <x:mergeCell ref="A75:H75"/>
    <x:mergeCell ref="A76:H76"/>
    <x:mergeCell ref="A77:H77"/>
    <x:mergeCell ref="A78:H78"/>
    <x:mergeCell ref="A79:H79"/>
    <x:mergeCell ref="A80:H80"/>
    <x:mergeCell ref="A81:H81"/>
    <x:mergeCell ref="A82:H82"/>
    <x:mergeCell ref="A83:H83"/>
    <x:mergeCell ref="A84:H84"/>
    <x:mergeCell ref="A87:H87"/>
    <x:mergeCell ref="A88:H88"/>
    <x:mergeCell ref="A89:H89"/>
    <x:mergeCell ref="A90:H90"/>
    <x:mergeCell ref="A91:H91"/>
    <x:mergeCell ref="A92:H92"/>
    <x:mergeCell ref="A93:H93"/>
    <x:mergeCell ref="A94:H94"/>
    <x:mergeCell ref="A95:H95"/>
    <x:mergeCell ref="A96:H96"/>
    <x:mergeCell ref="A99:H99"/>
    <x:mergeCell ref="A100:H100"/>
    <x:mergeCell ref="A101:H101"/>
    <x:mergeCell ref="A102:H102"/>
    <x:mergeCell ref="A103:H103"/>
    <x:mergeCell ref="A104:H104"/>
    <x:mergeCell ref="A105:H105"/>
    <x:mergeCell ref="A106:H106"/>
    <x:mergeCell ref="A107:H107"/>
    <x:mergeCell ref="A108:H108"/>
    <x:mergeCell ref="A111:H111"/>
    <x:mergeCell ref="A112:H112"/>
    <x:mergeCell ref="A113:H113"/>
    <x:mergeCell ref="A114:H114"/>
    <x:mergeCell ref="A115:H115"/>
    <x:mergeCell ref="A116:H116"/>
    <x:mergeCell ref="A117:H117"/>
    <x:mergeCell ref="A118:H118"/>
    <x:mergeCell ref="A119:H119"/>
    <x:mergeCell ref="A120:H120"/>
    <x:mergeCell ref="A123:H123"/>
    <x:mergeCell ref="A124:H124"/>
    <x:mergeCell ref="A125:H125"/>
    <x:mergeCell ref="A126:H126"/>
    <x:mergeCell ref="A127:H127"/>
    <x:mergeCell ref="A128:H128"/>
    <x:mergeCell ref="A129:H129"/>
    <x:mergeCell ref="A130:H130"/>
    <x:mergeCell ref="A131:H131"/>
    <x:mergeCell ref="A132:H132"/>
    <x:mergeCell ref="A135:H135"/>
    <x:mergeCell ref="A136:H136"/>
    <x:mergeCell ref="A137:H137"/>
    <x:mergeCell ref="A138:H138"/>
    <x:mergeCell ref="A139:H139"/>
    <x:mergeCell ref="A140:H140"/>
    <x:mergeCell ref="A141:H141"/>
    <x:mergeCell ref="A142:H142"/>
    <x:mergeCell ref="A143:H143"/>
    <x:mergeCell ref="A144:H14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40" t="str">
        <x:v>PRINTABLE BOX / PACKAGE LABELS - linked from Package Register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</x:row>
    <x:row r="2">
      <x:c r="A2" s="101"/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  <x:c r="AE2" s="101"/>
    </x:row>
    <x:row r="3" ht="22" customHeight="1">
      <x:c r="A3" s="96" t="str">
        <x:f>IF('Package Register'!A3="","","IFS PACKAGE LABEL")</x:f>
      </x:c>
      <x:c r="B3" s="81"/>
      <x:c r="C3" s="81"/>
      <x:c r="D3" s="81"/>
      <x:c r="E3" s="96" t="str">
        <x:f>IF('Package Register'!A4="","","IFS PACKAGE LABEL")</x:f>
      </x:c>
      <x:c r="F3" s="81"/>
      <x:c r="G3" s="81"/>
      <x:c r="H3" s="81"/>
      <x:c r="I3" s="101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  <x:c r="AA3" s="101"/>
      <x:c r="AB3" s="101"/>
      <x:c r="AC3" s="101"/>
      <x:c r="AD3" s="101"/>
      <x:c r="AE3" s="101"/>
    </x:row>
    <x:row r="4" ht="22" customHeight="1">
      <x:c r="A4" s="81" t="str">
        <x:f>IF('Package Register'!A3="","",'START HERE'!B8 &amp; " | " &amp; 'Package Register'!C3)</x:f>
      </x:c>
      <x:c r="B4" s="81"/>
      <x:c r="C4" s="81"/>
      <x:c r="D4" s="81"/>
      <x:c r="E4" s="81" t="str">
        <x:f>IF('Package Register'!A4="","",'START HERE'!B8 &amp; " | " &amp; 'Package Register'!C4)</x:f>
      </x:c>
      <x:c r="F4" s="81"/>
      <x:c r="G4" s="81"/>
      <x:c r="H4" s="81"/>
      <x:c r="I4" s="101"/>
      <x:c r="J4" s="101"/>
      <x:c r="K4" s="101"/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  <x:c r="AA4" s="101"/>
      <x:c r="AB4" s="101"/>
      <x:c r="AC4" s="101"/>
      <x:c r="AD4" s="101"/>
      <x:c r="AE4" s="101"/>
    </x:row>
    <x:row r="5" ht="22" customHeight="1">
      <x:c r="A5" s="81" t="str">
        <x:f>IF('Package Register'!A3="","","PALLET: " &amp; 'Package Register'!B3)</x:f>
      </x:c>
      <x:c r="B5" s="81"/>
      <x:c r="C5" s="81"/>
      <x:c r="D5" s="81"/>
      <x:c r="E5" s="81" t="str">
        <x:f>IF('Package Register'!A4="","","PALLET: " &amp; 'Package Register'!B4)</x:f>
      </x:c>
      <x:c r="F5" s="81"/>
      <x:c r="G5" s="81"/>
      <x:c r="H5" s="81"/>
      <x:c r="I5" s="101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  <x:c r="AA5" s="101"/>
      <x:c r="AB5" s="101"/>
      <x:c r="AC5" s="101"/>
      <x:c r="AD5" s="101"/>
      <x:c r="AE5" s="101"/>
    </x:row>
    <x:row r="6" ht="22" customHeight="1">
      <x:c r="A6" s="81" t="str">
        <x:f>IF('Package Register'!A3="","",'Package Register'!D3)</x:f>
      </x:c>
      <x:c r="B6" s="81"/>
      <x:c r="C6" s="81"/>
      <x:c r="D6" s="81"/>
      <x:c r="E6" s="81" t="str">
        <x:f>IF('Package Register'!A4="","",'Package Register'!D4)</x:f>
      </x:c>
      <x:c r="F6" s="81"/>
      <x:c r="G6" s="81"/>
      <x:c r="H6" s="81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  <x:c r="AA6" s="101"/>
      <x:c r="AB6" s="101"/>
      <x:c r="AC6" s="101"/>
      <x:c r="AD6" s="101"/>
      <x:c r="AE6" s="101"/>
    </x:row>
    <x:row r="7" ht="22" customHeight="1">
      <x:c r="A7" s="81" t="str">
        <x:f>IF('Package Register'!A3="","",'Package Register'!F3)</x:f>
      </x:c>
      <x:c r="B7" s="81"/>
      <x:c r="C7" s="81"/>
      <x:c r="D7" s="81"/>
      <x:c r="E7" s="81" t="str">
        <x:f>IF('Package Register'!A4="","",'Package Register'!F4)</x:f>
      </x:c>
      <x:c r="F7" s="81"/>
      <x:c r="G7" s="81"/>
      <x:c r="H7" s="81"/>
      <x:c r="I7" s="101"/>
      <x:c r="J7" s="101"/>
      <x:c r="K7" s="101"/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  <x:c r="AA7" s="101"/>
      <x:c r="AB7" s="101"/>
      <x:c r="AC7" s="101"/>
      <x:c r="AD7" s="101"/>
      <x:c r="AE7" s="101"/>
    </x:row>
    <x:row r="8" ht="22" customHeight="1">
      <x:c r="A8" s="81" t="str">
        <x:f>IF('Package Register'!A3="","","Approx weight: " &amp; ROUND('Package Register'!G3,0) &amp; " kg | Size: " &amp; 'Package Register'!H3 &amp; " x " &amp; 'Package Register'!I3 &amp; " x " &amp; 'Package Register'!J3 &amp; " mm")</x:f>
      </x:c>
      <x:c r="B8" s="81"/>
      <x:c r="C8" s="81"/>
      <x:c r="D8" s="81"/>
      <x:c r="E8" s="81" t="str">
        <x:f>IF('Package Register'!A4="","","Approx weight: " &amp; ROUND('Package Register'!G4,0) &amp; " kg | Size: " &amp; 'Package Register'!H4 &amp; " x " &amp; 'Package Register'!I4 &amp; " x " &amp; 'Package Register'!J4 &amp; " mm")</x:f>
      </x:c>
      <x:c r="F8" s="81"/>
      <x:c r="G8" s="81"/>
      <x:c r="H8" s="81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  <x:c r="AA8" s="101"/>
      <x:c r="AB8" s="101"/>
      <x:c r="AC8" s="101"/>
      <x:c r="AD8" s="101"/>
      <x:c r="AE8" s="101"/>
    </x:row>
    <x:row r="9" ht="22" customHeight="1">
      <x:c r="A9" s="93" t="str">
        <x:f>IF('Package Register'!A3="","","KEEP DRY | HANDLE WITH CARE")</x:f>
      </x:c>
      <x:c r="B9" s="81"/>
      <x:c r="C9" s="81"/>
      <x:c r="D9" s="81"/>
      <x:c r="E9" s="93" t="str">
        <x:f>IF('Package Register'!A4="","","KEEP DRY | HANDLE WITH CARE")</x:f>
      </x:c>
      <x:c r="F9" s="81"/>
      <x:c r="G9" s="81"/>
      <x:c r="H9" s="8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  <x:c r="AA9" s="101"/>
      <x:c r="AB9" s="101"/>
      <x:c r="AC9" s="101"/>
      <x:c r="AD9" s="101"/>
      <x:c r="AE9" s="101"/>
    </x:row>
    <x:row r="10" ht="22" customHeight="1">
      <x:c r="A10" s="101"/>
      <x:c r="B10" s="101"/>
      <x:c r="C10" s="101"/>
      <x:c r="D10" s="101"/>
      <x:c r="E10" s="101"/>
      <x:c r="F10" s="101"/>
      <x:c r="G10" s="101"/>
      <x:c r="H10" s="101"/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  <x:c r="AA10" s="101"/>
      <x:c r="AB10" s="101"/>
      <x:c r="AC10" s="101"/>
      <x:c r="AD10" s="101"/>
      <x:c r="AE10" s="101"/>
    </x:row>
    <x:row r="11" ht="22" customHeight="1">
      <x:c r="A11" s="96" t="str">
        <x:f>IF('Package Register'!A5="","","IFS PACKAGE LABEL")</x:f>
      </x:c>
      <x:c r="B11" s="81"/>
      <x:c r="C11" s="81"/>
      <x:c r="D11" s="81"/>
      <x:c r="E11" s="96" t="str">
        <x:f>IF('Package Register'!A6="","","IFS PACKAGE LABEL")</x:f>
      </x:c>
      <x:c r="F11" s="81"/>
      <x:c r="G11" s="81"/>
      <x:c r="H11" s="81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  <x:c r="AA11" s="101"/>
      <x:c r="AB11" s="101"/>
      <x:c r="AC11" s="101"/>
      <x:c r="AD11" s="101"/>
      <x:c r="AE11" s="101"/>
    </x:row>
    <x:row r="12" ht="22" customHeight="1">
      <x:c r="A12" s="81" t="str">
        <x:f>IF('Package Register'!A5="","",'START HERE'!B8 &amp; " | " &amp; 'Package Register'!C5)</x:f>
      </x:c>
      <x:c r="B12" s="81"/>
      <x:c r="C12" s="81"/>
      <x:c r="D12" s="81"/>
      <x:c r="E12" s="81" t="str">
        <x:f>IF('Package Register'!A6="","",'START HERE'!B8 &amp; " | " &amp; 'Package Register'!C6)</x:f>
      </x:c>
      <x:c r="F12" s="81"/>
      <x:c r="G12" s="81"/>
      <x:c r="H12" s="81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  <x:c r="AA12" s="101"/>
      <x:c r="AB12" s="101"/>
      <x:c r="AC12" s="101"/>
      <x:c r="AD12" s="101"/>
      <x:c r="AE12" s="101"/>
    </x:row>
    <x:row r="13" ht="22" customHeight="1">
      <x:c r="A13" s="81" t="str">
        <x:f>IF('Package Register'!A5="","","PALLET: " &amp; 'Package Register'!B5)</x:f>
      </x:c>
      <x:c r="B13" s="81"/>
      <x:c r="C13" s="81"/>
      <x:c r="D13" s="81"/>
      <x:c r="E13" s="81" t="str">
        <x:f>IF('Package Register'!A6="","","PALLET: " &amp; 'Package Register'!B6)</x:f>
      </x:c>
      <x:c r="F13" s="81"/>
      <x:c r="G13" s="81"/>
      <x:c r="H13" s="81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  <x:c r="AA13" s="101"/>
      <x:c r="AB13" s="101"/>
      <x:c r="AC13" s="101"/>
      <x:c r="AD13" s="101"/>
      <x:c r="AE13" s="101"/>
    </x:row>
    <x:row r="14" ht="22" customHeight="1">
      <x:c r="A14" s="81" t="str">
        <x:f>IF('Package Register'!A5="","",'Package Register'!D5)</x:f>
      </x:c>
      <x:c r="B14" s="81"/>
      <x:c r="C14" s="81"/>
      <x:c r="D14" s="81"/>
      <x:c r="E14" s="81" t="str">
        <x:f>IF('Package Register'!A6="","",'Package Register'!D6)</x:f>
      </x:c>
      <x:c r="F14" s="81"/>
      <x:c r="G14" s="81"/>
      <x:c r="H14" s="81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  <x:c r="AA14" s="101"/>
      <x:c r="AB14" s="101"/>
      <x:c r="AC14" s="101"/>
      <x:c r="AD14" s="101"/>
      <x:c r="AE14" s="101"/>
    </x:row>
    <x:row r="15" ht="22" customHeight="1">
      <x:c r="A15" s="81" t="str">
        <x:f>IF('Package Register'!A5="","",'Package Register'!F5)</x:f>
      </x:c>
      <x:c r="B15" s="81"/>
      <x:c r="C15" s="81"/>
      <x:c r="D15" s="81"/>
      <x:c r="E15" s="81" t="str">
        <x:f>IF('Package Register'!A6="","",'Package Register'!F6)</x:f>
      </x:c>
      <x:c r="F15" s="81"/>
      <x:c r="G15" s="81"/>
      <x:c r="H15" s="81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  <x:c r="AA15" s="101"/>
      <x:c r="AB15" s="101"/>
      <x:c r="AC15" s="101"/>
      <x:c r="AD15" s="101"/>
      <x:c r="AE15" s="101"/>
    </x:row>
    <x:row r="16" ht="22" customHeight="1">
      <x:c r="A16" s="81" t="str">
        <x:f>IF('Package Register'!A5="","","Approx weight: " &amp; ROUND('Package Register'!G5,0) &amp; " kg | Size: " &amp; 'Package Register'!H5 &amp; " x " &amp; 'Package Register'!I5 &amp; " x " &amp; 'Package Register'!J5 &amp; " mm")</x:f>
      </x:c>
      <x:c r="B16" s="81"/>
      <x:c r="C16" s="81"/>
      <x:c r="D16" s="81"/>
      <x:c r="E16" s="81" t="str">
        <x:f>IF('Package Register'!A6="","","Approx weight: " &amp; ROUND('Package Register'!G6,0) &amp; " kg | Size: " &amp; 'Package Register'!H6 &amp; " x " &amp; 'Package Register'!I6 &amp; " x " &amp; 'Package Register'!J6 &amp; " mm")</x:f>
      </x:c>
      <x:c r="F16" s="81"/>
      <x:c r="G16" s="81"/>
      <x:c r="H16" s="81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  <x:c r="AA16" s="101"/>
      <x:c r="AB16" s="101"/>
      <x:c r="AC16" s="101"/>
      <x:c r="AD16" s="101"/>
      <x:c r="AE16" s="101"/>
    </x:row>
    <x:row r="17" ht="22" customHeight="1">
      <x:c r="A17" s="93" t="str">
        <x:f>IF('Package Register'!A5="","","KEEP DRY | HANDLE WITH CARE")</x:f>
      </x:c>
      <x:c r="B17" s="81"/>
      <x:c r="C17" s="81"/>
      <x:c r="D17" s="81"/>
      <x:c r="E17" s="93" t="str">
        <x:f>IF('Package Register'!A6="","","KEEP DRY | HANDLE WITH CARE")</x:f>
      </x:c>
      <x:c r="F17" s="81"/>
      <x:c r="G17" s="81"/>
      <x:c r="H17" s="81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  <x:c r="AA17" s="101"/>
      <x:c r="AB17" s="101"/>
      <x:c r="AC17" s="101"/>
      <x:c r="AD17" s="101"/>
      <x:c r="AE17" s="101"/>
    </x:row>
    <x:row r="18" ht="22" customHeight="1">
      <x:c r="A18" s="101"/>
      <x:c r="B18" s="101"/>
      <x:c r="C18" s="101"/>
      <x:c r="D18" s="101"/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  <x:c r="AA18" s="101"/>
      <x:c r="AB18" s="101"/>
      <x:c r="AC18" s="101"/>
      <x:c r="AD18" s="101"/>
      <x:c r="AE18" s="101"/>
    </x:row>
    <x:row r="19" ht="22" customHeight="1">
      <x:c r="A19" s="96" t="str">
        <x:f>IF('Package Register'!A7="","","IFS PACKAGE LABEL")</x:f>
      </x:c>
      <x:c r="B19" s="81"/>
      <x:c r="C19" s="81"/>
      <x:c r="D19" s="81"/>
      <x:c r="E19" s="96" t="str">
        <x:f>IF('Package Register'!A8="","","IFS PACKAGE LABEL")</x:f>
      </x:c>
      <x:c r="F19" s="81"/>
      <x:c r="G19" s="81"/>
      <x:c r="H19" s="81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  <x:c r="AA19" s="101"/>
      <x:c r="AB19" s="101"/>
      <x:c r="AC19" s="101"/>
      <x:c r="AD19" s="101"/>
      <x:c r="AE19" s="101"/>
    </x:row>
    <x:row r="20" ht="22" customHeight="1">
      <x:c r="A20" s="81" t="str">
        <x:f>IF('Package Register'!A7="","",'START HERE'!B8 &amp; " | " &amp; 'Package Register'!C7)</x:f>
      </x:c>
      <x:c r="B20" s="81"/>
      <x:c r="C20" s="81"/>
      <x:c r="D20" s="81"/>
      <x:c r="E20" s="81" t="str">
        <x:f>IF('Package Register'!A8="","",'START HERE'!B8 &amp; " | " &amp; 'Package Register'!C8)</x:f>
      </x:c>
      <x:c r="F20" s="81"/>
      <x:c r="G20" s="81"/>
      <x:c r="H20" s="81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  <x:c r="AA20" s="101"/>
      <x:c r="AB20" s="101"/>
      <x:c r="AC20" s="101"/>
      <x:c r="AD20" s="101"/>
      <x:c r="AE20" s="101"/>
    </x:row>
    <x:row r="21" ht="22" customHeight="1">
      <x:c r="A21" s="81" t="str">
        <x:f>IF('Package Register'!A7="","","PALLET: " &amp; 'Package Register'!B7)</x:f>
      </x:c>
      <x:c r="B21" s="81"/>
      <x:c r="C21" s="81"/>
      <x:c r="D21" s="81"/>
      <x:c r="E21" s="81" t="str">
        <x:f>IF('Package Register'!A8="","","PALLET: " &amp; 'Package Register'!B8)</x:f>
      </x:c>
      <x:c r="F21" s="81"/>
      <x:c r="G21" s="81"/>
      <x:c r="H21" s="81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  <x:c r="AA21" s="101"/>
      <x:c r="AB21" s="101"/>
      <x:c r="AC21" s="101"/>
      <x:c r="AD21" s="101"/>
      <x:c r="AE21" s="101"/>
    </x:row>
    <x:row r="22" ht="22" customHeight="1">
      <x:c r="A22" s="81" t="str">
        <x:f>IF('Package Register'!A7="","",'Package Register'!D7)</x:f>
      </x:c>
      <x:c r="B22" s="81"/>
      <x:c r="C22" s="81"/>
      <x:c r="D22" s="81"/>
      <x:c r="E22" s="81" t="str">
        <x:f>IF('Package Register'!A8="","",'Package Register'!D8)</x:f>
      </x:c>
      <x:c r="F22" s="81"/>
      <x:c r="G22" s="81"/>
      <x:c r="H22" s="81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  <x:c r="AA22" s="101"/>
      <x:c r="AB22" s="101"/>
      <x:c r="AC22" s="101"/>
      <x:c r="AD22" s="101"/>
      <x:c r="AE22" s="101"/>
    </x:row>
    <x:row r="23" ht="22" customHeight="1">
      <x:c r="A23" s="81" t="str">
        <x:f>IF('Package Register'!A7="","",'Package Register'!F7)</x:f>
      </x:c>
      <x:c r="B23" s="81"/>
      <x:c r="C23" s="81"/>
      <x:c r="D23" s="81"/>
      <x:c r="E23" s="81" t="str">
        <x:f>IF('Package Register'!A8="","",'Package Register'!F8)</x:f>
      </x:c>
      <x:c r="F23" s="81"/>
      <x:c r="G23" s="81"/>
      <x:c r="H23" s="81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  <x:c r="AA23" s="101"/>
      <x:c r="AB23" s="101"/>
      <x:c r="AC23" s="101"/>
      <x:c r="AD23" s="101"/>
      <x:c r="AE23" s="101"/>
    </x:row>
    <x:row r="24" ht="22" customHeight="1">
      <x:c r="A24" s="81" t="str">
        <x:f>IF('Package Register'!A7="","","Approx weight: " &amp; ROUND('Package Register'!G7,0) &amp; " kg | Size: " &amp; 'Package Register'!H7 &amp; " x " &amp; 'Package Register'!I7 &amp; " x " &amp; 'Package Register'!J7 &amp; " mm")</x:f>
      </x:c>
      <x:c r="B24" s="81"/>
      <x:c r="C24" s="81"/>
      <x:c r="D24" s="81"/>
      <x:c r="E24" s="81" t="str">
        <x:f>IF('Package Register'!A8="","","Approx weight: " &amp; ROUND('Package Register'!G8,0) &amp; " kg | Size: " &amp; 'Package Register'!H8 &amp; " x " &amp; 'Package Register'!I8 &amp; " x " &amp; 'Package Register'!J8 &amp; " mm")</x:f>
      </x:c>
      <x:c r="F24" s="81"/>
      <x:c r="G24" s="81"/>
      <x:c r="H24" s="8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  <x:c r="AA24" s="101"/>
      <x:c r="AB24" s="101"/>
      <x:c r="AC24" s="101"/>
      <x:c r="AD24" s="101"/>
      <x:c r="AE24" s="101"/>
    </x:row>
    <x:row r="25" ht="22" customHeight="1">
      <x:c r="A25" s="93" t="str">
        <x:f>IF('Package Register'!A7="","","KEEP DRY | HANDLE WITH CARE")</x:f>
      </x:c>
      <x:c r="B25" s="81"/>
      <x:c r="C25" s="81"/>
      <x:c r="D25" s="81"/>
      <x:c r="E25" s="93" t="str">
        <x:f>IF('Package Register'!A8="","","KEEP DRY | HANDLE WITH CARE")</x:f>
      </x:c>
      <x:c r="F25" s="81"/>
      <x:c r="G25" s="81"/>
      <x:c r="H25" s="8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  <x:c r="AA25" s="101"/>
      <x:c r="AB25" s="101"/>
      <x:c r="AC25" s="101"/>
      <x:c r="AD25" s="101"/>
      <x:c r="AE25" s="101"/>
    </x:row>
    <x:row r="26" ht="22" customHeight="1">
      <x:c r="A26" s="101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  <x:c r="AA26" s="101"/>
      <x:c r="AB26" s="101"/>
      <x:c r="AC26" s="101"/>
      <x:c r="AD26" s="101"/>
      <x:c r="AE26" s="101"/>
    </x:row>
    <x:row r="27" ht="22" customHeight="1">
      <x:c r="A27" s="96" t="str">
        <x:f>IF('Package Register'!A9="","","IFS PACKAGE LABEL")</x:f>
      </x:c>
      <x:c r="B27" s="81"/>
      <x:c r="C27" s="81"/>
      <x:c r="D27" s="81"/>
      <x:c r="E27" s="96" t="str">
        <x:f>IF('Package Register'!A10="","","IFS PACKAGE LABEL")</x:f>
      </x:c>
      <x:c r="F27" s="81"/>
      <x:c r="G27" s="81"/>
      <x:c r="H27" s="8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  <x:c r="AA27" s="101"/>
      <x:c r="AB27" s="101"/>
      <x:c r="AC27" s="101"/>
      <x:c r="AD27" s="101"/>
      <x:c r="AE27" s="101"/>
    </x:row>
    <x:row r="28" ht="22" customHeight="1">
      <x:c r="A28" s="81" t="str">
        <x:f>IF('Package Register'!A9="","",'START HERE'!B8 &amp; " | " &amp; 'Package Register'!C9)</x:f>
      </x:c>
      <x:c r="B28" s="81"/>
      <x:c r="C28" s="81"/>
      <x:c r="D28" s="81"/>
      <x:c r="E28" s="81" t="str">
        <x:f>IF('Package Register'!A10="","",'START HERE'!B8 &amp; " | " &amp; 'Package Register'!C10)</x:f>
      </x:c>
      <x:c r="F28" s="81"/>
      <x:c r="G28" s="81"/>
      <x:c r="H28" s="8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  <x:c r="AA28" s="101"/>
      <x:c r="AB28" s="101"/>
      <x:c r="AC28" s="101"/>
      <x:c r="AD28" s="101"/>
      <x:c r="AE28" s="101"/>
    </x:row>
    <x:row r="29" ht="22" customHeight="1">
      <x:c r="A29" s="81" t="str">
        <x:f>IF('Package Register'!A9="","","PALLET: " &amp; 'Package Register'!B9)</x:f>
      </x:c>
      <x:c r="B29" s="81"/>
      <x:c r="C29" s="81"/>
      <x:c r="D29" s="81"/>
      <x:c r="E29" s="81" t="str">
        <x:f>IF('Package Register'!A10="","","PALLET: " &amp; 'Package Register'!B10)</x:f>
      </x:c>
      <x:c r="F29" s="81"/>
      <x:c r="G29" s="81"/>
      <x:c r="H29" s="8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  <x:c r="AA29" s="101"/>
      <x:c r="AB29" s="101"/>
      <x:c r="AC29" s="101"/>
      <x:c r="AD29" s="101"/>
      <x:c r="AE29" s="101"/>
    </x:row>
    <x:row r="30" ht="22" customHeight="1">
      <x:c r="A30" s="81" t="str">
        <x:f>IF('Package Register'!A9="","",'Package Register'!D9)</x:f>
      </x:c>
      <x:c r="B30" s="81"/>
      <x:c r="C30" s="81"/>
      <x:c r="D30" s="81"/>
      <x:c r="E30" s="81" t="str">
        <x:f>IF('Package Register'!A10="","",'Package Register'!D10)</x:f>
      </x:c>
      <x:c r="F30" s="81"/>
      <x:c r="G30" s="81"/>
      <x:c r="H30" s="8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  <x:c r="AA30" s="101"/>
      <x:c r="AB30" s="101"/>
      <x:c r="AC30" s="101"/>
      <x:c r="AD30" s="101"/>
      <x:c r="AE30" s="101"/>
    </x:row>
    <x:row r="31" ht="22" customHeight="1">
      <x:c r="A31" s="81" t="str">
        <x:f>IF('Package Register'!A9="","",'Package Register'!F9)</x:f>
      </x:c>
      <x:c r="B31" s="81"/>
      <x:c r="C31" s="81"/>
      <x:c r="D31" s="81"/>
      <x:c r="E31" s="81" t="str">
        <x:f>IF('Package Register'!A10="","",'Package Register'!F10)</x:f>
      </x:c>
      <x:c r="F31" s="81"/>
      <x:c r="G31" s="81"/>
      <x:c r="H31" s="8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  <x:c r="AA31" s="101"/>
      <x:c r="AB31" s="101"/>
      <x:c r="AC31" s="101"/>
      <x:c r="AD31" s="101"/>
      <x:c r="AE31" s="101"/>
    </x:row>
    <x:row r="32" ht="22" customHeight="1">
      <x:c r="A32" s="81" t="str">
        <x:f>IF('Package Register'!A9="","","Approx weight: " &amp; ROUND('Package Register'!G9,0) &amp; " kg | Size: " &amp; 'Package Register'!H9 &amp; " x " &amp; 'Package Register'!I9 &amp; " x " &amp; 'Package Register'!J9 &amp; " mm")</x:f>
      </x:c>
      <x:c r="B32" s="81"/>
      <x:c r="C32" s="81"/>
      <x:c r="D32" s="81"/>
      <x:c r="E32" s="81" t="str">
        <x:f>IF('Package Register'!A10="","","Approx weight: " &amp; ROUND('Package Register'!G10,0) &amp; " kg | Size: " &amp; 'Package Register'!H10 &amp; " x " &amp; 'Package Register'!I10 &amp; " x " &amp; 'Package Register'!J10 &amp; " mm")</x:f>
      </x:c>
      <x:c r="F32" s="81"/>
      <x:c r="G32" s="81"/>
      <x:c r="H32" s="8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  <x:c r="AA32" s="101"/>
      <x:c r="AB32" s="101"/>
      <x:c r="AC32" s="101"/>
      <x:c r="AD32" s="101"/>
      <x:c r="AE32" s="101"/>
    </x:row>
    <x:row r="33" ht="22" customHeight="1">
      <x:c r="A33" s="93" t="str">
        <x:f>IF('Package Register'!A9="","","KEEP DRY | HANDLE WITH CARE")</x:f>
      </x:c>
      <x:c r="B33" s="81"/>
      <x:c r="C33" s="81"/>
      <x:c r="D33" s="81"/>
      <x:c r="E33" s="93" t="str">
        <x:f>IF('Package Register'!A10="","","KEEP DRY | HANDLE WITH CARE")</x:f>
      </x:c>
      <x:c r="F33" s="81"/>
      <x:c r="G33" s="81"/>
      <x:c r="H33" s="8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  <x:c r="AA33" s="101"/>
      <x:c r="AB33" s="101"/>
      <x:c r="AC33" s="101"/>
      <x:c r="AD33" s="101"/>
      <x:c r="AE33" s="101"/>
    </x:row>
    <x:row r="34" ht="22" customHeight="1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  <x:c r="AA34" s="101"/>
      <x:c r="AB34" s="101"/>
      <x:c r="AC34" s="101"/>
      <x:c r="AD34" s="101"/>
      <x:c r="AE34" s="101"/>
    </x:row>
    <x:row r="35" ht="22" customHeight="1">
      <x:c r="A35" s="96" t="str">
        <x:f>IF('Package Register'!A11="","","IFS PACKAGE LABEL")</x:f>
      </x:c>
      <x:c r="B35" s="81"/>
      <x:c r="C35" s="81"/>
      <x:c r="D35" s="81"/>
      <x:c r="E35" s="96" t="str">
        <x:f>IF('Package Register'!A12="","","IFS PACKAGE LABEL")</x:f>
      </x:c>
      <x:c r="F35" s="81"/>
      <x:c r="G35" s="81"/>
      <x:c r="H35" s="8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  <x:c r="AA35" s="101"/>
      <x:c r="AB35" s="101"/>
      <x:c r="AC35" s="101"/>
      <x:c r="AD35" s="101"/>
      <x:c r="AE35" s="101"/>
    </x:row>
    <x:row r="36" ht="22" customHeight="1">
      <x:c r="A36" s="81" t="str">
        <x:f>IF('Package Register'!A11="","",'START HERE'!B8 &amp; " | " &amp; 'Package Register'!C11)</x:f>
      </x:c>
      <x:c r="B36" s="81"/>
      <x:c r="C36" s="81"/>
      <x:c r="D36" s="81"/>
      <x:c r="E36" s="81" t="str">
        <x:f>IF('Package Register'!A12="","",'START HERE'!B8 &amp; " | " &amp; 'Package Register'!C12)</x:f>
      </x:c>
      <x:c r="F36" s="81"/>
      <x:c r="G36" s="81"/>
      <x:c r="H36" s="8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  <x:c r="AA36" s="101"/>
      <x:c r="AB36" s="101"/>
      <x:c r="AC36" s="101"/>
      <x:c r="AD36" s="101"/>
      <x:c r="AE36" s="101"/>
    </x:row>
    <x:row r="37" ht="22" customHeight="1">
      <x:c r="A37" s="81" t="str">
        <x:f>IF('Package Register'!A11="","","PALLET: " &amp; 'Package Register'!B11)</x:f>
      </x:c>
      <x:c r="B37" s="81"/>
      <x:c r="C37" s="81"/>
      <x:c r="D37" s="81"/>
      <x:c r="E37" s="81" t="str">
        <x:f>IF('Package Register'!A12="","","PALLET: " &amp; 'Package Register'!B12)</x:f>
      </x:c>
      <x:c r="F37" s="81"/>
      <x:c r="G37" s="81"/>
      <x:c r="H37" s="8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  <x:c r="AA37" s="101"/>
      <x:c r="AB37" s="101"/>
      <x:c r="AC37" s="101"/>
      <x:c r="AD37" s="101"/>
      <x:c r="AE37" s="101"/>
    </x:row>
    <x:row r="38" ht="22" customHeight="1">
      <x:c r="A38" s="81" t="str">
        <x:f>IF('Package Register'!A11="","",'Package Register'!D11)</x:f>
      </x:c>
      <x:c r="B38" s="81"/>
      <x:c r="C38" s="81"/>
      <x:c r="D38" s="81"/>
      <x:c r="E38" s="81" t="str">
        <x:f>IF('Package Register'!A12="","",'Package Register'!D12)</x:f>
      </x:c>
      <x:c r="F38" s="81"/>
      <x:c r="G38" s="81"/>
      <x:c r="H38" s="8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  <x:c r="AA38" s="101"/>
      <x:c r="AB38" s="101"/>
      <x:c r="AC38" s="101"/>
      <x:c r="AD38" s="101"/>
      <x:c r="AE38" s="101"/>
    </x:row>
    <x:row r="39" ht="22" customHeight="1">
      <x:c r="A39" s="81" t="str">
        <x:f>IF('Package Register'!A11="","",'Package Register'!F11)</x:f>
      </x:c>
      <x:c r="B39" s="81"/>
      <x:c r="C39" s="81"/>
      <x:c r="D39" s="81"/>
      <x:c r="E39" s="81" t="str">
        <x:f>IF('Package Register'!A12="","",'Package Register'!F12)</x:f>
      </x:c>
      <x:c r="F39" s="81"/>
      <x:c r="G39" s="81"/>
      <x:c r="H39" s="8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  <x:c r="AA39" s="101"/>
      <x:c r="AB39" s="101"/>
      <x:c r="AC39" s="101"/>
      <x:c r="AD39" s="101"/>
      <x:c r="AE39" s="101"/>
    </x:row>
    <x:row r="40" ht="22" customHeight="1">
      <x:c r="A40" s="81" t="str">
        <x:f>IF('Package Register'!A11="","","Approx weight: " &amp; ROUND('Package Register'!G11,0) &amp; " kg | Size: " &amp; 'Package Register'!H11 &amp; " x " &amp; 'Package Register'!I11 &amp; " x " &amp; 'Package Register'!J11 &amp; " mm")</x:f>
      </x:c>
      <x:c r="B40" s="81"/>
      <x:c r="C40" s="81"/>
      <x:c r="D40" s="81"/>
      <x:c r="E40" s="81" t="str">
        <x:f>IF('Package Register'!A12="","","Approx weight: " &amp; ROUND('Package Register'!G12,0) &amp; " kg | Size: " &amp; 'Package Register'!H12 &amp; " x " &amp; 'Package Register'!I12 &amp; " x " &amp; 'Package Register'!J12 &amp; " mm")</x:f>
      </x:c>
      <x:c r="F40" s="81"/>
      <x:c r="G40" s="81"/>
      <x:c r="H40" s="8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  <x:c r="AA40" s="101"/>
      <x:c r="AB40" s="101"/>
      <x:c r="AC40" s="101"/>
      <x:c r="AD40" s="101"/>
      <x:c r="AE40" s="101"/>
    </x:row>
    <x:row r="41" ht="22" customHeight="1">
      <x:c r="A41" s="93" t="str">
        <x:f>IF('Package Register'!A11="","","KEEP DRY | HANDLE WITH CARE")</x:f>
      </x:c>
      <x:c r="B41" s="81"/>
      <x:c r="C41" s="81"/>
      <x:c r="D41" s="81"/>
      <x:c r="E41" s="93" t="str">
        <x:f>IF('Package Register'!A12="","","KEEP DRY | HANDLE WITH CARE")</x:f>
      </x:c>
      <x:c r="F41" s="81"/>
      <x:c r="G41" s="81"/>
      <x:c r="H41" s="8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  <x:c r="AA41" s="101"/>
      <x:c r="AB41" s="101"/>
      <x:c r="AC41" s="101"/>
      <x:c r="AD41" s="101"/>
      <x:c r="AE41" s="101"/>
    </x:row>
    <x:row r="42" ht="22" customHeight="1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  <x:c r="AA42" s="101"/>
      <x:c r="AB42" s="101"/>
      <x:c r="AC42" s="101"/>
      <x:c r="AD42" s="101"/>
      <x:c r="AE42" s="101"/>
    </x:row>
    <x:row r="43" ht="22" customHeight="1">
      <x:c r="A43" s="96" t="str">
        <x:f>IF('Package Register'!A13="","","IFS PACKAGE LABEL")</x:f>
      </x:c>
      <x:c r="B43" s="81"/>
      <x:c r="C43" s="81"/>
      <x:c r="D43" s="81"/>
      <x:c r="E43" s="96" t="str">
        <x:f>IF('Package Register'!A14="","","IFS PACKAGE LABEL")</x:f>
      </x:c>
      <x:c r="F43" s="81"/>
      <x:c r="G43" s="81"/>
      <x:c r="H43" s="8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  <x:c r="AA43" s="101"/>
      <x:c r="AB43" s="101"/>
      <x:c r="AC43" s="101"/>
      <x:c r="AD43" s="101"/>
      <x:c r="AE43" s="101"/>
    </x:row>
    <x:row r="44" ht="22" customHeight="1">
      <x:c r="A44" s="81" t="str">
        <x:f>IF('Package Register'!A13="","",'START HERE'!B8 &amp; " | " &amp; 'Package Register'!C13)</x:f>
      </x:c>
      <x:c r="B44" s="81"/>
      <x:c r="C44" s="81"/>
      <x:c r="D44" s="81"/>
      <x:c r="E44" s="81" t="str">
        <x:f>IF('Package Register'!A14="","",'START HERE'!B8 &amp; " | " &amp; 'Package Register'!C14)</x:f>
      </x:c>
      <x:c r="F44" s="81"/>
      <x:c r="G44" s="81"/>
      <x:c r="H44" s="8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  <x:c r="AA44" s="101"/>
      <x:c r="AB44" s="101"/>
      <x:c r="AC44" s="101"/>
      <x:c r="AD44" s="101"/>
      <x:c r="AE44" s="101"/>
    </x:row>
    <x:row r="45" ht="22" customHeight="1">
      <x:c r="A45" s="81" t="str">
        <x:f>IF('Package Register'!A13="","","PALLET: " &amp; 'Package Register'!B13)</x:f>
      </x:c>
      <x:c r="B45" s="81"/>
      <x:c r="C45" s="81"/>
      <x:c r="D45" s="81"/>
      <x:c r="E45" s="81" t="str">
        <x:f>IF('Package Register'!A14="","","PALLET: " &amp; 'Package Register'!B14)</x:f>
      </x:c>
      <x:c r="F45" s="81"/>
      <x:c r="G45" s="81"/>
      <x:c r="H45" s="8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  <x:c r="AA45" s="101"/>
      <x:c r="AB45" s="101"/>
      <x:c r="AC45" s="101"/>
      <x:c r="AD45" s="101"/>
      <x:c r="AE45" s="101"/>
    </x:row>
    <x:row r="46" ht="22" customHeight="1">
      <x:c r="A46" s="81" t="str">
        <x:f>IF('Package Register'!A13="","",'Package Register'!D13)</x:f>
      </x:c>
      <x:c r="B46" s="81"/>
      <x:c r="C46" s="81"/>
      <x:c r="D46" s="81"/>
      <x:c r="E46" s="81" t="str">
        <x:f>IF('Package Register'!A14="","",'Package Register'!D14)</x:f>
      </x:c>
      <x:c r="F46" s="81"/>
      <x:c r="G46" s="81"/>
      <x:c r="H46" s="8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  <x:c r="AA46" s="101"/>
      <x:c r="AB46" s="101"/>
      <x:c r="AC46" s="101"/>
      <x:c r="AD46" s="101"/>
      <x:c r="AE46" s="101"/>
    </x:row>
    <x:row r="47" ht="22" customHeight="1">
      <x:c r="A47" s="81" t="str">
        <x:f>IF('Package Register'!A13="","",'Package Register'!F13)</x:f>
      </x:c>
      <x:c r="B47" s="81"/>
      <x:c r="C47" s="81"/>
      <x:c r="D47" s="81"/>
      <x:c r="E47" s="81" t="str">
        <x:f>IF('Package Register'!A14="","",'Package Register'!F14)</x:f>
      </x:c>
      <x:c r="F47" s="81"/>
      <x:c r="G47" s="81"/>
      <x:c r="H47" s="8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  <x:c r="AA47" s="101"/>
      <x:c r="AB47" s="101"/>
      <x:c r="AC47" s="101"/>
      <x:c r="AD47" s="101"/>
      <x:c r="AE47" s="101"/>
    </x:row>
    <x:row r="48" ht="22" customHeight="1">
      <x:c r="A48" s="81" t="str">
        <x:f>IF('Package Register'!A13="","","Approx weight: " &amp; ROUND('Package Register'!G13,0) &amp; " kg | Size: " &amp; 'Package Register'!H13 &amp; " x " &amp; 'Package Register'!I13 &amp; " x " &amp; 'Package Register'!J13 &amp; " mm")</x:f>
      </x:c>
      <x:c r="B48" s="81"/>
      <x:c r="C48" s="81"/>
      <x:c r="D48" s="81"/>
      <x:c r="E48" s="81" t="str">
        <x:f>IF('Package Register'!A14="","","Approx weight: " &amp; ROUND('Package Register'!G14,0) &amp; " kg | Size: " &amp; 'Package Register'!H14 &amp; " x " &amp; 'Package Register'!I14 &amp; " x " &amp; 'Package Register'!J14 &amp; " mm")</x:f>
      </x:c>
      <x:c r="F48" s="81"/>
      <x:c r="G48" s="81"/>
      <x:c r="H48" s="8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  <x:c r="AA48" s="101"/>
      <x:c r="AB48" s="101"/>
      <x:c r="AC48" s="101"/>
      <x:c r="AD48" s="101"/>
      <x:c r="AE48" s="101"/>
    </x:row>
    <x:row r="49" ht="22" customHeight="1">
      <x:c r="A49" s="93" t="str">
        <x:f>IF('Package Register'!A13="","","KEEP DRY | HANDLE WITH CARE")</x:f>
      </x:c>
      <x:c r="B49" s="81"/>
      <x:c r="C49" s="81"/>
      <x:c r="D49" s="81"/>
      <x:c r="E49" s="93" t="str">
        <x:f>IF('Package Register'!A14="","","KEEP DRY | HANDLE WITH CARE")</x:f>
      </x:c>
      <x:c r="F49" s="81"/>
      <x:c r="G49" s="81"/>
      <x:c r="H49" s="8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  <x:c r="AA49" s="101"/>
      <x:c r="AB49" s="101"/>
      <x:c r="AC49" s="101"/>
      <x:c r="AD49" s="101"/>
      <x:c r="AE49" s="101"/>
    </x:row>
    <x:row r="50" ht="22" customHeight="1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  <x:c r="AA50" s="101"/>
      <x:c r="AB50" s="101"/>
      <x:c r="AC50" s="101"/>
      <x:c r="AD50" s="101"/>
      <x:c r="AE50" s="101"/>
    </x:row>
    <x:row r="51" ht="22" customHeight="1">
      <x:c r="A51" s="96" t="str">
        <x:f>IF('Package Register'!A15="","","IFS PACKAGE LABEL")</x:f>
      </x:c>
      <x:c r="B51" s="81"/>
      <x:c r="C51" s="81"/>
      <x:c r="D51" s="81"/>
      <x:c r="E51" s="96" t="str">
        <x:f>IF('Package Register'!A16="","","IFS PACKAGE LABEL")</x:f>
      </x:c>
      <x:c r="F51" s="81"/>
      <x:c r="G51" s="81"/>
      <x:c r="H51" s="8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  <x:c r="AA51" s="101"/>
      <x:c r="AB51" s="101"/>
      <x:c r="AC51" s="101"/>
      <x:c r="AD51" s="101"/>
      <x:c r="AE51" s="101"/>
    </x:row>
    <x:row r="52" ht="22" customHeight="1">
      <x:c r="A52" s="81" t="str">
        <x:f>IF('Package Register'!A15="","",'START HERE'!B8 &amp; " | " &amp; 'Package Register'!C15)</x:f>
      </x:c>
      <x:c r="B52" s="81"/>
      <x:c r="C52" s="81"/>
      <x:c r="D52" s="81"/>
      <x:c r="E52" s="81" t="str">
        <x:f>IF('Package Register'!A16="","",'START HERE'!B8 &amp; " | " &amp; 'Package Register'!C16)</x:f>
      </x:c>
      <x:c r="F52" s="81"/>
      <x:c r="G52" s="81"/>
      <x:c r="H52" s="8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  <x:c r="AA52" s="101"/>
      <x:c r="AB52" s="101"/>
      <x:c r="AC52" s="101"/>
      <x:c r="AD52" s="101"/>
      <x:c r="AE52" s="101"/>
    </x:row>
    <x:row r="53" ht="22" customHeight="1">
      <x:c r="A53" s="81" t="str">
        <x:f>IF('Package Register'!A15="","","PALLET: " &amp; 'Package Register'!B15)</x:f>
      </x:c>
      <x:c r="B53" s="81"/>
      <x:c r="C53" s="81"/>
      <x:c r="D53" s="81"/>
      <x:c r="E53" s="81" t="str">
        <x:f>IF('Package Register'!A16="","","PALLET: " &amp; 'Package Register'!B16)</x:f>
      </x:c>
      <x:c r="F53" s="81"/>
      <x:c r="G53" s="81"/>
      <x:c r="H53" s="8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  <x:c r="AA53" s="101"/>
      <x:c r="AB53" s="101"/>
      <x:c r="AC53" s="101"/>
      <x:c r="AD53" s="101"/>
      <x:c r="AE53" s="101"/>
    </x:row>
    <x:row r="54" ht="22" customHeight="1">
      <x:c r="A54" s="81" t="str">
        <x:f>IF('Package Register'!A15="","",'Package Register'!D15)</x:f>
      </x:c>
      <x:c r="B54" s="81"/>
      <x:c r="C54" s="81"/>
      <x:c r="D54" s="81"/>
      <x:c r="E54" s="81" t="str">
        <x:f>IF('Package Register'!A16="","",'Package Register'!D16)</x:f>
      </x:c>
      <x:c r="F54" s="81"/>
      <x:c r="G54" s="81"/>
      <x:c r="H54" s="8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  <x:c r="AA54" s="101"/>
      <x:c r="AB54" s="101"/>
      <x:c r="AC54" s="101"/>
      <x:c r="AD54" s="101"/>
      <x:c r="AE54" s="101"/>
    </x:row>
    <x:row r="55" ht="22" customHeight="1">
      <x:c r="A55" s="81" t="str">
        <x:f>IF('Package Register'!A15="","",'Package Register'!F15)</x:f>
      </x:c>
      <x:c r="B55" s="81"/>
      <x:c r="C55" s="81"/>
      <x:c r="D55" s="81"/>
      <x:c r="E55" s="81" t="str">
        <x:f>IF('Package Register'!A16="","",'Package Register'!F16)</x:f>
      </x:c>
      <x:c r="F55" s="81"/>
      <x:c r="G55" s="81"/>
      <x:c r="H55" s="8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  <x:c r="AA55" s="101"/>
      <x:c r="AB55" s="101"/>
      <x:c r="AC55" s="101"/>
      <x:c r="AD55" s="101"/>
      <x:c r="AE55" s="101"/>
    </x:row>
    <x:row r="56" ht="22" customHeight="1">
      <x:c r="A56" s="81" t="str">
        <x:f>IF('Package Register'!A15="","","Approx weight: " &amp; ROUND('Package Register'!G15,0) &amp; " kg | Size: " &amp; 'Package Register'!H15 &amp; " x " &amp; 'Package Register'!I15 &amp; " x " &amp; 'Package Register'!J15 &amp; " mm")</x:f>
      </x:c>
      <x:c r="B56" s="81"/>
      <x:c r="C56" s="81"/>
      <x:c r="D56" s="81"/>
      <x:c r="E56" s="81" t="str">
        <x:f>IF('Package Register'!A16="","","Approx weight: " &amp; ROUND('Package Register'!G16,0) &amp; " kg | Size: " &amp; 'Package Register'!H16 &amp; " x " &amp; 'Package Register'!I16 &amp; " x " &amp; 'Package Register'!J16 &amp; " mm")</x:f>
      </x:c>
      <x:c r="F56" s="81"/>
      <x:c r="G56" s="81"/>
      <x:c r="H56" s="8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  <x:c r="AA56" s="101"/>
      <x:c r="AB56" s="101"/>
      <x:c r="AC56" s="101"/>
      <x:c r="AD56" s="101"/>
      <x:c r="AE56" s="101"/>
    </x:row>
    <x:row r="57" ht="22" customHeight="1">
      <x:c r="A57" s="93" t="str">
        <x:f>IF('Package Register'!A15="","","KEEP DRY | HANDLE WITH CARE")</x:f>
      </x:c>
      <x:c r="B57" s="81"/>
      <x:c r="C57" s="81"/>
      <x:c r="D57" s="81"/>
      <x:c r="E57" s="93" t="str">
        <x:f>IF('Package Register'!A16="","","KEEP DRY | HANDLE WITH CARE")</x:f>
      </x:c>
      <x:c r="F57" s="81"/>
      <x:c r="G57" s="81"/>
      <x:c r="H57" s="8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  <x:c r="AA57" s="101"/>
      <x:c r="AB57" s="101"/>
      <x:c r="AC57" s="101"/>
      <x:c r="AD57" s="101"/>
      <x:c r="AE57" s="101"/>
    </x:row>
    <x:row r="58" ht="22" customHeight="1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  <x:c r="AA58" s="101"/>
      <x:c r="AB58" s="101"/>
      <x:c r="AC58" s="101"/>
      <x:c r="AD58" s="101"/>
      <x:c r="AE58" s="101"/>
    </x:row>
    <x:row r="59" ht="22" customHeight="1">
      <x:c r="A59" s="96" t="str">
        <x:f>IF('Package Register'!A17="","","IFS PACKAGE LABEL")</x:f>
      </x:c>
      <x:c r="B59" s="81"/>
      <x:c r="C59" s="81"/>
      <x:c r="D59" s="81"/>
      <x:c r="E59" s="96" t="str">
        <x:f>IF('Package Register'!A18="","","IFS PACKAGE LABEL")</x:f>
      </x:c>
      <x:c r="F59" s="81"/>
      <x:c r="G59" s="81"/>
      <x:c r="H59" s="8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  <x:c r="AA59" s="101"/>
      <x:c r="AB59" s="101"/>
      <x:c r="AC59" s="101"/>
      <x:c r="AD59" s="101"/>
      <x:c r="AE59" s="101"/>
    </x:row>
    <x:row r="60" ht="22" customHeight="1">
      <x:c r="A60" s="81" t="str">
        <x:f>IF('Package Register'!A17="","",'START HERE'!B8 &amp; " | " &amp; 'Package Register'!C17)</x:f>
      </x:c>
      <x:c r="B60" s="81"/>
      <x:c r="C60" s="81"/>
      <x:c r="D60" s="81"/>
      <x:c r="E60" s="81" t="str">
        <x:f>IF('Package Register'!A18="","",'START HERE'!B8 &amp; " | " &amp; 'Package Register'!C18)</x:f>
      </x:c>
      <x:c r="F60" s="81"/>
      <x:c r="G60" s="81"/>
      <x:c r="H60" s="8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  <x:c r="AA60" s="101"/>
      <x:c r="AB60" s="101"/>
      <x:c r="AC60" s="101"/>
      <x:c r="AD60" s="101"/>
      <x:c r="AE60" s="101"/>
    </x:row>
    <x:row r="61" ht="22" customHeight="1">
      <x:c r="A61" s="81" t="str">
        <x:f>IF('Package Register'!A17="","","PALLET: " &amp; 'Package Register'!B17)</x:f>
      </x:c>
      <x:c r="B61" s="81"/>
      <x:c r="C61" s="81"/>
      <x:c r="D61" s="81"/>
      <x:c r="E61" s="81" t="str">
        <x:f>IF('Package Register'!A18="","","PALLET: " &amp; 'Package Register'!B18)</x:f>
      </x:c>
      <x:c r="F61" s="81"/>
      <x:c r="G61" s="81"/>
      <x:c r="H61" s="8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  <x:c r="AA61" s="101"/>
      <x:c r="AB61" s="101"/>
      <x:c r="AC61" s="101"/>
      <x:c r="AD61" s="101"/>
      <x:c r="AE61" s="101"/>
    </x:row>
    <x:row r="62" ht="22" customHeight="1">
      <x:c r="A62" s="81" t="str">
        <x:f>IF('Package Register'!A17="","",'Package Register'!D17)</x:f>
      </x:c>
      <x:c r="B62" s="81"/>
      <x:c r="C62" s="81"/>
      <x:c r="D62" s="81"/>
      <x:c r="E62" s="81" t="str">
        <x:f>IF('Package Register'!A18="","",'Package Register'!D18)</x:f>
      </x:c>
      <x:c r="F62" s="81"/>
      <x:c r="G62" s="81"/>
      <x:c r="H62" s="8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  <x:c r="AA62" s="101"/>
      <x:c r="AB62" s="101"/>
      <x:c r="AC62" s="101"/>
      <x:c r="AD62" s="101"/>
      <x:c r="AE62" s="101"/>
    </x:row>
    <x:row r="63" ht="22" customHeight="1">
      <x:c r="A63" s="81" t="str">
        <x:f>IF('Package Register'!A17="","",'Package Register'!F17)</x:f>
      </x:c>
      <x:c r="B63" s="81"/>
      <x:c r="C63" s="81"/>
      <x:c r="D63" s="81"/>
      <x:c r="E63" s="81" t="str">
        <x:f>IF('Package Register'!A18="","",'Package Register'!F18)</x:f>
      </x:c>
      <x:c r="F63" s="81"/>
      <x:c r="G63" s="81"/>
      <x:c r="H63" s="8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  <x:c r="AA63" s="101"/>
      <x:c r="AB63" s="101"/>
      <x:c r="AC63" s="101"/>
      <x:c r="AD63" s="101"/>
      <x:c r="AE63" s="101"/>
    </x:row>
    <x:row r="64" ht="22" customHeight="1">
      <x:c r="A64" s="81" t="str">
        <x:f>IF('Package Register'!A17="","","Approx weight: " &amp; ROUND('Package Register'!G17,0) &amp; " kg | Size: " &amp; 'Package Register'!H17 &amp; " x " &amp; 'Package Register'!I17 &amp; " x " &amp; 'Package Register'!J17 &amp; " mm")</x:f>
      </x:c>
      <x:c r="B64" s="81"/>
      <x:c r="C64" s="81"/>
      <x:c r="D64" s="81"/>
      <x:c r="E64" s="81" t="str">
        <x:f>IF('Package Register'!A18="","","Approx weight: " &amp; ROUND('Package Register'!G18,0) &amp; " kg | Size: " &amp; 'Package Register'!H18 &amp; " x " &amp; 'Package Register'!I18 &amp; " x " &amp; 'Package Register'!J18 &amp; " mm")</x:f>
      </x:c>
      <x:c r="F64" s="81"/>
      <x:c r="G64" s="81"/>
      <x:c r="H64" s="8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  <x:c r="AA64" s="101"/>
      <x:c r="AB64" s="101"/>
      <x:c r="AC64" s="101"/>
      <x:c r="AD64" s="101"/>
      <x:c r="AE64" s="101"/>
    </x:row>
    <x:row r="65" ht="22" customHeight="1">
      <x:c r="A65" s="93" t="str">
        <x:f>IF('Package Register'!A17="","","KEEP DRY | HANDLE WITH CARE")</x:f>
      </x:c>
      <x:c r="B65" s="81"/>
      <x:c r="C65" s="81"/>
      <x:c r="D65" s="81"/>
      <x:c r="E65" s="93" t="str">
        <x:f>IF('Package Register'!A18="","","KEEP DRY | HANDLE WITH CARE")</x:f>
      </x:c>
      <x:c r="F65" s="81"/>
      <x:c r="G65" s="81"/>
      <x:c r="H65" s="8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  <x:c r="AA65" s="101"/>
      <x:c r="AB65" s="101"/>
      <x:c r="AC65" s="101"/>
      <x:c r="AD65" s="101"/>
      <x:c r="AE65" s="101"/>
    </x:row>
    <x:row r="66" ht="22" customHeight="1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  <x:c r="AA66" s="101"/>
      <x:c r="AB66" s="101"/>
      <x:c r="AC66" s="101"/>
      <x:c r="AD66" s="101"/>
      <x:c r="AE66" s="101"/>
    </x:row>
    <x:row r="67" ht="22" customHeight="1">
      <x:c r="A67" s="96" t="str">
        <x:f>IF('Package Register'!A19="","","IFS PACKAGE LABEL")</x:f>
      </x:c>
      <x:c r="B67" s="81"/>
      <x:c r="C67" s="81"/>
      <x:c r="D67" s="81"/>
      <x:c r="E67" s="96" t="str">
        <x:f>IF('Package Register'!A20="","","IFS PACKAGE LABEL")</x:f>
      </x:c>
      <x:c r="F67" s="81"/>
      <x:c r="G67" s="81"/>
      <x:c r="H67" s="8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  <x:c r="AA67" s="101"/>
      <x:c r="AB67" s="101"/>
      <x:c r="AC67" s="101"/>
      <x:c r="AD67" s="101"/>
      <x:c r="AE67" s="101"/>
    </x:row>
    <x:row r="68" ht="22" customHeight="1">
      <x:c r="A68" s="81" t="str">
        <x:f>IF('Package Register'!A19="","",'START HERE'!B8 &amp; " | " &amp; 'Package Register'!C19)</x:f>
      </x:c>
      <x:c r="B68" s="81"/>
      <x:c r="C68" s="81"/>
      <x:c r="D68" s="81"/>
      <x:c r="E68" s="81" t="str">
        <x:f>IF('Package Register'!A20="","",'START HERE'!B8 &amp; " | " &amp; 'Package Register'!C20)</x:f>
      </x:c>
      <x:c r="F68" s="81"/>
      <x:c r="G68" s="81"/>
      <x:c r="H68" s="8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  <x:c r="AA68" s="101"/>
      <x:c r="AB68" s="101"/>
      <x:c r="AC68" s="101"/>
      <x:c r="AD68" s="101"/>
      <x:c r="AE68" s="101"/>
    </x:row>
    <x:row r="69" ht="22" customHeight="1">
      <x:c r="A69" s="81" t="str">
        <x:f>IF('Package Register'!A19="","","PALLET: " &amp; 'Package Register'!B19)</x:f>
      </x:c>
      <x:c r="B69" s="81"/>
      <x:c r="C69" s="81"/>
      <x:c r="D69" s="81"/>
      <x:c r="E69" s="81" t="str">
        <x:f>IF('Package Register'!A20="","","PALLET: " &amp; 'Package Register'!B20)</x:f>
      </x:c>
      <x:c r="F69" s="81"/>
      <x:c r="G69" s="81"/>
      <x:c r="H69" s="8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  <x:c r="AA69" s="101"/>
      <x:c r="AB69" s="101"/>
      <x:c r="AC69" s="101"/>
      <x:c r="AD69" s="101"/>
      <x:c r="AE69" s="101"/>
    </x:row>
    <x:row r="70" ht="22" customHeight="1">
      <x:c r="A70" s="81" t="str">
        <x:f>IF('Package Register'!A19="","",'Package Register'!D19)</x:f>
      </x:c>
      <x:c r="B70" s="81"/>
      <x:c r="C70" s="81"/>
      <x:c r="D70" s="81"/>
      <x:c r="E70" s="81" t="str">
        <x:f>IF('Package Register'!A20="","",'Package Register'!D20)</x:f>
      </x:c>
      <x:c r="F70" s="81"/>
      <x:c r="G70" s="81"/>
      <x:c r="H70" s="8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  <x:c r="AA70" s="101"/>
      <x:c r="AB70" s="101"/>
      <x:c r="AC70" s="101"/>
      <x:c r="AD70" s="101"/>
      <x:c r="AE70" s="101"/>
    </x:row>
    <x:row r="71" ht="22" customHeight="1">
      <x:c r="A71" s="81" t="str">
        <x:f>IF('Package Register'!A19="","",'Package Register'!F19)</x:f>
      </x:c>
      <x:c r="B71" s="81"/>
      <x:c r="C71" s="81"/>
      <x:c r="D71" s="81"/>
      <x:c r="E71" s="81" t="str">
        <x:f>IF('Package Register'!A20="","",'Package Register'!F20)</x:f>
      </x:c>
      <x:c r="F71" s="81"/>
      <x:c r="G71" s="81"/>
      <x:c r="H71" s="8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  <x:c r="AA71" s="101"/>
      <x:c r="AB71" s="101"/>
      <x:c r="AC71" s="101"/>
      <x:c r="AD71" s="101"/>
      <x:c r="AE71" s="101"/>
    </x:row>
    <x:row r="72" ht="22" customHeight="1">
      <x:c r="A72" s="81" t="str">
        <x:f>IF('Package Register'!A19="","","Approx weight: " &amp; ROUND('Package Register'!G19,0) &amp; " kg | Size: " &amp; 'Package Register'!H19 &amp; " x " &amp; 'Package Register'!I19 &amp; " x " &amp; 'Package Register'!J19 &amp; " mm")</x:f>
      </x:c>
      <x:c r="B72" s="81"/>
      <x:c r="C72" s="81"/>
      <x:c r="D72" s="81"/>
      <x:c r="E72" s="81" t="str">
        <x:f>IF('Package Register'!A20="","","Approx weight: " &amp; ROUND('Package Register'!G20,0) &amp; " kg | Size: " &amp; 'Package Register'!H20 &amp; " x " &amp; 'Package Register'!I20 &amp; " x " &amp; 'Package Register'!J20 &amp; " mm")</x:f>
      </x:c>
      <x:c r="F72" s="81"/>
      <x:c r="G72" s="81"/>
      <x:c r="H72" s="8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  <x:c r="AA72" s="101"/>
      <x:c r="AB72" s="101"/>
      <x:c r="AC72" s="101"/>
      <x:c r="AD72" s="101"/>
      <x:c r="AE72" s="101"/>
    </x:row>
    <x:row r="73" ht="22" customHeight="1">
      <x:c r="A73" s="93" t="str">
        <x:f>IF('Package Register'!A19="","","KEEP DRY | HANDLE WITH CARE")</x:f>
      </x:c>
      <x:c r="B73" s="81"/>
      <x:c r="C73" s="81"/>
      <x:c r="D73" s="81"/>
      <x:c r="E73" s="93" t="str">
        <x:f>IF('Package Register'!A20="","","KEEP DRY | HANDLE WITH CARE")</x:f>
      </x:c>
      <x:c r="F73" s="81"/>
      <x:c r="G73" s="81"/>
      <x:c r="H73" s="8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  <x:c r="AA73" s="101"/>
      <x:c r="AB73" s="101"/>
      <x:c r="AC73" s="101"/>
      <x:c r="AD73" s="101"/>
      <x:c r="AE73" s="101"/>
    </x:row>
    <x:row r="74" ht="22" customHeight="1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  <x:c r="AA74" s="101"/>
      <x:c r="AB74" s="101"/>
      <x:c r="AC74" s="101"/>
      <x:c r="AD74" s="101"/>
      <x:c r="AE74" s="101"/>
    </x:row>
    <x:row r="75" ht="22" customHeight="1">
      <x:c r="A75" s="96" t="str">
        <x:f>IF('Package Register'!A21="","","IFS PACKAGE LABEL")</x:f>
      </x:c>
      <x:c r="B75" s="81"/>
      <x:c r="C75" s="81"/>
      <x:c r="D75" s="81"/>
      <x:c r="E75" s="96" t="str">
        <x:f>IF('Package Register'!A22="","","IFS PACKAGE LABEL")</x:f>
      </x:c>
      <x:c r="F75" s="81"/>
      <x:c r="G75" s="81"/>
      <x:c r="H75" s="8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  <x:c r="AA75" s="101"/>
      <x:c r="AB75" s="101"/>
      <x:c r="AC75" s="101"/>
      <x:c r="AD75" s="101"/>
      <x:c r="AE75" s="101"/>
    </x:row>
    <x:row r="76" ht="22" customHeight="1">
      <x:c r="A76" s="81" t="str">
        <x:f>IF('Package Register'!A21="","",'START HERE'!B8 &amp; " | " &amp; 'Package Register'!C21)</x:f>
      </x:c>
      <x:c r="B76" s="81"/>
      <x:c r="C76" s="81"/>
      <x:c r="D76" s="81"/>
      <x:c r="E76" s="81" t="str">
        <x:f>IF('Package Register'!A22="","",'START HERE'!B8 &amp; " | " &amp; 'Package Register'!C22)</x:f>
      </x:c>
      <x:c r="F76" s="81"/>
      <x:c r="G76" s="81"/>
      <x:c r="H76" s="8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  <x:c r="AA76" s="101"/>
      <x:c r="AB76" s="101"/>
      <x:c r="AC76" s="101"/>
      <x:c r="AD76" s="101"/>
      <x:c r="AE76" s="101"/>
    </x:row>
    <x:row r="77" ht="22" customHeight="1">
      <x:c r="A77" s="81" t="str">
        <x:f>IF('Package Register'!A21="","","PALLET: " &amp; 'Package Register'!B21)</x:f>
      </x:c>
      <x:c r="B77" s="81"/>
      <x:c r="C77" s="81"/>
      <x:c r="D77" s="81"/>
      <x:c r="E77" s="81" t="str">
        <x:f>IF('Package Register'!A22="","","PALLET: " &amp; 'Package Register'!B22)</x:f>
      </x:c>
      <x:c r="F77" s="81"/>
      <x:c r="G77" s="81"/>
      <x:c r="H77" s="8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  <x:c r="AA77" s="101"/>
      <x:c r="AB77" s="101"/>
      <x:c r="AC77" s="101"/>
      <x:c r="AD77" s="101"/>
      <x:c r="AE77" s="101"/>
    </x:row>
    <x:row r="78" ht="22" customHeight="1">
      <x:c r="A78" s="81" t="str">
        <x:f>IF('Package Register'!A21="","",'Package Register'!D21)</x:f>
      </x:c>
      <x:c r="B78" s="81"/>
      <x:c r="C78" s="81"/>
      <x:c r="D78" s="81"/>
      <x:c r="E78" s="81" t="str">
        <x:f>IF('Package Register'!A22="","",'Package Register'!D22)</x:f>
      </x:c>
      <x:c r="F78" s="81"/>
      <x:c r="G78" s="81"/>
      <x:c r="H78" s="8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  <x:c r="AA78" s="101"/>
      <x:c r="AB78" s="101"/>
      <x:c r="AC78" s="101"/>
      <x:c r="AD78" s="101"/>
      <x:c r="AE78" s="101"/>
    </x:row>
    <x:row r="79" ht="22" customHeight="1">
      <x:c r="A79" s="81" t="str">
        <x:f>IF('Package Register'!A21="","",'Package Register'!F21)</x:f>
      </x:c>
      <x:c r="B79" s="81"/>
      <x:c r="C79" s="81"/>
      <x:c r="D79" s="81"/>
      <x:c r="E79" s="81" t="str">
        <x:f>IF('Package Register'!A22="","",'Package Register'!F22)</x:f>
      </x:c>
      <x:c r="F79" s="81"/>
      <x:c r="G79" s="81"/>
      <x:c r="H79" s="8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  <x:c r="AA79" s="101"/>
      <x:c r="AB79" s="101"/>
      <x:c r="AC79" s="101"/>
      <x:c r="AD79" s="101"/>
      <x:c r="AE79" s="101"/>
    </x:row>
    <x:row r="80" ht="22" customHeight="1">
      <x:c r="A80" s="81" t="str">
        <x:f>IF('Package Register'!A21="","","Approx weight: " &amp; ROUND('Package Register'!G21,0) &amp; " kg | Size: " &amp; 'Package Register'!H21 &amp; " x " &amp; 'Package Register'!I21 &amp; " x " &amp; 'Package Register'!J21 &amp; " mm")</x:f>
      </x:c>
      <x:c r="B80" s="81"/>
      <x:c r="C80" s="81"/>
      <x:c r="D80" s="81"/>
      <x:c r="E80" s="81" t="str">
        <x:f>IF('Package Register'!A22="","","Approx weight: " &amp; ROUND('Package Register'!G22,0) &amp; " kg | Size: " &amp; 'Package Register'!H22 &amp; " x " &amp; 'Package Register'!I22 &amp; " x " &amp; 'Package Register'!J22 &amp; " mm")</x:f>
      </x:c>
      <x:c r="F80" s="81"/>
      <x:c r="G80" s="81"/>
      <x:c r="H80" s="8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  <x:c r="AA80" s="101"/>
      <x:c r="AB80" s="101"/>
      <x:c r="AC80" s="101"/>
      <x:c r="AD80" s="101"/>
      <x:c r="AE80" s="101"/>
    </x:row>
    <x:row r="81" ht="22" customHeight="1">
      <x:c r="A81" s="93" t="str">
        <x:f>IF('Package Register'!A21="","","KEEP DRY | HANDLE WITH CARE")</x:f>
      </x:c>
      <x:c r="B81" s="81"/>
      <x:c r="C81" s="81"/>
      <x:c r="D81" s="81"/>
      <x:c r="E81" s="93" t="str">
        <x:f>IF('Package Register'!A22="","","KEEP DRY | HANDLE WITH CARE")</x:f>
      </x:c>
      <x:c r="F81" s="81"/>
      <x:c r="G81" s="81"/>
      <x:c r="H81" s="8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  <x:c r="AA81" s="101"/>
      <x:c r="AB81" s="101"/>
      <x:c r="AC81" s="101"/>
      <x:c r="AD81" s="101"/>
      <x:c r="AE81" s="101"/>
    </x:row>
    <x:row r="82" ht="22" customHeight="1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  <x:c r="AA82" s="101"/>
      <x:c r="AB82" s="101"/>
      <x:c r="AC82" s="101"/>
      <x:c r="AD82" s="101"/>
      <x:c r="AE82" s="101"/>
    </x:row>
    <x:row r="83" ht="22" customHeight="1">
      <x:c r="A83" s="96" t="str">
        <x:f>IF('Package Register'!A23="","","IFS PACKAGE LABEL")</x:f>
      </x:c>
      <x:c r="B83" s="81"/>
      <x:c r="C83" s="81"/>
      <x:c r="D83" s="81"/>
      <x:c r="E83" s="96" t="str">
        <x:f>IF('Package Register'!A24="","","IFS PACKAGE LABEL")</x:f>
      </x:c>
      <x:c r="F83" s="81"/>
      <x:c r="G83" s="81"/>
      <x:c r="H83" s="8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  <x:c r="AA83" s="101"/>
      <x:c r="AB83" s="101"/>
      <x:c r="AC83" s="101"/>
      <x:c r="AD83" s="101"/>
      <x:c r="AE83" s="101"/>
    </x:row>
    <x:row r="84" ht="22" customHeight="1">
      <x:c r="A84" s="81" t="str">
        <x:f>IF('Package Register'!A23="","",'START HERE'!B8 &amp; " | " &amp; 'Package Register'!C23)</x:f>
      </x:c>
      <x:c r="B84" s="81"/>
      <x:c r="C84" s="81"/>
      <x:c r="D84" s="81"/>
      <x:c r="E84" s="81" t="str">
        <x:f>IF('Package Register'!A24="","",'START HERE'!B8 &amp; " | " &amp; 'Package Register'!C24)</x:f>
      </x:c>
      <x:c r="F84" s="81"/>
      <x:c r="G84" s="81"/>
      <x:c r="H84" s="8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  <x:c r="AA84" s="101"/>
      <x:c r="AB84" s="101"/>
      <x:c r="AC84" s="101"/>
      <x:c r="AD84" s="101"/>
      <x:c r="AE84" s="101"/>
    </x:row>
    <x:row r="85" ht="22" customHeight="1">
      <x:c r="A85" s="81" t="str">
        <x:f>IF('Package Register'!A23="","","PALLET: " &amp; 'Package Register'!B23)</x:f>
      </x:c>
      <x:c r="B85" s="81"/>
      <x:c r="C85" s="81"/>
      <x:c r="D85" s="81"/>
      <x:c r="E85" s="81" t="str">
        <x:f>IF('Package Register'!A24="","","PALLET: " &amp; 'Package Register'!B24)</x:f>
      </x:c>
      <x:c r="F85" s="81"/>
      <x:c r="G85" s="81"/>
      <x:c r="H85" s="8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  <x:c r="AA85" s="101"/>
      <x:c r="AB85" s="101"/>
      <x:c r="AC85" s="101"/>
      <x:c r="AD85" s="101"/>
      <x:c r="AE85" s="101"/>
    </x:row>
    <x:row r="86" ht="22" customHeight="1">
      <x:c r="A86" s="81" t="str">
        <x:f>IF('Package Register'!A23="","",'Package Register'!D23)</x:f>
      </x:c>
      <x:c r="B86" s="81"/>
      <x:c r="C86" s="81"/>
      <x:c r="D86" s="81"/>
      <x:c r="E86" s="81" t="str">
        <x:f>IF('Package Register'!A24="","",'Package Register'!D24)</x:f>
      </x:c>
      <x:c r="F86" s="81"/>
      <x:c r="G86" s="81"/>
      <x:c r="H86" s="8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  <x:c r="AA86" s="101"/>
      <x:c r="AB86" s="101"/>
      <x:c r="AC86" s="101"/>
      <x:c r="AD86" s="101"/>
      <x:c r="AE86" s="101"/>
    </x:row>
    <x:row r="87" ht="22" customHeight="1">
      <x:c r="A87" s="81" t="str">
        <x:f>IF('Package Register'!A23="","",'Package Register'!F23)</x:f>
      </x:c>
      <x:c r="B87" s="81"/>
      <x:c r="C87" s="81"/>
      <x:c r="D87" s="81"/>
      <x:c r="E87" s="81" t="str">
        <x:f>IF('Package Register'!A24="","",'Package Register'!F24)</x:f>
      </x:c>
      <x:c r="F87" s="81"/>
      <x:c r="G87" s="81"/>
      <x:c r="H87" s="8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  <x:c r="AA87" s="101"/>
      <x:c r="AB87" s="101"/>
      <x:c r="AC87" s="101"/>
      <x:c r="AD87" s="101"/>
      <x:c r="AE87" s="101"/>
    </x:row>
    <x:row r="88" ht="22" customHeight="1">
      <x:c r="A88" s="81" t="str">
        <x:f>IF('Package Register'!A23="","","Approx weight: " &amp; ROUND('Package Register'!G23,0) &amp; " kg | Size: " &amp; 'Package Register'!H23 &amp; " x " &amp; 'Package Register'!I23 &amp; " x " &amp; 'Package Register'!J23 &amp; " mm")</x:f>
      </x:c>
      <x:c r="B88" s="81"/>
      <x:c r="C88" s="81"/>
      <x:c r="D88" s="81"/>
      <x:c r="E88" s="81" t="str">
        <x:f>IF('Package Register'!A24="","","Approx weight: " &amp; ROUND('Package Register'!G24,0) &amp; " kg | Size: " &amp; 'Package Register'!H24 &amp; " x " &amp; 'Package Register'!I24 &amp; " x " &amp; 'Package Register'!J24 &amp; " mm")</x:f>
      </x:c>
      <x:c r="F88" s="81"/>
      <x:c r="G88" s="81"/>
      <x:c r="H88" s="8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  <x:c r="AA88" s="101"/>
      <x:c r="AB88" s="101"/>
      <x:c r="AC88" s="101"/>
      <x:c r="AD88" s="101"/>
      <x:c r="AE88" s="101"/>
    </x:row>
    <x:row r="89" ht="22" customHeight="1">
      <x:c r="A89" s="93" t="str">
        <x:f>IF('Package Register'!A23="","","KEEP DRY | HANDLE WITH CARE")</x:f>
      </x:c>
      <x:c r="B89" s="81"/>
      <x:c r="C89" s="81"/>
      <x:c r="D89" s="81"/>
      <x:c r="E89" s="93" t="str">
        <x:f>IF('Package Register'!A24="","","KEEP DRY | HANDLE WITH CARE")</x:f>
      </x:c>
      <x:c r="F89" s="81"/>
      <x:c r="G89" s="81"/>
      <x:c r="H89" s="8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  <x:c r="AA89" s="101"/>
      <x:c r="AB89" s="101"/>
      <x:c r="AC89" s="101"/>
      <x:c r="AD89" s="101"/>
      <x:c r="AE89" s="101"/>
    </x:row>
    <x:row r="90" ht="22" customHeight="1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  <x:c r="AA90" s="101"/>
      <x:c r="AB90" s="101"/>
      <x:c r="AC90" s="101"/>
      <x:c r="AD90" s="101"/>
      <x:c r="AE90" s="101"/>
    </x:row>
    <x:row r="91" ht="22" customHeight="1">
      <x:c r="A91" s="96" t="str">
        <x:f>IF('Package Register'!A25="","","IFS PACKAGE LABEL")</x:f>
      </x:c>
      <x:c r="B91" s="81"/>
      <x:c r="C91" s="81"/>
      <x:c r="D91" s="81"/>
      <x:c r="E91" s="96" t="str">
        <x:f>IF('Package Register'!A26="","","IFS PACKAGE LABEL")</x:f>
      </x:c>
      <x:c r="F91" s="81"/>
      <x:c r="G91" s="81"/>
      <x:c r="H91" s="8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  <x:c r="AA91" s="101"/>
      <x:c r="AB91" s="101"/>
      <x:c r="AC91" s="101"/>
      <x:c r="AD91" s="101"/>
      <x:c r="AE91" s="101"/>
    </x:row>
    <x:row r="92" ht="22" customHeight="1">
      <x:c r="A92" s="81" t="str">
        <x:f>IF('Package Register'!A25="","",'START HERE'!B8 &amp; " | " &amp; 'Package Register'!C25)</x:f>
      </x:c>
      <x:c r="B92" s="81"/>
      <x:c r="C92" s="81"/>
      <x:c r="D92" s="81"/>
      <x:c r="E92" s="81" t="str">
        <x:f>IF('Package Register'!A26="","",'START HERE'!B8 &amp; " | " &amp; 'Package Register'!C26)</x:f>
      </x:c>
      <x:c r="F92" s="81"/>
      <x:c r="G92" s="81"/>
      <x:c r="H92" s="8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  <x:c r="AA92" s="101"/>
      <x:c r="AB92" s="101"/>
      <x:c r="AC92" s="101"/>
      <x:c r="AD92" s="101"/>
      <x:c r="AE92" s="101"/>
    </x:row>
    <x:row r="93" ht="22" customHeight="1">
      <x:c r="A93" s="81" t="str">
        <x:f>IF('Package Register'!A25="","","PALLET: " &amp; 'Package Register'!B25)</x:f>
      </x:c>
      <x:c r="B93" s="81"/>
      <x:c r="C93" s="81"/>
      <x:c r="D93" s="81"/>
      <x:c r="E93" s="81" t="str">
        <x:f>IF('Package Register'!A26="","","PALLET: " &amp; 'Package Register'!B26)</x:f>
      </x:c>
      <x:c r="F93" s="81"/>
      <x:c r="G93" s="81"/>
      <x:c r="H93" s="8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  <x:c r="AA93" s="101"/>
      <x:c r="AB93" s="101"/>
      <x:c r="AC93" s="101"/>
      <x:c r="AD93" s="101"/>
      <x:c r="AE93" s="101"/>
    </x:row>
    <x:row r="94" ht="22" customHeight="1">
      <x:c r="A94" s="81" t="str">
        <x:f>IF('Package Register'!A25="","",'Package Register'!D25)</x:f>
      </x:c>
      <x:c r="B94" s="81"/>
      <x:c r="C94" s="81"/>
      <x:c r="D94" s="81"/>
      <x:c r="E94" s="81" t="str">
        <x:f>IF('Package Register'!A26="","",'Package Register'!D26)</x:f>
      </x:c>
      <x:c r="F94" s="81"/>
      <x:c r="G94" s="81"/>
      <x:c r="H94" s="8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  <x:c r="AA94" s="101"/>
      <x:c r="AB94" s="101"/>
      <x:c r="AC94" s="101"/>
      <x:c r="AD94" s="101"/>
      <x:c r="AE94" s="101"/>
    </x:row>
    <x:row r="95" ht="22" customHeight="1">
      <x:c r="A95" s="81" t="str">
        <x:f>IF('Package Register'!A25="","",'Package Register'!F25)</x:f>
      </x:c>
      <x:c r="B95" s="81"/>
      <x:c r="C95" s="81"/>
      <x:c r="D95" s="81"/>
      <x:c r="E95" s="81" t="str">
        <x:f>IF('Package Register'!A26="","",'Package Register'!F26)</x:f>
      </x:c>
      <x:c r="F95" s="81"/>
      <x:c r="G95" s="81"/>
      <x:c r="H95" s="8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  <x:c r="AA95" s="101"/>
      <x:c r="AB95" s="101"/>
      <x:c r="AC95" s="101"/>
      <x:c r="AD95" s="101"/>
      <x:c r="AE95" s="101"/>
    </x:row>
    <x:row r="96" ht="22" customHeight="1">
      <x:c r="A96" s="81" t="str">
        <x:f>IF('Package Register'!A25="","","Approx weight: " &amp; ROUND('Package Register'!G25,0) &amp; " kg | Size: " &amp; 'Package Register'!H25 &amp; " x " &amp; 'Package Register'!I25 &amp; " x " &amp; 'Package Register'!J25 &amp; " mm")</x:f>
      </x:c>
      <x:c r="B96" s="81"/>
      <x:c r="C96" s="81"/>
      <x:c r="D96" s="81"/>
      <x:c r="E96" s="81" t="str">
        <x:f>IF('Package Register'!A26="","","Approx weight: " &amp; ROUND('Package Register'!G26,0) &amp; " kg | Size: " &amp; 'Package Register'!H26 &amp; " x " &amp; 'Package Register'!I26 &amp; " x " &amp; 'Package Register'!J26 &amp; " mm")</x:f>
      </x:c>
      <x:c r="F96" s="81"/>
      <x:c r="G96" s="81"/>
      <x:c r="H96" s="8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  <x:c r="AA96" s="101"/>
      <x:c r="AB96" s="101"/>
      <x:c r="AC96" s="101"/>
      <x:c r="AD96" s="101"/>
      <x:c r="AE96" s="101"/>
    </x:row>
    <x:row r="97" ht="22" customHeight="1">
      <x:c r="A97" s="93" t="str">
        <x:f>IF('Package Register'!A25="","","KEEP DRY | HANDLE WITH CARE")</x:f>
      </x:c>
      <x:c r="B97" s="81"/>
      <x:c r="C97" s="81"/>
      <x:c r="D97" s="81"/>
      <x:c r="E97" s="93" t="str">
        <x:f>IF('Package Register'!A26="","","KEEP DRY | HANDLE WITH CARE")</x:f>
      </x:c>
      <x:c r="F97" s="81"/>
      <x:c r="G97" s="81"/>
      <x:c r="H97" s="8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  <x:c r="AA97" s="101"/>
      <x:c r="AB97" s="101"/>
      <x:c r="AC97" s="101"/>
      <x:c r="AD97" s="101"/>
      <x:c r="AE97" s="101"/>
    </x:row>
    <x:row r="98" ht="22" customHeight="1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  <x:c r="AA98" s="101"/>
      <x:c r="AB98" s="101"/>
      <x:c r="AC98" s="101"/>
      <x:c r="AD98" s="101"/>
      <x:c r="AE98" s="101"/>
    </x:row>
    <x:row r="99" ht="22" customHeight="1">
      <x:c r="A99" s="96" t="str">
        <x:f>IF('Package Register'!A27="","","IFS PACKAGE LABEL")</x:f>
      </x:c>
      <x:c r="B99" s="81"/>
      <x:c r="C99" s="81"/>
      <x:c r="D99" s="81"/>
      <x:c r="E99" s="96" t="str">
        <x:f>IF('Package Register'!A28="","","IFS PACKAGE LABEL")</x:f>
      </x:c>
      <x:c r="F99" s="81"/>
      <x:c r="G99" s="81"/>
      <x:c r="H99" s="8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  <x:c r="AA99" s="101"/>
      <x:c r="AB99" s="101"/>
      <x:c r="AC99" s="101"/>
      <x:c r="AD99" s="101"/>
      <x:c r="AE99" s="101"/>
    </x:row>
    <x:row r="100" ht="22" customHeight="1">
      <x:c r="A100" s="81" t="str">
        <x:f>IF('Package Register'!A27="","",'START HERE'!B8 &amp; " | " &amp; 'Package Register'!C27)</x:f>
      </x:c>
      <x:c r="B100" s="81"/>
      <x:c r="C100" s="81"/>
      <x:c r="D100" s="81"/>
      <x:c r="E100" s="81" t="str">
        <x:f>IF('Package Register'!A28="","",'START HERE'!B8 &amp; " | " &amp; 'Package Register'!C28)</x:f>
      </x:c>
      <x:c r="F100" s="81"/>
      <x:c r="G100" s="81"/>
      <x:c r="H100" s="8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  <x:c r="AA100" s="101"/>
      <x:c r="AB100" s="101"/>
      <x:c r="AC100" s="101"/>
      <x:c r="AD100" s="101"/>
      <x:c r="AE100" s="101"/>
    </x:row>
    <x:row r="101" ht="22" customHeight="1">
      <x:c r="A101" s="81" t="str">
        <x:f>IF('Package Register'!A27="","","PALLET: " &amp; 'Package Register'!B27)</x:f>
      </x:c>
      <x:c r="B101" s="81"/>
      <x:c r="C101" s="81"/>
      <x:c r="D101" s="81"/>
      <x:c r="E101" s="81" t="str">
        <x:f>IF('Package Register'!A28="","","PALLET: " &amp; 'Package Register'!B28)</x:f>
      </x:c>
      <x:c r="F101" s="81"/>
      <x:c r="G101" s="81"/>
      <x:c r="H101" s="8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  <x:c r="AA101" s="101"/>
      <x:c r="AB101" s="101"/>
      <x:c r="AC101" s="101"/>
      <x:c r="AD101" s="101"/>
      <x:c r="AE101" s="101"/>
    </x:row>
    <x:row r="102" ht="22" customHeight="1">
      <x:c r="A102" s="81" t="str">
        <x:f>IF('Package Register'!A27="","",'Package Register'!D27)</x:f>
      </x:c>
      <x:c r="B102" s="81"/>
      <x:c r="C102" s="81"/>
      <x:c r="D102" s="81"/>
      <x:c r="E102" s="81" t="str">
        <x:f>IF('Package Register'!A28="","",'Package Register'!D28)</x:f>
      </x:c>
      <x:c r="F102" s="81"/>
      <x:c r="G102" s="81"/>
      <x:c r="H102" s="8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  <x:c r="AA102" s="101"/>
      <x:c r="AB102" s="101"/>
      <x:c r="AC102" s="101"/>
      <x:c r="AD102" s="101"/>
      <x:c r="AE102" s="101"/>
    </x:row>
    <x:row r="103" ht="22" customHeight="1">
      <x:c r="A103" s="81" t="str">
        <x:f>IF('Package Register'!A27="","",'Package Register'!F27)</x:f>
      </x:c>
      <x:c r="B103" s="81"/>
      <x:c r="C103" s="81"/>
      <x:c r="D103" s="81"/>
      <x:c r="E103" s="81" t="str">
        <x:f>IF('Package Register'!A28="","",'Package Register'!F28)</x:f>
      </x:c>
      <x:c r="F103" s="81"/>
      <x:c r="G103" s="81"/>
      <x:c r="H103" s="8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  <x:c r="AA103" s="101"/>
      <x:c r="AB103" s="101"/>
      <x:c r="AC103" s="101"/>
      <x:c r="AD103" s="101"/>
      <x:c r="AE103" s="101"/>
    </x:row>
    <x:row r="104" ht="22" customHeight="1">
      <x:c r="A104" s="81" t="str">
        <x:f>IF('Package Register'!A27="","","Approx weight: " &amp; ROUND('Package Register'!G27,0) &amp; " kg | Size: " &amp; 'Package Register'!H27 &amp; " x " &amp; 'Package Register'!I27 &amp; " x " &amp; 'Package Register'!J27 &amp; " mm")</x:f>
      </x:c>
      <x:c r="B104" s="81"/>
      <x:c r="C104" s="81"/>
      <x:c r="D104" s="81"/>
      <x:c r="E104" s="81" t="str">
        <x:f>IF('Package Register'!A28="","","Approx weight: " &amp; ROUND('Package Register'!G28,0) &amp; " kg | Size: " &amp; 'Package Register'!H28 &amp; " x " &amp; 'Package Register'!I28 &amp; " x " &amp; 'Package Register'!J28 &amp; " mm")</x:f>
      </x:c>
      <x:c r="F104" s="81"/>
      <x:c r="G104" s="81"/>
      <x:c r="H104" s="8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  <x:c r="AA104" s="101"/>
      <x:c r="AB104" s="101"/>
      <x:c r="AC104" s="101"/>
      <x:c r="AD104" s="101"/>
      <x:c r="AE104" s="101"/>
    </x:row>
    <x:row r="105" ht="22" customHeight="1">
      <x:c r="A105" s="93" t="str">
        <x:f>IF('Package Register'!A27="","","KEEP DRY | HANDLE WITH CARE")</x:f>
      </x:c>
      <x:c r="B105" s="81"/>
      <x:c r="C105" s="81"/>
      <x:c r="D105" s="81"/>
      <x:c r="E105" s="93" t="str">
        <x:f>IF('Package Register'!A28="","","KEEP DRY | HANDLE WITH CARE")</x:f>
      </x:c>
      <x:c r="F105" s="81"/>
      <x:c r="G105" s="81"/>
      <x:c r="H105" s="8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  <x:c r="AA105" s="101"/>
      <x:c r="AB105" s="101"/>
      <x:c r="AC105" s="101"/>
      <x:c r="AD105" s="101"/>
      <x:c r="AE105" s="101"/>
    </x:row>
    <x:row r="106" ht="22" customHeight="1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  <x:c r="AA106" s="101"/>
      <x:c r="AB106" s="101"/>
      <x:c r="AC106" s="101"/>
      <x:c r="AD106" s="101"/>
      <x:c r="AE106" s="101"/>
    </x:row>
    <x:row r="107" ht="22" customHeight="1">
      <x:c r="A107" s="96" t="str">
        <x:f>IF('Package Register'!A29="","","IFS PACKAGE LABEL")</x:f>
      </x:c>
      <x:c r="B107" s="81"/>
      <x:c r="C107" s="81"/>
      <x:c r="D107" s="81"/>
      <x:c r="E107" s="96" t="str">
        <x:f>IF('Package Register'!A30="","","IFS PACKAGE LABEL")</x:f>
      </x:c>
      <x:c r="F107" s="81"/>
      <x:c r="G107" s="81"/>
      <x:c r="H107" s="8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  <x:c r="AA107" s="101"/>
      <x:c r="AB107" s="101"/>
      <x:c r="AC107" s="101"/>
      <x:c r="AD107" s="101"/>
      <x:c r="AE107" s="101"/>
    </x:row>
    <x:row r="108" ht="22" customHeight="1">
      <x:c r="A108" s="81" t="str">
        <x:f>IF('Package Register'!A29="","",'START HERE'!B8 &amp; " | " &amp; 'Package Register'!C29)</x:f>
      </x:c>
      <x:c r="B108" s="81"/>
      <x:c r="C108" s="81"/>
      <x:c r="D108" s="81"/>
      <x:c r="E108" s="81" t="str">
        <x:f>IF('Package Register'!A30="","",'START HERE'!B8 &amp; " | " &amp; 'Package Register'!C30)</x:f>
      </x:c>
      <x:c r="F108" s="81"/>
      <x:c r="G108" s="81"/>
      <x:c r="H108" s="8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  <x:c r="AA108" s="101"/>
      <x:c r="AB108" s="101"/>
      <x:c r="AC108" s="101"/>
      <x:c r="AD108" s="101"/>
      <x:c r="AE108" s="101"/>
    </x:row>
    <x:row r="109" ht="22" customHeight="1">
      <x:c r="A109" s="81" t="str">
        <x:f>IF('Package Register'!A29="","","PALLET: " &amp; 'Package Register'!B29)</x:f>
      </x:c>
      <x:c r="B109" s="81"/>
      <x:c r="C109" s="81"/>
      <x:c r="D109" s="81"/>
      <x:c r="E109" s="81" t="str">
        <x:f>IF('Package Register'!A30="","","PALLET: " &amp; 'Package Register'!B30)</x:f>
      </x:c>
      <x:c r="F109" s="81"/>
      <x:c r="G109" s="81"/>
      <x:c r="H109" s="8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  <x:c r="AA109" s="101"/>
      <x:c r="AB109" s="101"/>
      <x:c r="AC109" s="101"/>
      <x:c r="AD109" s="101"/>
      <x:c r="AE109" s="101"/>
    </x:row>
    <x:row r="110" ht="22" customHeight="1">
      <x:c r="A110" s="81" t="str">
        <x:f>IF('Package Register'!A29="","",'Package Register'!D29)</x:f>
      </x:c>
      <x:c r="B110" s="81"/>
      <x:c r="C110" s="81"/>
      <x:c r="D110" s="81"/>
      <x:c r="E110" s="81" t="str">
        <x:f>IF('Package Register'!A30="","",'Package Register'!D30)</x:f>
      </x:c>
      <x:c r="F110" s="81"/>
      <x:c r="G110" s="81"/>
      <x:c r="H110" s="8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  <x:c r="AA110" s="101"/>
      <x:c r="AB110" s="101"/>
      <x:c r="AC110" s="101"/>
      <x:c r="AD110" s="101"/>
      <x:c r="AE110" s="101"/>
    </x:row>
    <x:row r="111" ht="22" customHeight="1">
      <x:c r="A111" s="81" t="str">
        <x:f>IF('Package Register'!A29="","",'Package Register'!F29)</x:f>
      </x:c>
      <x:c r="B111" s="81"/>
      <x:c r="C111" s="81"/>
      <x:c r="D111" s="81"/>
      <x:c r="E111" s="81" t="str">
        <x:f>IF('Package Register'!A30="","",'Package Register'!F30)</x:f>
      </x:c>
      <x:c r="F111" s="81"/>
      <x:c r="G111" s="81"/>
      <x:c r="H111" s="8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  <x:c r="AA111" s="101"/>
      <x:c r="AB111" s="101"/>
      <x:c r="AC111" s="101"/>
      <x:c r="AD111" s="101"/>
      <x:c r="AE111" s="101"/>
    </x:row>
    <x:row r="112" ht="22" customHeight="1">
      <x:c r="A112" s="81" t="str">
        <x:f>IF('Package Register'!A29="","","Approx weight: " &amp; ROUND('Package Register'!G29,0) &amp; " kg | Size: " &amp; 'Package Register'!H29 &amp; " x " &amp; 'Package Register'!I29 &amp; " x " &amp; 'Package Register'!J29 &amp; " mm")</x:f>
      </x:c>
      <x:c r="B112" s="81"/>
      <x:c r="C112" s="81"/>
      <x:c r="D112" s="81"/>
      <x:c r="E112" s="81" t="str">
        <x:f>IF('Package Register'!A30="","","Approx weight: " &amp; ROUND('Package Register'!G30,0) &amp; " kg | Size: " &amp; 'Package Register'!H30 &amp; " x " &amp; 'Package Register'!I30 &amp; " x " &amp; 'Package Register'!J30 &amp; " mm")</x:f>
      </x:c>
      <x:c r="F112" s="81"/>
      <x:c r="G112" s="81"/>
      <x:c r="H112" s="8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  <x:c r="AA112" s="101"/>
      <x:c r="AB112" s="101"/>
      <x:c r="AC112" s="101"/>
      <x:c r="AD112" s="101"/>
      <x:c r="AE112" s="101"/>
    </x:row>
    <x:row r="113" ht="22" customHeight="1">
      <x:c r="A113" s="93" t="str">
        <x:f>IF('Package Register'!A29="","","KEEP DRY | HANDLE WITH CARE")</x:f>
      </x:c>
      <x:c r="B113" s="81"/>
      <x:c r="C113" s="81"/>
      <x:c r="D113" s="81"/>
      <x:c r="E113" s="93" t="str">
        <x:f>IF('Package Register'!A30="","","KEEP DRY | HANDLE WITH CARE")</x:f>
      </x:c>
      <x:c r="F113" s="81"/>
      <x:c r="G113" s="81"/>
      <x:c r="H113" s="8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  <x:c r="AA113" s="101"/>
      <x:c r="AB113" s="101"/>
      <x:c r="AC113" s="101"/>
      <x:c r="AD113" s="101"/>
      <x:c r="AE113" s="101"/>
    </x:row>
    <x:row r="114" ht="22" customHeight="1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  <x:c r="AA114" s="101"/>
      <x:c r="AB114" s="101"/>
      <x:c r="AC114" s="101"/>
      <x:c r="AD114" s="101"/>
      <x:c r="AE114" s="101"/>
    </x:row>
    <x:row r="115" ht="22" customHeight="1">
      <x:c r="A115" s="96" t="str">
        <x:f>IF('Package Register'!A31="","","IFS PACKAGE LABEL")</x:f>
      </x:c>
      <x:c r="B115" s="81"/>
      <x:c r="C115" s="81"/>
      <x:c r="D115" s="81"/>
      <x:c r="E115" s="96" t="str">
        <x:f>IF('Package Register'!A32="","","IFS PACKAGE LABEL")</x:f>
      </x:c>
      <x:c r="F115" s="81"/>
      <x:c r="G115" s="81"/>
      <x:c r="H115" s="8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  <x:c r="AA115" s="101"/>
      <x:c r="AB115" s="101"/>
      <x:c r="AC115" s="101"/>
      <x:c r="AD115" s="101"/>
      <x:c r="AE115" s="101"/>
    </x:row>
    <x:row r="116" ht="22" customHeight="1">
      <x:c r="A116" s="81" t="str">
        <x:f>IF('Package Register'!A31="","",'START HERE'!B8 &amp; " | " &amp; 'Package Register'!C31)</x:f>
      </x:c>
      <x:c r="B116" s="81"/>
      <x:c r="C116" s="81"/>
      <x:c r="D116" s="81"/>
      <x:c r="E116" s="81" t="str">
        <x:f>IF('Package Register'!A32="","",'START HERE'!B8 &amp; " | " &amp; 'Package Register'!C32)</x:f>
      </x:c>
      <x:c r="F116" s="81"/>
      <x:c r="G116" s="81"/>
      <x:c r="H116" s="8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  <x:c r="AA116" s="101"/>
      <x:c r="AB116" s="101"/>
      <x:c r="AC116" s="101"/>
      <x:c r="AD116" s="101"/>
      <x:c r="AE116" s="101"/>
    </x:row>
    <x:row r="117" ht="22" customHeight="1">
      <x:c r="A117" s="81" t="str">
        <x:f>IF('Package Register'!A31="","","PALLET: " &amp; 'Package Register'!B31)</x:f>
      </x:c>
      <x:c r="B117" s="81"/>
      <x:c r="C117" s="81"/>
      <x:c r="D117" s="81"/>
      <x:c r="E117" s="81" t="str">
        <x:f>IF('Package Register'!A32="","","PALLET: " &amp; 'Package Register'!B32)</x:f>
      </x:c>
      <x:c r="F117" s="81"/>
      <x:c r="G117" s="81"/>
      <x:c r="H117" s="8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  <x:c r="AA117" s="101"/>
      <x:c r="AB117" s="101"/>
      <x:c r="AC117" s="101"/>
      <x:c r="AD117" s="101"/>
      <x:c r="AE117" s="101"/>
    </x:row>
    <x:row r="118" ht="22" customHeight="1">
      <x:c r="A118" s="81" t="str">
        <x:f>IF('Package Register'!A31="","",'Package Register'!D31)</x:f>
      </x:c>
      <x:c r="B118" s="81"/>
      <x:c r="C118" s="81"/>
      <x:c r="D118" s="81"/>
      <x:c r="E118" s="81" t="str">
        <x:f>IF('Package Register'!A32="","",'Package Register'!D32)</x:f>
      </x:c>
      <x:c r="F118" s="81"/>
      <x:c r="G118" s="81"/>
      <x:c r="H118" s="8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  <x:c r="AA118" s="101"/>
      <x:c r="AB118" s="101"/>
      <x:c r="AC118" s="101"/>
      <x:c r="AD118" s="101"/>
      <x:c r="AE118" s="101"/>
    </x:row>
    <x:row r="119" ht="22" customHeight="1">
      <x:c r="A119" s="81" t="str">
        <x:f>IF('Package Register'!A31="","",'Package Register'!F31)</x:f>
      </x:c>
      <x:c r="B119" s="81"/>
      <x:c r="C119" s="81"/>
      <x:c r="D119" s="81"/>
      <x:c r="E119" s="81" t="str">
        <x:f>IF('Package Register'!A32="","",'Package Register'!F32)</x:f>
      </x:c>
      <x:c r="F119" s="81"/>
      <x:c r="G119" s="81"/>
      <x:c r="H119" s="8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  <x:c r="AA119" s="101"/>
      <x:c r="AB119" s="101"/>
      <x:c r="AC119" s="101"/>
      <x:c r="AD119" s="101"/>
      <x:c r="AE119" s="101"/>
    </x:row>
    <x:row r="120" ht="22" customHeight="1">
      <x:c r="A120" s="81" t="str">
        <x:f>IF('Package Register'!A31="","","Approx weight: " &amp; ROUND('Package Register'!G31,0) &amp; " kg | Size: " &amp; 'Package Register'!H31 &amp; " x " &amp; 'Package Register'!I31 &amp; " x " &amp; 'Package Register'!J31 &amp; " mm")</x:f>
      </x:c>
      <x:c r="B120" s="81"/>
      <x:c r="C120" s="81"/>
      <x:c r="D120" s="81"/>
      <x:c r="E120" s="81" t="str">
        <x:f>IF('Package Register'!A32="","","Approx weight: " &amp; ROUND('Package Register'!G32,0) &amp; " kg | Size: " &amp; 'Package Register'!H32 &amp; " x " &amp; 'Package Register'!I32 &amp; " x " &amp; 'Package Register'!J32 &amp; " mm")</x:f>
      </x:c>
      <x:c r="F120" s="81"/>
      <x:c r="G120" s="81"/>
      <x:c r="H120" s="8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  <x:c r="AA120" s="101"/>
      <x:c r="AB120" s="101"/>
      <x:c r="AC120" s="101"/>
      <x:c r="AD120" s="101"/>
      <x:c r="AE120" s="101"/>
    </x:row>
    <x:row r="121" ht="22" customHeight="1">
      <x:c r="A121" s="93" t="str">
        <x:f>IF('Package Register'!A31="","","KEEP DRY | HANDLE WITH CARE")</x:f>
      </x:c>
      <x:c r="B121" s="81"/>
      <x:c r="C121" s="81"/>
      <x:c r="D121" s="81"/>
      <x:c r="E121" s="93" t="str">
        <x:f>IF('Package Register'!A32="","","KEEP DRY | HANDLE WITH CARE")</x:f>
      </x:c>
      <x:c r="F121" s="81"/>
      <x:c r="G121" s="81"/>
      <x:c r="H121" s="81"/>
      <x:c r="I121" s="101"/>
      <x:c r="J121" s="101"/>
      <x:c r="K121" s="101"/>
      <x:c r="L121" s="101"/>
      <x:c r="M121" s="101"/>
      <x:c r="N121" s="101"/>
      <x:c r="O121" s="101"/>
      <x:c r="P121" s="101"/>
      <x:c r="Q121" s="101"/>
      <x:c r="R121" s="101"/>
      <x:c r="S121" s="101"/>
      <x:c r="T121" s="101"/>
      <x:c r="U121" s="101"/>
      <x:c r="V121" s="101"/>
      <x:c r="W121" s="101"/>
      <x:c r="X121" s="101"/>
      <x:c r="Y121" s="101"/>
      <x:c r="Z121" s="101"/>
      <x:c r="AA121" s="101"/>
      <x:c r="AB121" s="101"/>
      <x:c r="AC121" s="101"/>
      <x:c r="AD121" s="101"/>
      <x:c r="AE121" s="101"/>
    </x:row>
    <x:row r="122" ht="22" customHeight="1">
      <x:c r="A122" s="101"/>
      <x:c r="B122" s="101"/>
      <x:c r="C122" s="101"/>
      <x:c r="D122" s="101"/>
      <x:c r="E122" s="101"/>
      <x:c r="F122" s="101"/>
      <x:c r="G122" s="101"/>
      <x:c r="H122" s="101"/>
      <x:c r="I122" s="101"/>
      <x:c r="J122" s="101"/>
      <x:c r="K122" s="101"/>
      <x:c r="L122" s="101"/>
      <x:c r="M122" s="101"/>
      <x:c r="N122" s="101"/>
      <x:c r="O122" s="101"/>
      <x:c r="P122" s="101"/>
      <x:c r="Q122" s="101"/>
      <x:c r="R122" s="101"/>
      <x:c r="S122" s="101"/>
      <x:c r="T122" s="101"/>
      <x:c r="U122" s="101"/>
      <x:c r="V122" s="101"/>
      <x:c r="W122" s="101"/>
      <x:c r="X122" s="101"/>
      <x:c r="Y122" s="101"/>
      <x:c r="Z122" s="101"/>
      <x:c r="AA122" s="101"/>
      <x:c r="AB122" s="101"/>
      <x:c r="AC122" s="101"/>
      <x:c r="AD122" s="101"/>
      <x:c r="AE122" s="101"/>
    </x:row>
    <x:row r="123" ht="22" customHeight="1">
      <x:c r="A123" s="96" t="str">
        <x:f>IF('Package Register'!A33="","","IFS PACKAGE LABEL")</x:f>
      </x:c>
      <x:c r="B123" s="81"/>
      <x:c r="C123" s="81"/>
      <x:c r="D123" s="81"/>
      <x:c r="E123" s="96" t="str">
        <x:f>IF('Package Register'!A34="","","IFS PACKAGE LABEL")</x:f>
      </x:c>
      <x:c r="F123" s="81"/>
      <x:c r="G123" s="81"/>
      <x:c r="H123" s="81"/>
      <x:c r="I123" s="101"/>
      <x:c r="J123" s="101"/>
      <x:c r="K123" s="101"/>
      <x:c r="L123" s="101"/>
      <x:c r="M123" s="101"/>
      <x:c r="N123" s="101"/>
      <x:c r="O123" s="101"/>
      <x:c r="P123" s="101"/>
      <x:c r="Q123" s="101"/>
      <x:c r="R123" s="101"/>
      <x:c r="S123" s="101"/>
      <x:c r="T123" s="101"/>
      <x:c r="U123" s="101"/>
      <x:c r="V123" s="101"/>
      <x:c r="W123" s="101"/>
      <x:c r="X123" s="101"/>
      <x:c r="Y123" s="101"/>
      <x:c r="Z123" s="101"/>
      <x:c r="AA123" s="101"/>
      <x:c r="AB123" s="101"/>
      <x:c r="AC123" s="101"/>
      <x:c r="AD123" s="101"/>
      <x:c r="AE123" s="101"/>
    </x:row>
    <x:row r="124" ht="22" customHeight="1">
      <x:c r="A124" s="81" t="str">
        <x:f>IF('Package Register'!A33="","",'START HERE'!B8 &amp; " | " &amp; 'Package Register'!C33)</x:f>
      </x:c>
      <x:c r="B124" s="81"/>
      <x:c r="C124" s="81"/>
      <x:c r="D124" s="81"/>
      <x:c r="E124" s="81" t="str">
        <x:f>IF('Package Register'!A34="","",'START HERE'!B8 &amp; " | " &amp; 'Package Register'!C34)</x:f>
      </x:c>
      <x:c r="F124" s="81"/>
      <x:c r="G124" s="81"/>
      <x:c r="H124" s="81"/>
      <x:c r="I124" s="101"/>
      <x:c r="J124" s="101"/>
      <x:c r="K124" s="101"/>
      <x:c r="L124" s="101"/>
      <x:c r="M124" s="101"/>
      <x:c r="N124" s="101"/>
      <x:c r="O124" s="101"/>
      <x:c r="P124" s="101"/>
      <x:c r="Q124" s="101"/>
      <x:c r="R124" s="101"/>
      <x:c r="S124" s="101"/>
      <x:c r="T124" s="101"/>
      <x:c r="U124" s="101"/>
      <x:c r="V124" s="101"/>
      <x:c r="W124" s="101"/>
      <x:c r="X124" s="101"/>
      <x:c r="Y124" s="101"/>
      <x:c r="Z124" s="101"/>
      <x:c r="AA124" s="101"/>
      <x:c r="AB124" s="101"/>
      <x:c r="AC124" s="101"/>
      <x:c r="AD124" s="101"/>
      <x:c r="AE124" s="101"/>
    </x:row>
    <x:row r="125" ht="22" customHeight="1">
      <x:c r="A125" s="81" t="str">
        <x:f>IF('Package Register'!A33="","","PALLET: " &amp; 'Package Register'!B33)</x:f>
      </x:c>
      <x:c r="B125" s="81"/>
      <x:c r="C125" s="81"/>
      <x:c r="D125" s="81"/>
      <x:c r="E125" s="81" t="str">
        <x:f>IF('Package Register'!A34="","","PALLET: " &amp; 'Package Register'!B34)</x:f>
      </x:c>
      <x:c r="F125" s="81"/>
      <x:c r="G125" s="81"/>
      <x:c r="H125" s="81"/>
      <x:c r="I125" s="101"/>
      <x:c r="J125" s="101"/>
      <x:c r="K125" s="101"/>
      <x:c r="L125" s="101"/>
      <x:c r="M125" s="101"/>
      <x:c r="N125" s="101"/>
      <x:c r="O125" s="101"/>
      <x:c r="P125" s="101"/>
      <x:c r="Q125" s="101"/>
      <x:c r="R125" s="101"/>
      <x:c r="S125" s="101"/>
      <x:c r="T125" s="101"/>
      <x:c r="U125" s="101"/>
      <x:c r="V125" s="101"/>
      <x:c r="W125" s="101"/>
      <x:c r="X125" s="101"/>
      <x:c r="Y125" s="101"/>
      <x:c r="Z125" s="101"/>
      <x:c r="AA125" s="101"/>
      <x:c r="AB125" s="101"/>
      <x:c r="AC125" s="101"/>
      <x:c r="AD125" s="101"/>
      <x:c r="AE125" s="101"/>
    </x:row>
    <x:row r="126" ht="22" customHeight="1">
      <x:c r="A126" s="81" t="str">
        <x:f>IF('Package Register'!A33="","",'Package Register'!D33)</x:f>
      </x:c>
      <x:c r="B126" s="81"/>
      <x:c r="C126" s="81"/>
      <x:c r="D126" s="81"/>
      <x:c r="E126" s="81" t="str">
        <x:f>IF('Package Register'!A34="","",'Package Register'!D34)</x:f>
      </x:c>
      <x:c r="F126" s="81"/>
      <x:c r="G126" s="81"/>
      <x:c r="H126" s="81"/>
      <x:c r="I126" s="101"/>
      <x:c r="J126" s="101"/>
      <x:c r="K126" s="101"/>
      <x:c r="L126" s="101"/>
      <x:c r="M126" s="101"/>
      <x:c r="N126" s="101"/>
      <x:c r="O126" s="101"/>
      <x:c r="P126" s="101"/>
      <x:c r="Q126" s="101"/>
      <x:c r="R126" s="101"/>
      <x:c r="S126" s="101"/>
      <x:c r="T126" s="101"/>
      <x:c r="U126" s="101"/>
      <x:c r="V126" s="101"/>
      <x:c r="W126" s="101"/>
      <x:c r="X126" s="101"/>
      <x:c r="Y126" s="101"/>
      <x:c r="Z126" s="101"/>
      <x:c r="AA126" s="101"/>
      <x:c r="AB126" s="101"/>
      <x:c r="AC126" s="101"/>
      <x:c r="AD126" s="101"/>
      <x:c r="AE126" s="101"/>
    </x:row>
    <x:row r="127" ht="22" customHeight="1">
      <x:c r="A127" s="81" t="str">
        <x:f>IF('Package Register'!A33="","",'Package Register'!F33)</x:f>
      </x:c>
      <x:c r="B127" s="81"/>
      <x:c r="C127" s="81"/>
      <x:c r="D127" s="81"/>
      <x:c r="E127" s="81" t="str">
        <x:f>IF('Package Register'!A34="","",'Package Register'!F34)</x:f>
      </x:c>
      <x:c r="F127" s="81"/>
      <x:c r="G127" s="81"/>
      <x:c r="H127" s="81"/>
      <x:c r="I127" s="101"/>
      <x:c r="J127" s="101"/>
      <x:c r="K127" s="101"/>
      <x:c r="L127" s="101"/>
      <x:c r="M127" s="101"/>
      <x:c r="N127" s="101"/>
      <x:c r="O127" s="101"/>
      <x:c r="P127" s="101"/>
      <x:c r="Q127" s="101"/>
      <x:c r="R127" s="101"/>
      <x:c r="S127" s="101"/>
      <x:c r="T127" s="101"/>
      <x:c r="U127" s="101"/>
      <x:c r="V127" s="101"/>
      <x:c r="W127" s="101"/>
      <x:c r="X127" s="101"/>
      <x:c r="Y127" s="101"/>
      <x:c r="Z127" s="101"/>
      <x:c r="AA127" s="101"/>
      <x:c r="AB127" s="101"/>
      <x:c r="AC127" s="101"/>
      <x:c r="AD127" s="101"/>
      <x:c r="AE127" s="101"/>
    </x:row>
    <x:row r="128" ht="22" customHeight="1">
      <x:c r="A128" s="81" t="str">
        <x:f>IF('Package Register'!A33="","","Approx weight: " &amp; ROUND('Package Register'!G33,0) &amp; " kg | Size: " &amp; 'Package Register'!H33 &amp; " x " &amp; 'Package Register'!I33 &amp; " x " &amp; 'Package Register'!J33 &amp; " mm")</x:f>
      </x:c>
      <x:c r="B128" s="81"/>
      <x:c r="C128" s="81"/>
      <x:c r="D128" s="81"/>
      <x:c r="E128" s="81" t="str">
        <x:f>IF('Package Register'!A34="","","Approx weight: " &amp; ROUND('Package Register'!G34,0) &amp; " kg | Size: " &amp; 'Package Register'!H34 &amp; " x " &amp; 'Package Register'!I34 &amp; " x " &amp; 'Package Register'!J34 &amp; " mm")</x:f>
      </x:c>
      <x:c r="F128" s="81"/>
      <x:c r="G128" s="81"/>
      <x:c r="H128" s="81"/>
      <x:c r="I128" s="101"/>
      <x:c r="J128" s="101"/>
      <x:c r="K128" s="101"/>
      <x:c r="L128" s="101"/>
      <x:c r="M128" s="101"/>
      <x:c r="N128" s="101"/>
      <x:c r="O128" s="101"/>
      <x:c r="P128" s="101"/>
      <x:c r="Q128" s="101"/>
      <x:c r="R128" s="101"/>
      <x:c r="S128" s="101"/>
      <x:c r="T128" s="101"/>
      <x:c r="U128" s="101"/>
      <x:c r="V128" s="101"/>
      <x:c r="W128" s="101"/>
      <x:c r="X128" s="101"/>
      <x:c r="Y128" s="101"/>
      <x:c r="Z128" s="101"/>
      <x:c r="AA128" s="101"/>
      <x:c r="AB128" s="101"/>
      <x:c r="AC128" s="101"/>
      <x:c r="AD128" s="101"/>
      <x:c r="AE128" s="101"/>
    </x:row>
    <x:row r="129" ht="22" customHeight="1">
      <x:c r="A129" s="93" t="str">
        <x:f>IF('Package Register'!A33="","","KEEP DRY | HANDLE WITH CARE")</x:f>
      </x:c>
      <x:c r="B129" s="81"/>
      <x:c r="C129" s="81"/>
      <x:c r="D129" s="81"/>
      <x:c r="E129" s="93" t="str">
        <x:f>IF('Package Register'!A34="","","KEEP DRY | HANDLE WITH CARE")</x:f>
      </x:c>
      <x:c r="F129" s="81"/>
      <x:c r="G129" s="81"/>
      <x:c r="H129" s="81"/>
      <x:c r="I129" s="101"/>
      <x:c r="J129" s="101"/>
      <x:c r="K129" s="101"/>
      <x:c r="L129" s="101"/>
      <x:c r="M129" s="101"/>
      <x:c r="N129" s="101"/>
      <x:c r="O129" s="101"/>
      <x:c r="P129" s="101"/>
      <x:c r="Q129" s="101"/>
      <x:c r="R129" s="101"/>
      <x:c r="S129" s="101"/>
      <x:c r="T129" s="101"/>
      <x:c r="U129" s="101"/>
      <x:c r="V129" s="101"/>
      <x:c r="W129" s="101"/>
      <x:c r="X129" s="101"/>
      <x:c r="Y129" s="101"/>
      <x:c r="Z129" s="101"/>
      <x:c r="AA129" s="101"/>
      <x:c r="AB129" s="101"/>
      <x:c r="AC129" s="101"/>
      <x:c r="AD129" s="101"/>
      <x:c r="AE129" s="101"/>
    </x:row>
    <x:row r="130" ht="22" customHeight="1">
      <x:c r="A130" s="101"/>
      <x:c r="B130" s="101"/>
      <x:c r="C130" s="101"/>
      <x:c r="D130" s="101"/>
      <x:c r="E130" s="101"/>
      <x:c r="F130" s="101"/>
      <x:c r="G130" s="101"/>
      <x:c r="H130" s="101"/>
      <x:c r="I130" s="101"/>
      <x:c r="J130" s="101"/>
      <x:c r="K130" s="101"/>
      <x:c r="L130" s="101"/>
      <x:c r="M130" s="101"/>
      <x:c r="N130" s="101"/>
      <x:c r="O130" s="101"/>
      <x:c r="P130" s="101"/>
      <x:c r="Q130" s="101"/>
      <x:c r="R130" s="101"/>
      <x:c r="S130" s="101"/>
      <x:c r="T130" s="101"/>
      <x:c r="U130" s="101"/>
      <x:c r="V130" s="101"/>
      <x:c r="W130" s="101"/>
      <x:c r="X130" s="101"/>
      <x:c r="Y130" s="101"/>
      <x:c r="Z130" s="101"/>
      <x:c r="AA130" s="101"/>
      <x:c r="AB130" s="101"/>
      <x:c r="AC130" s="101"/>
      <x:c r="AD130" s="101"/>
      <x:c r="AE130" s="101"/>
    </x:row>
    <x:row r="131" ht="22" customHeight="1">
      <x:c r="A131" s="96" t="str">
        <x:f>IF('Package Register'!A35="","","IFS PACKAGE LABEL")</x:f>
      </x:c>
      <x:c r="B131" s="81"/>
      <x:c r="C131" s="81"/>
      <x:c r="D131" s="81"/>
      <x:c r="E131" s="96" t="str">
        <x:f>IF('Package Register'!A36="","","IFS PACKAGE LABEL")</x:f>
      </x:c>
      <x:c r="F131" s="81"/>
      <x:c r="G131" s="81"/>
      <x:c r="H131" s="81"/>
      <x:c r="I131" s="101"/>
      <x:c r="J131" s="101"/>
      <x:c r="K131" s="101"/>
      <x:c r="L131" s="101"/>
      <x:c r="M131" s="101"/>
      <x:c r="N131" s="101"/>
      <x:c r="O131" s="101"/>
      <x:c r="P131" s="101"/>
      <x:c r="Q131" s="101"/>
      <x:c r="R131" s="101"/>
      <x:c r="S131" s="101"/>
      <x:c r="T131" s="101"/>
      <x:c r="U131" s="101"/>
      <x:c r="V131" s="101"/>
      <x:c r="W131" s="101"/>
      <x:c r="X131" s="101"/>
      <x:c r="Y131" s="101"/>
      <x:c r="Z131" s="101"/>
      <x:c r="AA131" s="101"/>
      <x:c r="AB131" s="101"/>
      <x:c r="AC131" s="101"/>
      <x:c r="AD131" s="101"/>
      <x:c r="AE131" s="101"/>
    </x:row>
    <x:row r="132" ht="22" customHeight="1">
      <x:c r="A132" s="81" t="str">
        <x:f>IF('Package Register'!A35="","",'START HERE'!B8 &amp; " | " &amp; 'Package Register'!C35)</x:f>
      </x:c>
      <x:c r="B132" s="81"/>
      <x:c r="C132" s="81"/>
      <x:c r="D132" s="81"/>
      <x:c r="E132" s="81" t="str">
        <x:f>IF('Package Register'!A36="","",'START HERE'!B8 &amp; " | " &amp; 'Package Register'!C36)</x:f>
      </x:c>
      <x:c r="F132" s="81"/>
      <x:c r="G132" s="81"/>
      <x:c r="H132" s="81"/>
      <x:c r="I132" s="101"/>
      <x:c r="J132" s="101"/>
      <x:c r="K132" s="101"/>
      <x:c r="L132" s="101"/>
      <x:c r="M132" s="101"/>
      <x:c r="N132" s="101"/>
      <x:c r="O132" s="101"/>
      <x:c r="P132" s="101"/>
      <x:c r="Q132" s="101"/>
      <x:c r="R132" s="101"/>
      <x:c r="S132" s="101"/>
      <x:c r="T132" s="101"/>
      <x:c r="U132" s="101"/>
      <x:c r="V132" s="101"/>
      <x:c r="W132" s="101"/>
      <x:c r="X132" s="101"/>
      <x:c r="Y132" s="101"/>
      <x:c r="Z132" s="101"/>
      <x:c r="AA132" s="101"/>
      <x:c r="AB132" s="101"/>
      <x:c r="AC132" s="101"/>
      <x:c r="AD132" s="101"/>
      <x:c r="AE132" s="101"/>
    </x:row>
    <x:row r="133" ht="22" customHeight="1">
      <x:c r="A133" s="81" t="str">
        <x:f>IF('Package Register'!A35="","","PALLET: " &amp; 'Package Register'!B35)</x:f>
      </x:c>
      <x:c r="B133" s="81"/>
      <x:c r="C133" s="81"/>
      <x:c r="D133" s="81"/>
      <x:c r="E133" s="81" t="str">
        <x:f>IF('Package Register'!A36="","","PALLET: " &amp; 'Package Register'!B36)</x:f>
      </x:c>
      <x:c r="F133" s="81"/>
      <x:c r="G133" s="81"/>
      <x:c r="H133" s="81"/>
      <x:c r="I133" s="101"/>
      <x:c r="J133" s="101"/>
      <x:c r="K133" s="101"/>
      <x:c r="L133" s="101"/>
      <x:c r="M133" s="101"/>
      <x:c r="N133" s="101"/>
      <x:c r="O133" s="101"/>
      <x:c r="P133" s="101"/>
      <x:c r="Q133" s="101"/>
      <x:c r="R133" s="101"/>
      <x:c r="S133" s="101"/>
      <x:c r="T133" s="101"/>
      <x:c r="U133" s="101"/>
      <x:c r="V133" s="101"/>
      <x:c r="W133" s="101"/>
      <x:c r="X133" s="101"/>
      <x:c r="Y133" s="101"/>
      <x:c r="Z133" s="101"/>
      <x:c r="AA133" s="101"/>
      <x:c r="AB133" s="101"/>
      <x:c r="AC133" s="101"/>
      <x:c r="AD133" s="101"/>
      <x:c r="AE133" s="101"/>
    </x:row>
    <x:row r="134" ht="22" customHeight="1">
      <x:c r="A134" s="81" t="str">
        <x:f>IF('Package Register'!A35="","",'Package Register'!D35)</x:f>
      </x:c>
      <x:c r="B134" s="81"/>
      <x:c r="C134" s="81"/>
      <x:c r="D134" s="81"/>
      <x:c r="E134" s="81" t="str">
        <x:f>IF('Package Register'!A36="","",'Package Register'!D36)</x:f>
      </x:c>
      <x:c r="F134" s="81"/>
      <x:c r="G134" s="81"/>
      <x:c r="H134" s="81"/>
      <x:c r="I134" s="101"/>
      <x:c r="J134" s="101"/>
      <x:c r="K134" s="101"/>
      <x:c r="L134" s="101"/>
      <x:c r="M134" s="101"/>
      <x:c r="N134" s="101"/>
      <x:c r="O134" s="101"/>
      <x:c r="P134" s="101"/>
      <x:c r="Q134" s="101"/>
      <x:c r="R134" s="101"/>
      <x:c r="S134" s="101"/>
      <x:c r="T134" s="101"/>
      <x:c r="U134" s="101"/>
      <x:c r="V134" s="101"/>
      <x:c r="W134" s="101"/>
      <x:c r="X134" s="101"/>
      <x:c r="Y134" s="101"/>
      <x:c r="Z134" s="101"/>
      <x:c r="AA134" s="101"/>
      <x:c r="AB134" s="101"/>
      <x:c r="AC134" s="101"/>
      <x:c r="AD134" s="101"/>
      <x:c r="AE134" s="101"/>
    </x:row>
    <x:row r="135" ht="22" customHeight="1">
      <x:c r="A135" s="81" t="str">
        <x:f>IF('Package Register'!A35="","",'Package Register'!F35)</x:f>
      </x:c>
      <x:c r="B135" s="81"/>
      <x:c r="C135" s="81"/>
      <x:c r="D135" s="81"/>
      <x:c r="E135" s="81" t="str">
        <x:f>IF('Package Register'!A36="","",'Package Register'!F36)</x:f>
      </x:c>
      <x:c r="F135" s="81"/>
      <x:c r="G135" s="81"/>
      <x:c r="H135" s="81"/>
      <x:c r="I135" s="101"/>
      <x:c r="J135" s="101"/>
      <x:c r="K135" s="101"/>
      <x:c r="L135" s="101"/>
      <x:c r="M135" s="101"/>
      <x:c r="N135" s="101"/>
      <x:c r="O135" s="101"/>
      <x:c r="P135" s="101"/>
      <x:c r="Q135" s="101"/>
      <x:c r="R135" s="101"/>
      <x:c r="S135" s="101"/>
      <x:c r="T135" s="101"/>
      <x:c r="U135" s="101"/>
      <x:c r="V135" s="101"/>
      <x:c r="W135" s="101"/>
      <x:c r="X135" s="101"/>
      <x:c r="Y135" s="101"/>
      <x:c r="Z135" s="101"/>
      <x:c r="AA135" s="101"/>
      <x:c r="AB135" s="101"/>
      <x:c r="AC135" s="101"/>
      <x:c r="AD135" s="101"/>
      <x:c r="AE135" s="101"/>
    </x:row>
    <x:row r="136" ht="22" customHeight="1">
      <x:c r="A136" s="81" t="str">
        <x:f>IF('Package Register'!A35="","","Approx weight: " &amp; ROUND('Package Register'!G35,0) &amp; " kg | Size: " &amp; 'Package Register'!H35 &amp; " x " &amp; 'Package Register'!I35 &amp; " x " &amp; 'Package Register'!J35 &amp; " mm")</x:f>
      </x:c>
      <x:c r="B136" s="81"/>
      <x:c r="C136" s="81"/>
      <x:c r="D136" s="81"/>
      <x:c r="E136" s="81" t="str">
        <x:f>IF('Package Register'!A36="","","Approx weight: " &amp; ROUND('Package Register'!G36,0) &amp; " kg | Size: " &amp; 'Package Register'!H36 &amp; " x " &amp; 'Package Register'!I36 &amp; " x " &amp; 'Package Register'!J36 &amp; " mm")</x:f>
      </x:c>
      <x:c r="F136" s="81"/>
      <x:c r="G136" s="81"/>
      <x:c r="H136" s="81"/>
      <x:c r="I136" s="101"/>
      <x:c r="J136" s="101"/>
      <x:c r="K136" s="101"/>
      <x:c r="L136" s="101"/>
      <x:c r="M136" s="101"/>
      <x:c r="N136" s="101"/>
      <x:c r="O136" s="101"/>
      <x:c r="P136" s="101"/>
      <x:c r="Q136" s="101"/>
      <x:c r="R136" s="101"/>
      <x:c r="S136" s="101"/>
      <x:c r="T136" s="101"/>
      <x:c r="U136" s="101"/>
      <x:c r="V136" s="101"/>
      <x:c r="W136" s="101"/>
      <x:c r="X136" s="101"/>
      <x:c r="Y136" s="101"/>
      <x:c r="Z136" s="101"/>
      <x:c r="AA136" s="101"/>
      <x:c r="AB136" s="101"/>
      <x:c r="AC136" s="101"/>
      <x:c r="AD136" s="101"/>
      <x:c r="AE136" s="101"/>
    </x:row>
    <x:row r="137" ht="22" customHeight="1">
      <x:c r="A137" s="93" t="str">
        <x:f>IF('Package Register'!A35="","","KEEP DRY | HANDLE WITH CARE")</x:f>
      </x:c>
      <x:c r="B137" s="81"/>
      <x:c r="C137" s="81"/>
      <x:c r="D137" s="81"/>
      <x:c r="E137" s="93" t="str">
        <x:f>IF('Package Register'!A36="","","KEEP DRY | HANDLE WITH CARE")</x:f>
      </x:c>
      <x:c r="F137" s="81"/>
      <x:c r="G137" s="81"/>
      <x:c r="H137" s="81"/>
      <x:c r="I137" s="101"/>
      <x:c r="J137" s="101"/>
      <x:c r="K137" s="101"/>
      <x:c r="L137" s="101"/>
      <x:c r="M137" s="101"/>
      <x:c r="N137" s="101"/>
      <x:c r="O137" s="101"/>
      <x:c r="P137" s="101"/>
      <x:c r="Q137" s="101"/>
      <x:c r="R137" s="101"/>
      <x:c r="S137" s="101"/>
      <x:c r="T137" s="101"/>
      <x:c r="U137" s="101"/>
      <x:c r="V137" s="101"/>
      <x:c r="W137" s="101"/>
      <x:c r="X137" s="101"/>
      <x:c r="Y137" s="101"/>
      <x:c r="Z137" s="101"/>
      <x:c r="AA137" s="101"/>
      <x:c r="AB137" s="101"/>
      <x:c r="AC137" s="101"/>
      <x:c r="AD137" s="101"/>
      <x:c r="AE137" s="101"/>
    </x:row>
    <x:row r="138" ht="22" customHeight="1">
      <x:c r="A138" s="101"/>
      <x:c r="B138" s="101"/>
      <x:c r="C138" s="101"/>
      <x:c r="D138" s="101"/>
      <x:c r="E138" s="101"/>
      <x:c r="F138" s="101"/>
      <x:c r="G138" s="101"/>
      <x:c r="H138" s="101"/>
      <x:c r="I138" s="101"/>
      <x:c r="J138" s="101"/>
      <x:c r="K138" s="101"/>
      <x:c r="L138" s="101"/>
      <x:c r="M138" s="101"/>
      <x:c r="N138" s="101"/>
      <x:c r="O138" s="101"/>
      <x:c r="P138" s="101"/>
      <x:c r="Q138" s="101"/>
      <x:c r="R138" s="101"/>
      <x:c r="S138" s="101"/>
      <x:c r="T138" s="101"/>
      <x:c r="U138" s="101"/>
      <x:c r="V138" s="101"/>
      <x:c r="W138" s="101"/>
      <x:c r="X138" s="101"/>
      <x:c r="Y138" s="101"/>
      <x:c r="Z138" s="101"/>
      <x:c r="AA138" s="101"/>
      <x:c r="AB138" s="101"/>
      <x:c r="AC138" s="101"/>
      <x:c r="AD138" s="101"/>
      <x:c r="AE138" s="101"/>
    </x:row>
    <x:row r="139" ht="22" customHeight="1">
      <x:c r="A139" s="96" t="str">
        <x:f>IF('Package Register'!A37="","","IFS PACKAGE LABEL")</x:f>
      </x:c>
      <x:c r="B139" s="81"/>
      <x:c r="C139" s="81"/>
      <x:c r="D139" s="81"/>
      <x:c r="E139" s="96" t="str">
        <x:f>IF('Package Register'!A38="","","IFS PACKAGE LABEL")</x:f>
      </x:c>
      <x:c r="F139" s="81"/>
      <x:c r="G139" s="81"/>
      <x:c r="H139" s="81"/>
      <x:c r="I139" s="101"/>
      <x:c r="J139" s="101"/>
      <x:c r="K139" s="101"/>
      <x:c r="L139" s="101"/>
      <x:c r="M139" s="101"/>
      <x:c r="N139" s="101"/>
      <x:c r="O139" s="101"/>
      <x:c r="P139" s="101"/>
      <x:c r="Q139" s="101"/>
      <x:c r="R139" s="101"/>
      <x:c r="S139" s="101"/>
      <x:c r="T139" s="101"/>
      <x:c r="U139" s="101"/>
      <x:c r="V139" s="101"/>
      <x:c r="W139" s="101"/>
      <x:c r="X139" s="101"/>
      <x:c r="Y139" s="101"/>
      <x:c r="Z139" s="101"/>
      <x:c r="AA139" s="101"/>
      <x:c r="AB139" s="101"/>
      <x:c r="AC139" s="101"/>
      <x:c r="AD139" s="101"/>
      <x:c r="AE139" s="101"/>
    </x:row>
    <x:row r="140" ht="22" customHeight="1">
      <x:c r="A140" s="81" t="str">
        <x:f>IF('Package Register'!A37="","",'START HERE'!B8 &amp; " | " &amp; 'Package Register'!C37)</x:f>
      </x:c>
      <x:c r="B140" s="81"/>
      <x:c r="C140" s="81"/>
      <x:c r="D140" s="81"/>
      <x:c r="E140" s="81" t="str">
        <x:f>IF('Package Register'!A38="","",'START HERE'!B8 &amp; " | " &amp; 'Package Register'!C38)</x:f>
      </x:c>
      <x:c r="F140" s="81"/>
      <x:c r="G140" s="81"/>
      <x:c r="H140" s="81"/>
      <x:c r="I140" s="101"/>
      <x:c r="J140" s="101"/>
      <x:c r="K140" s="101"/>
      <x:c r="L140" s="101"/>
      <x:c r="M140" s="101"/>
      <x:c r="N140" s="101"/>
      <x:c r="O140" s="101"/>
      <x:c r="P140" s="101"/>
      <x:c r="Q140" s="101"/>
      <x:c r="R140" s="101"/>
      <x:c r="S140" s="101"/>
      <x:c r="T140" s="101"/>
      <x:c r="U140" s="101"/>
      <x:c r="V140" s="101"/>
      <x:c r="W140" s="101"/>
      <x:c r="X140" s="101"/>
      <x:c r="Y140" s="101"/>
      <x:c r="Z140" s="101"/>
      <x:c r="AA140" s="101"/>
      <x:c r="AB140" s="101"/>
      <x:c r="AC140" s="101"/>
      <x:c r="AD140" s="101"/>
      <x:c r="AE140" s="101"/>
    </x:row>
    <x:row r="141" ht="22" customHeight="1">
      <x:c r="A141" s="81" t="str">
        <x:f>IF('Package Register'!A37="","","PALLET: " &amp; 'Package Register'!B37)</x:f>
      </x:c>
      <x:c r="B141" s="81"/>
      <x:c r="C141" s="81"/>
      <x:c r="D141" s="81"/>
      <x:c r="E141" s="81" t="str">
        <x:f>IF('Package Register'!A38="","","PALLET: " &amp; 'Package Register'!B38)</x:f>
      </x:c>
      <x:c r="F141" s="81"/>
      <x:c r="G141" s="81"/>
      <x:c r="H141" s="81"/>
      <x:c r="I141" s="101"/>
      <x:c r="J141" s="101"/>
      <x:c r="K141" s="101"/>
      <x:c r="L141" s="101"/>
      <x:c r="M141" s="101"/>
      <x:c r="N141" s="101"/>
      <x:c r="O141" s="101"/>
      <x:c r="P141" s="101"/>
      <x:c r="Q141" s="101"/>
      <x:c r="R141" s="101"/>
      <x:c r="S141" s="101"/>
      <x:c r="T141" s="101"/>
      <x:c r="U141" s="101"/>
      <x:c r="V141" s="101"/>
      <x:c r="W141" s="101"/>
      <x:c r="X141" s="101"/>
      <x:c r="Y141" s="101"/>
      <x:c r="Z141" s="101"/>
      <x:c r="AA141" s="101"/>
      <x:c r="AB141" s="101"/>
      <x:c r="AC141" s="101"/>
      <x:c r="AD141" s="101"/>
      <x:c r="AE141" s="101"/>
    </x:row>
    <x:row r="142" ht="22" customHeight="1">
      <x:c r="A142" s="81" t="str">
        <x:f>IF('Package Register'!A37="","",'Package Register'!D37)</x:f>
      </x:c>
      <x:c r="B142" s="81"/>
      <x:c r="C142" s="81"/>
      <x:c r="D142" s="81"/>
      <x:c r="E142" s="81" t="str">
        <x:f>IF('Package Register'!A38="","",'Package Register'!D38)</x:f>
      </x:c>
      <x:c r="F142" s="81"/>
      <x:c r="G142" s="81"/>
      <x:c r="H142" s="81"/>
      <x:c r="I142" s="101"/>
      <x:c r="J142" s="101"/>
      <x:c r="K142" s="101"/>
      <x:c r="L142" s="101"/>
      <x:c r="M142" s="101"/>
      <x:c r="N142" s="101"/>
      <x:c r="O142" s="101"/>
      <x:c r="P142" s="101"/>
      <x:c r="Q142" s="101"/>
      <x:c r="R142" s="101"/>
      <x:c r="S142" s="101"/>
      <x:c r="T142" s="101"/>
      <x:c r="U142" s="101"/>
      <x:c r="V142" s="101"/>
      <x:c r="W142" s="101"/>
      <x:c r="X142" s="101"/>
      <x:c r="Y142" s="101"/>
      <x:c r="Z142" s="101"/>
      <x:c r="AA142" s="101"/>
      <x:c r="AB142" s="101"/>
      <x:c r="AC142" s="101"/>
      <x:c r="AD142" s="101"/>
      <x:c r="AE142" s="101"/>
    </x:row>
    <x:row r="143" ht="22" customHeight="1">
      <x:c r="A143" s="81" t="str">
        <x:f>IF('Package Register'!A37="","",'Package Register'!F37)</x:f>
      </x:c>
      <x:c r="B143" s="81"/>
      <x:c r="C143" s="81"/>
      <x:c r="D143" s="81"/>
      <x:c r="E143" s="81" t="str">
        <x:f>IF('Package Register'!A38="","",'Package Register'!F38)</x:f>
      </x:c>
      <x:c r="F143" s="81"/>
      <x:c r="G143" s="81"/>
      <x:c r="H143" s="81"/>
      <x:c r="I143" s="101"/>
      <x:c r="J143" s="101"/>
      <x:c r="K143" s="101"/>
      <x:c r="L143" s="101"/>
      <x:c r="M143" s="101"/>
      <x:c r="N143" s="101"/>
      <x:c r="O143" s="101"/>
      <x:c r="P143" s="101"/>
      <x:c r="Q143" s="101"/>
      <x:c r="R143" s="101"/>
      <x:c r="S143" s="101"/>
      <x:c r="T143" s="101"/>
      <x:c r="U143" s="101"/>
      <x:c r="V143" s="101"/>
      <x:c r="W143" s="101"/>
      <x:c r="X143" s="101"/>
      <x:c r="Y143" s="101"/>
      <x:c r="Z143" s="101"/>
      <x:c r="AA143" s="101"/>
      <x:c r="AB143" s="101"/>
      <x:c r="AC143" s="101"/>
      <x:c r="AD143" s="101"/>
      <x:c r="AE143" s="101"/>
    </x:row>
    <x:row r="144" ht="22" customHeight="1">
      <x:c r="A144" s="81" t="str">
        <x:f>IF('Package Register'!A37="","","Approx weight: " &amp; ROUND('Package Register'!G37,0) &amp; " kg | Size: " &amp; 'Package Register'!H37 &amp; " x " &amp; 'Package Register'!I37 &amp; " x " &amp; 'Package Register'!J37 &amp; " mm")</x:f>
      </x:c>
      <x:c r="B144" s="81"/>
      <x:c r="C144" s="81"/>
      <x:c r="D144" s="81"/>
      <x:c r="E144" s="81" t="str">
        <x:f>IF('Package Register'!A38="","","Approx weight: " &amp; ROUND('Package Register'!G38,0) &amp; " kg | Size: " &amp; 'Package Register'!H38 &amp; " x " &amp; 'Package Register'!I38 &amp; " x " &amp; 'Package Register'!J38 &amp; " mm")</x:f>
      </x:c>
      <x:c r="F144" s="81"/>
      <x:c r="G144" s="81"/>
      <x:c r="H144" s="81"/>
      <x:c r="I144" s="101"/>
      <x:c r="J144" s="101"/>
      <x:c r="K144" s="101"/>
      <x:c r="L144" s="101"/>
      <x:c r="M144" s="101"/>
      <x:c r="N144" s="101"/>
      <x:c r="O144" s="101"/>
      <x:c r="P144" s="101"/>
      <x:c r="Q144" s="101"/>
      <x:c r="R144" s="101"/>
      <x:c r="S144" s="101"/>
      <x:c r="T144" s="101"/>
      <x:c r="U144" s="101"/>
      <x:c r="V144" s="101"/>
      <x:c r="W144" s="101"/>
      <x:c r="X144" s="101"/>
      <x:c r="Y144" s="101"/>
      <x:c r="Z144" s="101"/>
      <x:c r="AA144" s="101"/>
      <x:c r="AB144" s="101"/>
      <x:c r="AC144" s="101"/>
      <x:c r="AD144" s="101"/>
      <x:c r="AE144" s="101"/>
    </x:row>
    <x:row r="145" ht="22" customHeight="1">
      <x:c r="A145" s="93" t="str">
        <x:f>IF('Package Register'!A37="","","KEEP DRY | HANDLE WITH CARE")</x:f>
      </x:c>
      <x:c r="B145" s="81"/>
      <x:c r="C145" s="81"/>
      <x:c r="D145" s="81"/>
      <x:c r="E145" s="93" t="str">
        <x:f>IF('Package Register'!A38="","","KEEP DRY | HANDLE WITH CARE")</x:f>
      </x:c>
      <x:c r="F145" s="81"/>
      <x:c r="G145" s="81"/>
      <x:c r="H145" s="81"/>
      <x:c r="I145" s="101"/>
      <x:c r="J145" s="101"/>
      <x:c r="K145" s="101"/>
      <x:c r="L145" s="101"/>
      <x:c r="M145" s="101"/>
      <x:c r="N145" s="101"/>
      <x:c r="O145" s="101"/>
      <x:c r="P145" s="101"/>
      <x:c r="Q145" s="101"/>
      <x:c r="R145" s="101"/>
      <x:c r="S145" s="101"/>
      <x:c r="T145" s="101"/>
      <x:c r="U145" s="101"/>
      <x:c r="V145" s="101"/>
      <x:c r="W145" s="101"/>
      <x:c r="X145" s="101"/>
      <x:c r="Y145" s="101"/>
      <x:c r="Z145" s="101"/>
      <x:c r="AA145" s="101"/>
      <x:c r="AB145" s="101"/>
      <x:c r="AC145" s="101"/>
      <x:c r="AD145" s="101"/>
      <x:c r="AE145" s="101"/>
    </x:row>
    <x:row r="146" ht="22" customHeight="1">
      <x:c r="A146" s="101"/>
      <x:c r="B146" s="101"/>
      <x:c r="C146" s="101"/>
      <x:c r="D146" s="101"/>
      <x:c r="E146" s="101"/>
      <x:c r="F146" s="101"/>
      <x:c r="G146" s="101"/>
      <x:c r="H146" s="101"/>
      <x:c r="I146" s="101"/>
      <x:c r="J146" s="101"/>
      <x:c r="K146" s="101"/>
      <x:c r="L146" s="101"/>
      <x:c r="M146" s="101"/>
      <x:c r="N146" s="101"/>
      <x:c r="O146" s="101"/>
      <x:c r="P146" s="101"/>
      <x:c r="Q146" s="101"/>
      <x:c r="R146" s="101"/>
      <x:c r="S146" s="101"/>
      <x:c r="T146" s="101"/>
      <x:c r="U146" s="101"/>
      <x:c r="V146" s="101"/>
      <x:c r="W146" s="101"/>
      <x:c r="X146" s="101"/>
      <x:c r="Y146" s="101"/>
      <x:c r="Z146" s="101"/>
      <x:c r="AA146" s="101"/>
      <x:c r="AB146" s="101"/>
      <x:c r="AC146" s="101"/>
      <x:c r="AD146" s="101"/>
      <x:c r="AE146" s="101"/>
    </x:row>
    <x:row r="147" ht="22" customHeight="1">
      <x:c r="A147" s="96" t="str">
        <x:f>IF('Package Register'!A39="","","IFS PACKAGE LABEL")</x:f>
      </x:c>
      <x:c r="B147" s="81"/>
      <x:c r="C147" s="81"/>
      <x:c r="D147" s="81"/>
      <x:c r="E147" s="96" t="str">
        <x:f>IF('Package Register'!A40="","","IFS PACKAGE LABEL")</x:f>
      </x:c>
      <x:c r="F147" s="81"/>
      <x:c r="G147" s="81"/>
      <x:c r="H147" s="81"/>
      <x:c r="I147" s="101"/>
      <x:c r="J147" s="101"/>
      <x:c r="K147" s="101"/>
      <x:c r="L147" s="101"/>
      <x:c r="M147" s="101"/>
      <x:c r="N147" s="101"/>
      <x:c r="O147" s="101"/>
      <x:c r="P147" s="101"/>
      <x:c r="Q147" s="101"/>
      <x:c r="R147" s="101"/>
      <x:c r="S147" s="101"/>
      <x:c r="T147" s="101"/>
      <x:c r="U147" s="101"/>
      <x:c r="V147" s="101"/>
      <x:c r="W147" s="101"/>
      <x:c r="X147" s="101"/>
      <x:c r="Y147" s="101"/>
      <x:c r="Z147" s="101"/>
      <x:c r="AA147" s="101"/>
      <x:c r="AB147" s="101"/>
      <x:c r="AC147" s="101"/>
      <x:c r="AD147" s="101"/>
      <x:c r="AE147" s="101"/>
    </x:row>
    <x:row r="148" ht="22" customHeight="1">
      <x:c r="A148" s="81" t="str">
        <x:f>IF('Package Register'!A39="","",'START HERE'!B8 &amp; " | " &amp; 'Package Register'!C39)</x:f>
      </x:c>
      <x:c r="B148" s="81"/>
      <x:c r="C148" s="81"/>
      <x:c r="D148" s="81"/>
      <x:c r="E148" s="81" t="str">
        <x:f>IF('Package Register'!A40="","",'START HERE'!B8 &amp; " | " &amp; 'Package Register'!C40)</x:f>
      </x:c>
      <x:c r="F148" s="81"/>
      <x:c r="G148" s="81"/>
      <x:c r="H148" s="81"/>
      <x:c r="I148" s="101"/>
      <x:c r="J148" s="101"/>
      <x:c r="K148" s="101"/>
      <x:c r="L148" s="101"/>
      <x:c r="M148" s="101"/>
      <x:c r="N148" s="101"/>
      <x:c r="O148" s="101"/>
      <x:c r="P148" s="101"/>
      <x:c r="Q148" s="101"/>
      <x:c r="R148" s="101"/>
      <x:c r="S148" s="101"/>
      <x:c r="T148" s="101"/>
      <x:c r="U148" s="101"/>
      <x:c r="V148" s="101"/>
      <x:c r="W148" s="101"/>
      <x:c r="X148" s="101"/>
      <x:c r="Y148" s="101"/>
      <x:c r="Z148" s="101"/>
      <x:c r="AA148" s="101"/>
      <x:c r="AB148" s="101"/>
      <x:c r="AC148" s="101"/>
      <x:c r="AD148" s="101"/>
      <x:c r="AE148" s="101"/>
    </x:row>
    <x:row r="149" ht="22" customHeight="1">
      <x:c r="A149" s="81" t="str">
        <x:f>IF('Package Register'!A39="","","PALLET: " &amp; 'Package Register'!B39)</x:f>
      </x:c>
      <x:c r="B149" s="81"/>
      <x:c r="C149" s="81"/>
      <x:c r="D149" s="81"/>
      <x:c r="E149" s="81" t="str">
        <x:f>IF('Package Register'!A40="","","PALLET: " &amp; 'Package Register'!B40)</x:f>
      </x:c>
      <x:c r="F149" s="81"/>
      <x:c r="G149" s="81"/>
      <x:c r="H149" s="81"/>
      <x:c r="I149" s="101"/>
      <x:c r="J149" s="101"/>
      <x:c r="K149" s="101"/>
      <x:c r="L149" s="101"/>
      <x:c r="M149" s="101"/>
      <x:c r="N149" s="101"/>
      <x:c r="O149" s="101"/>
      <x:c r="P149" s="101"/>
      <x:c r="Q149" s="101"/>
      <x:c r="R149" s="101"/>
      <x:c r="S149" s="101"/>
      <x:c r="T149" s="101"/>
      <x:c r="U149" s="101"/>
      <x:c r="V149" s="101"/>
      <x:c r="W149" s="101"/>
      <x:c r="X149" s="101"/>
      <x:c r="Y149" s="101"/>
      <x:c r="Z149" s="101"/>
      <x:c r="AA149" s="101"/>
      <x:c r="AB149" s="101"/>
      <x:c r="AC149" s="101"/>
      <x:c r="AD149" s="101"/>
      <x:c r="AE149" s="101"/>
    </x:row>
    <x:row r="150" ht="22" customHeight="1">
      <x:c r="A150" s="81" t="str">
        <x:f>IF('Package Register'!A39="","",'Package Register'!D39)</x:f>
      </x:c>
      <x:c r="B150" s="81"/>
      <x:c r="C150" s="81"/>
      <x:c r="D150" s="81"/>
      <x:c r="E150" s="81" t="str">
        <x:f>IF('Package Register'!A40="","",'Package Register'!D40)</x:f>
      </x:c>
      <x:c r="F150" s="81"/>
      <x:c r="G150" s="81"/>
      <x:c r="H150" s="81"/>
      <x:c r="I150" s="101"/>
      <x:c r="J150" s="101"/>
      <x:c r="K150" s="101"/>
      <x:c r="L150" s="101"/>
      <x:c r="M150" s="101"/>
      <x:c r="N150" s="101"/>
      <x:c r="O150" s="101"/>
      <x:c r="P150" s="101"/>
      <x:c r="Q150" s="101"/>
      <x:c r="R150" s="101"/>
      <x:c r="S150" s="101"/>
      <x:c r="T150" s="101"/>
      <x:c r="U150" s="101"/>
      <x:c r="V150" s="101"/>
      <x:c r="W150" s="101"/>
      <x:c r="X150" s="101"/>
      <x:c r="Y150" s="101"/>
      <x:c r="Z150" s="101"/>
      <x:c r="AA150" s="101"/>
      <x:c r="AB150" s="101"/>
      <x:c r="AC150" s="101"/>
      <x:c r="AD150" s="101"/>
      <x:c r="AE150" s="101"/>
    </x:row>
    <x:row r="151" ht="22" customHeight="1">
      <x:c r="A151" s="81" t="str">
        <x:f>IF('Package Register'!A39="","",'Package Register'!F39)</x:f>
      </x:c>
      <x:c r="B151" s="81"/>
      <x:c r="C151" s="81"/>
      <x:c r="D151" s="81"/>
      <x:c r="E151" s="81" t="str">
        <x:f>IF('Package Register'!A40="","",'Package Register'!F40)</x:f>
      </x:c>
      <x:c r="F151" s="81"/>
      <x:c r="G151" s="81"/>
      <x:c r="H151" s="81"/>
      <x:c r="I151" s="101"/>
      <x:c r="J151" s="101"/>
      <x:c r="K151" s="101"/>
      <x:c r="L151" s="101"/>
      <x:c r="M151" s="101"/>
      <x:c r="N151" s="101"/>
      <x:c r="O151" s="101"/>
      <x:c r="P151" s="101"/>
      <x:c r="Q151" s="101"/>
      <x:c r="R151" s="101"/>
      <x:c r="S151" s="101"/>
      <x:c r="T151" s="101"/>
      <x:c r="U151" s="101"/>
      <x:c r="V151" s="101"/>
      <x:c r="W151" s="101"/>
      <x:c r="X151" s="101"/>
      <x:c r="Y151" s="101"/>
      <x:c r="Z151" s="101"/>
      <x:c r="AA151" s="101"/>
      <x:c r="AB151" s="101"/>
      <x:c r="AC151" s="101"/>
      <x:c r="AD151" s="101"/>
      <x:c r="AE151" s="101"/>
    </x:row>
    <x:row r="152" ht="22" customHeight="1">
      <x:c r="A152" s="81" t="str">
        <x:f>IF('Package Register'!A39="","","Approx weight: " &amp; ROUND('Package Register'!G39,0) &amp; " kg | Size: " &amp; 'Package Register'!H39 &amp; " x " &amp; 'Package Register'!I39 &amp; " x " &amp; 'Package Register'!J39 &amp; " mm")</x:f>
      </x:c>
      <x:c r="B152" s="81"/>
      <x:c r="C152" s="81"/>
      <x:c r="D152" s="81"/>
      <x:c r="E152" s="81" t="str">
        <x:f>IF('Package Register'!A40="","","Approx weight: " &amp; ROUND('Package Register'!G40,0) &amp; " kg | Size: " &amp; 'Package Register'!H40 &amp; " x " &amp; 'Package Register'!I40 &amp; " x " &amp; 'Package Register'!J40 &amp; " mm")</x:f>
      </x:c>
      <x:c r="F152" s="81"/>
      <x:c r="G152" s="81"/>
      <x:c r="H152" s="81"/>
      <x:c r="I152" s="101"/>
      <x:c r="J152" s="101"/>
      <x:c r="K152" s="101"/>
      <x:c r="L152" s="101"/>
      <x:c r="M152" s="101"/>
      <x:c r="N152" s="101"/>
      <x:c r="O152" s="101"/>
      <x:c r="P152" s="101"/>
      <x:c r="Q152" s="101"/>
      <x:c r="R152" s="101"/>
      <x:c r="S152" s="101"/>
      <x:c r="T152" s="101"/>
      <x:c r="U152" s="101"/>
      <x:c r="V152" s="101"/>
      <x:c r="W152" s="101"/>
      <x:c r="X152" s="101"/>
      <x:c r="Y152" s="101"/>
      <x:c r="Z152" s="101"/>
      <x:c r="AA152" s="101"/>
      <x:c r="AB152" s="101"/>
      <x:c r="AC152" s="101"/>
      <x:c r="AD152" s="101"/>
      <x:c r="AE152" s="101"/>
    </x:row>
    <x:row r="153" ht="22" customHeight="1">
      <x:c r="A153" s="93" t="str">
        <x:f>IF('Package Register'!A39="","","KEEP DRY | HANDLE WITH CARE")</x:f>
      </x:c>
      <x:c r="B153" s="81"/>
      <x:c r="C153" s="81"/>
      <x:c r="D153" s="81"/>
      <x:c r="E153" s="93" t="str">
        <x:f>IF('Package Register'!A40="","","KEEP DRY | HANDLE WITH CARE")</x:f>
      </x:c>
      <x:c r="F153" s="81"/>
      <x:c r="G153" s="81"/>
      <x:c r="H153" s="81"/>
      <x:c r="I153" s="101"/>
      <x:c r="J153" s="101"/>
      <x:c r="K153" s="101"/>
      <x:c r="L153" s="101"/>
      <x:c r="M153" s="101"/>
      <x:c r="N153" s="101"/>
      <x:c r="O153" s="101"/>
      <x:c r="P153" s="101"/>
      <x:c r="Q153" s="101"/>
      <x:c r="R153" s="101"/>
      <x:c r="S153" s="101"/>
      <x:c r="T153" s="101"/>
      <x:c r="U153" s="101"/>
      <x:c r="V153" s="101"/>
      <x:c r="W153" s="101"/>
      <x:c r="X153" s="101"/>
      <x:c r="Y153" s="101"/>
      <x:c r="Z153" s="101"/>
      <x:c r="AA153" s="101"/>
      <x:c r="AB153" s="101"/>
      <x:c r="AC153" s="101"/>
      <x:c r="AD153" s="101"/>
      <x:c r="AE153" s="101"/>
    </x:row>
    <x:row r="154" ht="22" customHeight="1">
      <x:c r="A154" s="101"/>
      <x:c r="B154" s="101"/>
      <x:c r="C154" s="101"/>
      <x:c r="D154" s="101"/>
      <x:c r="E154" s="101"/>
      <x:c r="F154" s="101"/>
      <x:c r="G154" s="101"/>
      <x:c r="H154" s="101"/>
      <x:c r="I154" s="101"/>
      <x:c r="J154" s="101"/>
      <x:c r="K154" s="101"/>
      <x:c r="L154" s="101"/>
      <x:c r="M154" s="101"/>
      <x:c r="N154" s="101"/>
      <x:c r="O154" s="101"/>
      <x:c r="P154" s="101"/>
      <x:c r="Q154" s="101"/>
      <x:c r="R154" s="101"/>
      <x:c r="S154" s="101"/>
      <x:c r="T154" s="101"/>
      <x:c r="U154" s="101"/>
      <x:c r="V154" s="101"/>
      <x:c r="W154" s="101"/>
      <x:c r="X154" s="101"/>
      <x:c r="Y154" s="101"/>
      <x:c r="Z154" s="101"/>
      <x:c r="AA154" s="101"/>
      <x:c r="AB154" s="101"/>
      <x:c r="AC154" s="101"/>
      <x:c r="AD154" s="101"/>
      <x:c r="AE154" s="101"/>
    </x:row>
    <x:row r="155" ht="22" customHeight="1">
      <x:c r="A155" s="96" t="str">
        <x:f>IF('Package Register'!A41="","","IFS PACKAGE LABEL")</x:f>
      </x:c>
      <x:c r="B155" s="81"/>
      <x:c r="C155" s="81"/>
      <x:c r="D155" s="81"/>
      <x:c r="E155" s="96" t="str">
        <x:f>IF('Package Register'!A42="","","IFS PACKAGE LABEL")</x:f>
      </x:c>
      <x:c r="F155" s="81"/>
      <x:c r="G155" s="81"/>
      <x:c r="H155" s="81"/>
      <x:c r="I155" s="101"/>
      <x:c r="J155" s="101"/>
      <x:c r="K155" s="101"/>
      <x:c r="L155" s="101"/>
      <x:c r="M155" s="101"/>
      <x:c r="N155" s="101"/>
      <x:c r="O155" s="101"/>
      <x:c r="P155" s="101"/>
      <x:c r="Q155" s="101"/>
      <x:c r="R155" s="101"/>
      <x:c r="S155" s="101"/>
      <x:c r="T155" s="101"/>
      <x:c r="U155" s="101"/>
      <x:c r="V155" s="101"/>
      <x:c r="W155" s="101"/>
      <x:c r="X155" s="101"/>
      <x:c r="Y155" s="101"/>
      <x:c r="Z155" s="101"/>
      <x:c r="AA155" s="101"/>
      <x:c r="AB155" s="101"/>
      <x:c r="AC155" s="101"/>
      <x:c r="AD155" s="101"/>
      <x:c r="AE155" s="101"/>
    </x:row>
    <x:row r="156" ht="22" customHeight="1">
      <x:c r="A156" s="81" t="str">
        <x:f>IF('Package Register'!A41="","",'START HERE'!B8 &amp; " | " &amp; 'Package Register'!C41)</x:f>
      </x:c>
      <x:c r="B156" s="81"/>
      <x:c r="C156" s="81"/>
      <x:c r="D156" s="81"/>
      <x:c r="E156" s="81" t="str">
        <x:f>IF('Package Register'!A42="","",'START HERE'!B8 &amp; " | " &amp; 'Package Register'!C42)</x:f>
      </x:c>
      <x:c r="F156" s="81"/>
      <x:c r="G156" s="81"/>
      <x:c r="H156" s="81"/>
      <x:c r="I156" s="101"/>
      <x:c r="J156" s="101"/>
      <x:c r="K156" s="101"/>
      <x:c r="L156" s="101"/>
      <x:c r="M156" s="101"/>
      <x:c r="N156" s="101"/>
      <x:c r="O156" s="101"/>
      <x:c r="P156" s="101"/>
      <x:c r="Q156" s="101"/>
      <x:c r="R156" s="101"/>
      <x:c r="S156" s="101"/>
      <x:c r="T156" s="101"/>
      <x:c r="U156" s="101"/>
      <x:c r="V156" s="101"/>
      <x:c r="W156" s="101"/>
      <x:c r="X156" s="101"/>
      <x:c r="Y156" s="101"/>
      <x:c r="Z156" s="101"/>
      <x:c r="AA156" s="101"/>
      <x:c r="AB156" s="101"/>
      <x:c r="AC156" s="101"/>
      <x:c r="AD156" s="101"/>
      <x:c r="AE156" s="101"/>
    </x:row>
    <x:row r="157" ht="22" customHeight="1">
      <x:c r="A157" s="81" t="str">
        <x:f>IF('Package Register'!A41="","","PALLET: " &amp; 'Package Register'!B41)</x:f>
      </x:c>
      <x:c r="B157" s="81"/>
      <x:c r="C157" s="81"/>
      <x:c r="D157" s="81"/>
      <x:c r="E157" s="81" t="str">
        <x:f>IF('Package Register'!A42="","","PALLET: " &amp; 'Package Register'!B42)</x:f>
      </x:c>
      <x:c r="F157" s="81"/>
      <x:c r="G157" s="81"/>
      <x:c r="H157" s="81"/>
      <x:c r="I157" s="101"/>
      <x:c r="J157" s="101"/>
      <x:c r="K157" s="101"/>
      <x:c r="L157" s="101"/>
      <x:c r="M157" s="101"/>
      <x:c r="N157" s="101"/>
      <x:c r="O157" s="101"/>
      <x:c r="P157" s="101"/>
      <x:c r="Q157" s="101"/>
      <x:c r="R157" s="101"/>
      <x:c r="S157" s="101"/>
      <x:c r="T157" s="101"/>
      <x:c r="U157" s="101"/>
      <x:c r="V157" s="101"/>
      <x:c r="W157" s="101"/>
      <x:c r="X157" s="101"/>
      <x:c r="Y157" s="101"/>
      <x:c r="Z157" s="101"/>
      <x:c r="AA157" s="101"/>
      <x:c r="AB157" s="101"/>
      <x:c r="AC157" s="101"/>
      <x:c r="AD157" s="101"/>
      <x:c r="AE157" s="101"/>
    </x:row>
    <x:row r="158" ht="22" customHeight="1">
      <x:c r="A158" s="81" t="str">
        <x:f>IF('Package Register'!A41="","",'Package Register'!D41)</x:f>
      </x:c>
      <x:c r="B158" s="81"/>
      <x:c r="C158" s="81"/>
      <x:c r="D158" s="81"/>
      <x:c r="E158" s="81" t="str">
        <x:f>IF('Package Register'!A42="","",'Package Register'!D42)</x:f>
      </x:c>
      <x:c r="F158" s="81"/>
      <x:c r="G158" s="81"/>
      <x:c r="H158" s="81"/>
      <x:c r="I158" s="101"/>
      <x:c r="J158" s="101"/>
      <x:c r="K158" s="101"/>
      <x:c r="L158" s="101"/>
      <x:c r="M158" s="101"/>
      <x:c r="N158" s="101"/>
      <x:c r="O158" s="101"/>
      <x:c r="P158" s="101"/>
      <x:c r="Q158" s="101"/>
      <x:c r="R158" s="101"/>
      <x:c r="S158" s="101"/>
      <x:c r="T158" s="101"/>
      <x:c r="U158" s="101"/>
      <x:c r="V158" s="101"/>
      <x:c r="W158" s="101"/>
      <x:c r="X158" s="101"/>
      <x:c r="Y158" s="101"/>
      <x:c r="Z158" s="101"/>
      <x:c r="AA158" s="101"/>
      <x:c r="AB158" s="101"/>
      <x:c r="AC158" s="101"/>
      <x:c r="AD158" s="101"/>
      <x:c r="AE158" s="101"/>
    </x:row>
    <x:row r="159" ht="22" customHeight="1">
      <x:c r="A159" s="81" t="str">
        <x:f>IF('Package Register'!A41="","",'Package Register'!F41)</x:f>
      </x:c>
      <x:c r="B159" s="81"/>
      <x:c r="C159" s="81"/>
      <x:c r="D159" s="81"/>
      <x:c r="E159" s="81" t="str">
        <x:f>IF('Package Register'!A42="","",'Package Register'!F42)</x:f>
      </x:c>
      <x:c r="F159" s="81"/>
      <x:c r="G159" s="81"/>
      <x:c r="H159" s="81"/>
      <x:c r="I159" s="101"/>
      <x:c r="J159" s="101"/>
      <x:c r="K159" s="101"/>
      <x:c r="L159" s="101"/>
      <x:c r="M159" s="101"/>
      <x:c r="N159" s="101"/>
      <x:c r="O159" s="101"/>
      <x:c r="P159" s="101"/>
      <x:c r="Q159" s="101"/>
      <x:c r="R159" s="101"/>
      <x:c r="S159" s="101"/>
      <x:c r="T159" s="101"/>
      <x:c r="U159" s="101"/>
      <x:c r="V159" s="101"/>
      <x:c r="W159" s="101"/>
      <x:c r="X159" s="101"/>
      <x:c r="Y159" s="101"/>
      <x:c r="Z159" s="101"/>
      <x:c r="AA159" s="101"/>
      <x:c r="AB159" s="101"/>
      <x:c r="AC159" s="101"/>
      <x:c r="AD159" s="101"/>
      <x:c r="AE159" s="101"/>
    </x:row>
    <x:row r="160" ht="22" customHeight="1">
      <x:c r="A160" s="81" t="str">
        <x:f>IF('Package Register'!A41="","","Approx weight: " &amp; ROUND('Package Register'!G41,0) &amp; " kg | Size: " &amp; 'Package Register'!H41 &amp; " x " &amp; 'Package Register'!I41 &amp; " x " &amp; 'Package Register'!J41 &amp; " mm")</x:f>
      </x:c>
      <x:c r="B160" s="81"/>
      <x:c r="C160" s="81"/>
      <x:c r="D160" s="81"/>
      <x:c r="E160" s="81" t="str">
        <x:f>IF('Package Register'!A42="","","Approx weight: " &amp; ROUND('Package Register'!G42,0) &amp; " kg | Size: " &amp; 'Package Register'!H42 &amp; " x " &amp; 'Package Register'!I42 &amp; " x " &amp; 'Package Register'!J42 &amp; " mm")</x:f>
      </x:c>
      <x:c r="F160" s="81"/>
      <x:c r="G160" s="81"/>
      <x:c r="H160" s="81"/>
      <x:c r="I160" s="101"/>
      <x:c r="J160" s="101"/>
      <x:c r="K160" s="101"/>
      <x:c r="L160" s="101"/>
      <x:c r="M160" s="101"/>
      <x:c r="N160" s="101"/>
      <x:c r="O160" s="101"/>
      <x:c r="P160" s="101"/>
      <x:c r="Q160" s="101"/>
      <x:c r="R160" s="101"/>
      <x:c r="S160" s="101"/>
      <x:c r="T160" s="101"/>
      <x:c r="U160" s="101"/>
      <x:c r="V160" s="101"/>
      <x:c r="W160" s="101"/>
      <x:c r="X160" s="101"/>
      <x:c r="Y160" s="101"/>
      <x:c r="Z160" s="101"/>
      <x:c r="AA160" s="101"/>
      <x:c r="AB160" s="101"/>
      <x:c r="AC160" s="101"/>
      <x:c r="AD160" s="101"/>
      <x:c r="AE160" s="101"/>
    </x:row>
    <x:row r="161" ht="22" customHeight="1">
      <x:c r="A161" s="93" t="str">
        <x:f>IF('Package Register'!A41="","","KEEP DRY | HANDLE WITH CARE")</x:f>
      </x:c>
      <x:c r="B161" s="81"/>
      <x:c r="C161" s="81"/>
      <x:c r="D161" s="81"/>
      <x:c r="E161" s="93" t="str">
        <x:f>IF('Package Register'!A42="","","KEEP DRY | HANDLE WITH CARE")</x:f>
      </x:c>
      <x:c r="F161" s="81"/>
      <x:c r="G161" s="81"/>
      <x:c r="H161" s="81"/>
      <x:c r="I161" s="101"/>
      <x:c r="J161" s="101"/>
      <x:c r="K161" s="101"/>
      <x:c r="L161" s="101"/>
      <x:c r="M161" s="101"/>
      <x:c r="N161" s="101"/>
      <x:c r="O161" s="101"/>
      <x:c r="P161" s="101"/>
      <x:c r="Q161" s="101"/>
      <x:c r="R161" s="101"/>
      <x:c r="S161" s="101"/>
      <x:c r="T161" s="101"/>
      <x:c r="U161" s="101"/>
      <x:c r="V161" s="101"/>
      <x:c r="W161" s="101"/>
      <x:c r="X161" s="101"/>
      <x:c r="Y161" s="101"/>
      <x:c r="Z161" s="101"/>
      <x:c r="AA161" s="101"/>
      <x:c r="AB161" s="101"/>
      <x:c r="AC161" s="101"/>
      <x:c r="AD161" s="101"/>
      <x:c r="AE161" s="101"/>
    </x:row>
    <x:row r="162" ht="22" customHeight="1">
      <x:c r="A162" s="101"/>
      <x:c r="B162" s="101"/>
      <x:c r="C162" s="101"/>
      <x:c r="D162" s="101"/>
      <x:c r="E162" s="101"/>
      <x:c r="F162" s="101"/>
      <x:c r="G162" s="101"/>
      <x:c r="H162" s="101"/>
      <x:c r="I162" s="101"/>
      <x:c r="J162" s="101"/>
      <x:c r="K162" s="101"/>
      <x:c r="L162" s="101"/>
      <x:c r="M162" s="101"/>
      <x:c r="N162" s="101"/>
      <x:c r="O162" s="101"/>
      <x:c r="P162" s="101"/>
      <x:c r="Q162" s="101"/>
      <x:c r="R162" s="101"/>
      <x:c r="S162" s="101"/>
      <x:c r="T162" s="101"/>
      <x:c r="U162" s="101"/>
      <x:c r="V162" s="101"/>
      <x:c r="W162" s="101"/>
      <x:c r="X162" s="101"/>
      <x:c r="Y162" s="101"/>
      <x:c r="Z162" s="101"/>
      <x:c r="AA162" s="101"/>
      <x:c r="AB162" s="101"/>
      <x:c r="AC162" s="101"/>
      <x:c r="AD162" s="101"/>
      <x:c r="AE162" s="101"/>
    </x:row>
    <x:row r="163" ht="22" customHeight="1">
      <x:c r="A163" s="96" t="str">
        <x:f>IF('Package Register'!A43="","","IFS PACKAGE LABEL")</x:f>
      </x:c>
      <x:c r="B163" s="81"/>
      <x:c r="C163" s="81"/>
      <x:c r="D163" s="81"/>
      <x:c r="E163" s="96" t="str">
        <x:f>IF('Package Register'!A44="","","IFS PACKAGE LABEL")</x:f>
      </x:c>
      <x:c r="F163" s="81"/>
      <x:c r="G163" s="81"/>
      <x:c r="H163" s="81"/>
      <x:c r="I163" s="101"/>
      <x:c r="J163" s="101"/>
      <x:c r="K163" s="101"/>
      <x:c r="L163" s="101"/>
      <x:c r="M163" s="101"/>
      <x:c r="N163" s="101"/>
      <x:c r="O163" s="101"/>
      <x:c r="P163" s="101"/>
      <x:c r="Q163" s="101"/>
      <x:c r="R163" s="101"/>
      <x:c r="S163" s="101"/>
      <x:c r="T163" s="101"/>
      <x:c r="U163" s="101"/>
      <x:c r="V163" s="101"/>
      <x:c r="W163" s="101"/>
      <x:c r="X163" s="101"/>
      <x:c r="Y163" s="101"/>
      <x:c r="Z163" s="101"/>
      <x:c r="AA163" s="101"/>
      <x:c r="AB163" s="101"/>
      <x:c r="AC163" s="101"/>
      <x:c r="AD163" s="101"/>
      <x:c r="AE163" s="101"/>
    </x:row>
    <x:row r="164" ht="22" customHeight="1">
      <x:c r="A164" s="81" t="str">
        <x:f>IF('Package Register'!A43="","",'START HERE'!B8 &amp; " | " &amp; 'Package Register'!C43)</x:f>
      </x:c>
      <x:c r="B164" s="81"/>
      <x:c r="C164" s="81"/>
      <x:c r="D164" s="81"/>
      <x:c r="E164" s="81" t="str">
        <x:f>IF('Package Register'!A44="","",'START HERE'!B8 &amp; " | " &amp; 'Package Register'!C44)</x:f>
      </x:c>
      <x:c r="F164" s="81"/>
      <x:c r="G164" s="81"/>
      <x:c r="H164" s="81"/>
      <x:c r="I164" s="101"/>
      <x:c r="J164" s="101"/>
      <x:c r="K164" s="101"/>
      <x:c r="L164" s="101"/>
      <x:c r="M164" s="101"/>
      <x:c r="N164" s="101"/>
      <x:c r="O164" s="101"/>
      <x:c r="P164" s="101"/>
      <x:c r="Q164" s="101"/>
      <x:c r="R164" s="101"/>
      <x:c r="S164" s="101"/>
      <x:c r="T164" s="101"/>
      <x:c r="U164" s="101"/>
      <x:c r="V164" s="101"/>
      <x:c r="W164" s="101"/>
      <x:c r="X164" s="101"/>
      <x:c r="Y164" s="101"/>
      <x:c r="Z164" s="101"/>
      <x:c r="AA164" s="101"/>
      <x:c r="AB164" s="101"/>
      <x:c r="AC164" s="101"/>
      <x:c r="AD164" s="101"/>
      <x:c r="AE164" s="101"/>
    </x:row>
    <x:row r="165" ht="22" customHeight="1">
      <x:c r="A165" s="81" t="str">
        <x:f>IF('Package Register'!A43="","","PALLET: " &amp; 'Package Register'!B43)</x:f>
      </x:c>
      <x:c r="B165" s="81"/>
      <x:c r="C165" s="81"/>
      <x:c r="D165" s="81"/>
      <x:c r="E165" s="81" t="str">
        <x:f>IF('Package Register'!A44="","","PALLET: " &amp; 'Package Register'!B44)</x:f>
      </x:c>
      <x:c r="F165" s="81"/>
      <x:c r="G165" s="81"/>
      <x:c r="H165" s="81"/>
      <x:c r="I165" s="101"/>
      <x:c r="J165" s="101"/>
      <x:c r="K165" s="101"/>
      <x:c r="L165" s="101"/>
      <x:c r="M165" s="101"/>
      <x:c r="N165" s="101"/>
      <x:c r="O165" s="101"/>
      <x:c r="P165" s="101"/>
      <x:c r="Q165" s="101"/>
      <x:c r="R165" s="101"/>
      <x:c r="S165" s="101"/>
      <x:c r="T165" s="101"/>
      <x:c r="U165" s="101"/>
      <x:c r="V165" s="101"/>
      <x:c r="W165" s="101"/>
      <x:c r="X165" s="101"/>
      <x:c r="Y165" s="101"/>
      <x:c r="Z165" s="101"/>
      <x:c r="AA165" s="101"/>
      <x:c r="AB165" s="101"/>
      <x:c r="AC165" s="101"/>
      <x:c r="AD165" s="101"/>
      <x:c r="AE165" s="101"/>
    </x:row>
    <x:row r="166" ht="22" customHeight="1">
      <x:c r="A166" s="81" t="str">
        <x:f>IF('Package Register'!A43="","",'Package Register'!D43)</x:f>
      </x:c>
      <x:c r="B166" s="81"/>
      <x:c r="C166" s="81"/>
      <x:c r="D166" s="81"/>
      <x:c r="E166" s="81" t="str">
        <x:f>IF('Package Register'!A44="","",'Package Register'!D44)</x:f>
      </x:c>
      <x:c r="F166" s="81"/>
      <x:c r="G166" s="81"/>
      <x:c r="H166" s="81"/>
      <x:c r="I166" s="101"/>
      <x:c r="J166" s="101"/>
      <x:c r="K166" s="101"/>
      <x:c r="L166" s="101"/>
      <x:c r="M166" s="101"/>
      <x:c r="N166" s="101"/>
      <x:c r="O166" s="101"/>
      <x:c r="P166" s="101"/>
      <x:c r="Q166" s="101"/>
      <x:c r="R166" s="101"/>
      <x:c r="S166" s="101"/>
      <x:c r="T166" s="101"/>
      <x:c r="U166" s="101"/>
      <x:c r="V166" s="101"/>
      <x:c r="W166" s="101"/>
      <x:c r="X166" s="101"/>
      <x:c r="Y166" s="101"/>
      <x:c r="Z166" s="101"/>
      <x:c r="AA166" s="101"/>
      <x:c r="AB166" s="101"/>
      <x:c r="AC166" s="101"/>
      <x:c r="AD166" s="101"/>
      <x:c r="AE166" s="101"/>
    </x:row>
    <x:row r="167" ht="22" customHeight="1">
      <x:c r="A167" s="81" t="str">
        <x:f>IF('Package Register'!A43="","",'Package Register'!F43)</x:f>
      </x:c>
      <x:c r="B167" s="81"/>
      <x:c r="C167" s="81"/>
      <x:c r="D167" s="81"/>
      <x:c r="E167" s="81" t="str">
        <x:f>IF('Package Register'!A44="","",'Package Register'!F44)</x:f>
      </x:c>
      <x:c r="F167" s="81"/>
      <x:c r="G167" s="81"/>
      <x:c r="H167" s="81"/>
      <x:c r="I167" s="101"/>
      <x:c r="J167" s="101"/>
      <x:c r="K167" s="101"/>
      <x:c r="L167" s="101"/>
      <x:c r="M167" s="101"/>
      <x:c r="N167" s="101"/>
      <x:c r="O167" s="101"/>
      <x:c r="P167" s="101"/>
      <x:c r="Q167" s="101"/>
      <x:c r="R167" s="101"/>
      <x:c r="S167" s="101"/>
      <x:c r="T167" s="101"/>
      <x:c r="U167" s="101"/>
      <x:c r="V167" s="101"/>
      <x:c r="W167" s="101"/>
      <x:c r="X167" s="101"/>
      <x:c r="Y167" s="101"/>
      <x:c r="Z167" s="101"/>
      <x:c r="AA167" s="101"/>
      <x:c r="AB167" s="101"/>
      <x:c r="AC167" s="101"/>
      <x:c r="AD167" s="101"/>
      <x:c r="AE167" s="101"/>
    </x:row>
    <x:row r="168" ht="22" customHeight="1">
      <x:c r="A168" s="81" t="str">
        <x:f>IF('Package Register'!A43="","","Approx weight: " &amp; ROUND('Package Register'!G43,0) &amp; " kg | Size: " &amp; 'Package Register'!H43 &amp; " x " &amp; 'Package Register'!I43 &amp; " x " &amp; 'Package Register'!J43 &amp; " mm")</x:f>
      </x:c>
      <x:c r="B168" s="81"/>
      <x:c r="C168" s="81"/>
      <x:c r="D168" s="81"/>
      <x:c r="E168" s="81" t="str">
        <x:f>IF('Package Register'!A44="","","Approx weight: " &amp; ROUND('Package Register'!G44,0) &amp; " kg | Size: " &amp; 'Package Register'!H44 &amp; " x " &amp; 'Package Register'!I44 &amp; " x " &amp; 'Package Register'!J44 &amp; " mm")</x:f>
      </x:c>
      <x:c r="F168" s="81"/>
      <x:c r="G168" s="81"/>
      <x:c r="H168" s="81"/>
      <x:c r="I168" s="101"/>
      <x:c r="J168" s="101"/>
      <x:c r="K168" s="101"/>
      <x:c r="L168" s="101"/>
      <x:c r="M168" s="101"/>
      <x:c r="N168" s="101"/>
      <x:c r="O168" s="101"/>
      <x:c r="P168" s="101"/>
      <x:c r="Q168" s="101"/>
      <x:c r="R168" s="101"/>
      <x:c r="S168" s="101"/>
      <x:c r="T168" s="101"/>
      <x:c r="U168" s="101"/>
      <x:c r="V168" s="101"/>
      <x:c r="W168" s="101"/>
      <x:c r="X168" s="101"/>
      <x:c r="Y168" s="101"/>
      <x:c r="Z168" s="101"/>
      <x:c r="AA168" s="101"/>
      <x:c r="AB168" s="101"/>
      <x:c r="AC168" s="101"/>
      <x:c r="AD168" s="101"/>
      <x:c r="AE168" s="101"/>
    </x:row>
    <x:row r="169" ht="22" customHeight="1">
      <x:c r="A169" s="93" t="str">
        <x:f>IF('Package Register'!A43="","","KEEP DRY | HANDLE WITH CARE")</x:f>
      </x:c>
      <x:c r="B169" s="81"/>
      <x:c r="C169" s="81"/>
      <x:c r="D169" s="81"/>
      <x:c r="E169" s="93" t="str">
        <x:f>IF('Package Register'!A44="","","KEEP DRY | HANDLE WITH CARE")</x:f>
      </x:c>
      <x:c r="F169" s="81"/>
      <x:c r="G169" s="81"/>
      <x:c r="H169" s="81"/>
      <x:c r="I169" s="101"/>
      <x:c r="J169" s="101"/>
      <x:c r="K169" s="101"/>
      <x:c r="L169" s="101"/>
      <x:c r="M169" s="101"/>
      <x:c r="N169" s="101"/>
      <x:c r="O169" s="101"/>
      <x:c r="P169" s="101"/>
      <x:c r="Q169" s="101"/>
      <x:c r="R169" s="101"/>
      <x:c r="S169" s="101"/>
      <x:c r="T169" s="101"/>
      <x:c r="U169" s="101"/>
      <x:c r="V169" s="101"/>
      <x:c r="W169" s="101"/>
      <x:c r="X169" s="101"/>
      <x:c r="Y169" s="101"/>
      <x:c r="Z169" s="101"/>
      <x:c r="AA169" s="101"/>
      <x:c r="AB169" s="101"/>
      <x:c r="AC169" s="101"/>
      <x:c r="AD169" s="101"/>
      <x:c r="AE169" s="101"/>
    </x:row>
    <x:row r="170" ht="22" customHeight="1">
      <x:c r="A170" s="101"/>
      <x:c r="B170" s="101"/>
      <x:c r="C170" s="101"/>
      <x:c r="D170" s="101"/>
      <x:c r="E170" s="101"/>
      <x:c r="F170" s="101"/>
      <x:c r="G170" s="101"/>
      <x:c r="H170" s="101"/>
      <x:c r="I170" s="101"/>
      <x:c r="J170" s="101"/>
      <x:c r="K170" s="101"/>
      <x:c r="L170" s="101"/>
      <x:c r="M170" s="101"/>
      <x:c r="N170" s="101"/>
      <x:c r="O170" s="101"/>
      <x:c r="P170" s="101"/>
      <x:c r="Q170" s="101"/>
      <x:c r="R170" s="101"/>
      <x:c r="S170" s="101"/>
      <x:c r="T170" s="101"/>
      <x:c r="U170" s="101"/>
      <x:c r="V170" s="101"/>
      <x:c r="W170" s="101"/>
      <x:c r="X170" s="101"/>
      <x:c r="Y170" s="101"/>
      <x:c r="Z170" s="101"/>
      <x:c r="AA170" s="101"/>
      <x:c r="AB170" s="101"/>
      <x:c r="AC170" s="101"/>
      <x:c r="AD170" s="101"/>
      <x:c r="AE170" s="101"/>
    </x:row>
    <x:row r="171" ht="22" customHeight="1">
      <x:c r="A171" s="96" t="str">
        <x:f>IF('Package Register'!A45="","","IFS PACKAGE LABEL")</x:f>
      </x:c>
      <x:c r="B171" s="81"/>
      <x:c r="C171" s="81"/>
      <x:c r="D171" s="81"/>
      <x:c r="E171" s="96" t="str">
        <x:f>IF('Package Register'!A46="","","IFS PACKAGE LABEL")</x:f>
      </x:c>
      <x:c r="F171" s="81"/>
      <x:c r="G171" s="81"/>
      <x:c r="H171" s="81"/>
      <x:c r="I171" s="101"/>
      <x:c r="J171" s="101"/>
      <x:c r="K171" s="101"/>
      <x:c r="L171" s="101"/>
      <x:c r="M171" s="101"/>
      <x:c r="N171" s="101"/>
      <x:c r="O171" s="101"/>
      <x:c r="P171" s="101"/>
      <x:c r="Q171" s="101"/>
      <x:c r="R171" s="101"/>
      <x:c r="S171" s="101"/>
      <x:c r="T171" s="101"/>
      <x:c r="U171" s="101"/>
      <x:c r="V171" s="101"/>
      <x:c r="W171" s="101"/>
      <x:c r="X171" s="101"/>
      <x:c r="Y171" s="101"/>
      <x:c r="Z171" s="101"/>
      <x:c r="AA171" s="101"/>
      <x:c r="AB171" s="101"/>
      <x:c r="AC171" s="101"/>
      <x:c r="AD171" s="101"/>
      <x:c r="AE171" s="101"/>
    </x:row>
    <x:row r="172" ht="22" customHeight="1">
      <x:c r="A172" s="81" t="str">
        <x:f>IF('Package Register'!A45="","",'START HERE'!B8 &amp; " | " &amp; 'Package Register'!C45)</x:f>
      </x:c>
      <x:c r="B172" s="81"/>
      <x:c r="C172" s="81"/>
      <x:c r="D172" s="81"/>
      <x:c r="E172" s="81" t="str">
        <x:f>IF('Package Register'!A46="","",'START HERE'!B8 &amp; " | " &amp; 'Package Register'!C46)</x:f>
      </x:c>
      <x:c r="F172" s="81"/>
      <x:c r="G172" s="81"/>
      <x:c r="H172" s="81"/>
      <x:c r="I172" s="101"/>
      <x:c r="J172" s="101"/>
      <x:c r="K172" s="101"/>
      <x:c r="L172" s="101"/>
      <x:c r="M172" s="101"/>
      <x:c r="N172" s="101"/>
      <x:c r="O172" s="101"/>
      <x:c r="P172" s="101"/>
      <x:c r="Q172" s="101"/>
      <x:c r="R172" s="101"/>
      <x:c r="S172" s="101"/>
      <x:c r="T172" s="101"/>
      <x:c r="U172" s="101"/>
      <x:c r="V172" s="101"/>
      <x:c r="W172" s="101"/>
      <x:c r="X172" s="101"/>
      <x:c r="Y172" s="101"/>
      <x:c r="Z172" s="101"/>
      <x:c r="AA172" s="101"/>
      <x:c r="AB172" s="101"/>
      <x:c r="AC172" s="101"/>
      <x:c r="AD172" s="101"/>
      <x:c r="AE172" s="101"/>
    </x:row>
    <x:row r="173" ht="22" customHeight="1">
      <x:c r="A173" s="81" t="str">
        <x:f>IF('Package Register'!A45="","","PALLET: " &amp; 'Package Register'!B45)</x:f>
      </x:c>
      <x:c r="B173" s="81"/>
      <x:c r="C173" s="81"/>
      <x:c r="D173" s="81"/>
      <x:c r="E173" s="81" t="str">
        <x:f>IF('Package Register'!A46="","","PALLET: " &amp; 'Package Register'!B46)</x:f>
      </x:c>
      <x:c r="F173" s="81"/>
      <x:c r="G173" s="81"/>
      <x:c r="H173" s="81"/>
      <x:c r="I173" s="101"/>
      <x:c r="J173" s="101"/>
      <x:c r="K173" s="101"/>
      <x:c r="L173" s="101"/>
      <x:c r="M173" s="101"/>
      <x:c r="N173" s="101"/>
      <x:c r="O173" s="101"/>
      <x:c r="P173" s="101"/>
      <x:c r="Q173" s="101"/>
      <x:c r="R173" s="101"/>
      <x:c r="S173" s="101"/>
      <x:c r="T173" s="101"/>
      <x:c r="U173" s="101"/>
      <x:c r="V173" s="101"/>
      <x:c r="W173" s="101"/>
      <x:c r="X173" s="101"/>
      <x:c r="Y173" s="101"/>
      <x:c r="Z173" s="101"/>
      <x:c r="AA173" s="101"/>
      <x:c r="AB173" s="101"/>
      <x:c r="AC173" s="101"/>
      <x:c r="AD173" s="101"/>
      <x:c r="AE173" s="101"/>
    </x:row>
    <x:row r="174" ht="22" customHeight="1">
      <x:c r="A174" s="81" t="str">
        <x:f>IF('Package Register'!A45="","",'Package Register'!D45)</x:f>
      </x:c>
      <x:c r="B174" s="81"/>
      <x:c r="C174" s="81"/>
      <x:c r="D174" s="81"/>
      <x:c r="E174" s="81" t="str">
        <x:f>IF('Package Register'!A46="","",'Package Register'!D46)</x:f>
      </x:c>
      <x:c r="F174" s="81"/>
      <x:c r="G174" s="81"/>
      <x:c r="H174" s="81"/>
      <x:c r="I174" s="101"/>
      <x:c r="J174" s="101"/>
      <x:c r="K174" s="101"/>
      <x:c r="L174" s="101"/>
      <x:c r="M174" s="101"/>
      <x:c r="N174" s="101"/>
      <x:c r="O174" s="101"/>
      <x:c r="P174" s="101"/>
      <x:c r="Q174" s="101"/>
      <x:c r="R174" s="101"/>
      <x:c r="S174" s="101"/>
      <x:c r="T174" s="101"/>
      <x:c r="U174" s="101"/>
      <x:c r="V174" s="101"/>
      <x:c r="W174" s="101"/>
      <x:c r="X174" s="101"/>
      <x:c r="Y174" s="101"/>
      <x:c r="Z174" s="101"/>
      <x:c r="AA174" s="101"/>
      <x:c r="AB174" s="101"/>
      <x:c r="AC174" s="101"/>
      <x:c r="AD174" s="101"/>
      <x:c r="AE174" s="101"/>
    </x:row>
    <x:row r="175" ht="22" customHeight="1">
      <x:c r="A175" s="81" t="str">
        <x:f>IF('Package Register'!A45="","",'Package Register'!F45)</x:f>
      </x:c>
      <x:c r="B175" s="81"/>
      <x:c r="C175" s="81"/>
      <x:c r="D175" s="81"/>
      <x:c r="E175" s="81" t="str">
        <x:f>IF('Package Register'!A46="","",'Package Register'!F46)</x:f>
      </x:c>
      <x:c r="F175" s="81"/>
      <x:c r="G175" s="81"/>
      <x:c r="H175" s="81"/>
      <x:c r="I175" s="101"/>
      <x:c r="J175" s="101"/>
      <x:c r="K175" s="101"/>
      <x:c r="L175" s="101"/>
      <x:c r="M175" s="101"/>
      <x:c r="N175" s="101"/>
      <x:c r="O175" s="101"/>
      <x:c r="P175" s="101"/>
      <x:c r="Q175" s="101"/>
      <x:c r="R175" s="101"/>
      <x:c r="S175" s="101"/>
      <x:c r="T175" s="101"/>
      <x:c r="U175" s="101"/>
      <x:c r="V175" s="101"/>
      <x:c r="W175" s="101"/>
      <x:c r="X175" s="101"/>
      <x:c r="Y175" s="101"/>
      <x:c r="Z175" s="101"/>
      <x:c r="AA175" s="101"/>
      <x:c r="AB175" s="101"/>
      <x:c r="AC175" s="101"/>
      <x:c r="AD175" s="101"/>
      <x:c r="AE175" s="101"/>
    </x:row>
    <x:row r="176" ht="22" customHeight="1">
      <x:c r="A176" s="81" t="str">
        <x:f>IF('Package Register'!A45="","","Approx weight: " &amp; ROUND('Package Register'!G45,0) &amp; " kg | Size: " &amp; 'Package Register'!H45 &amp; " x " &amp; 'Package Register'!I45 &amp; " x " &amp; 'Package Register'!J45 &amp; " mm")</x:f>
      </x:c>
      <x:c r="B176" s="81"/>
      <x:c r="C176" s="81"/>
      <x:c r="D176" s="81"/>
      <x:c r="E176" s="81" t="str">
        <x:f>IF('Package Register'!A46="","","Approx weight: " &amp; ROUND('Package Register'!G46,0) &amp; " kg | Size: " &amp; 'Package Register'!H46 &amp; " x " &amp; 'Package Register'!I46 &amp; " x " &amp; 'Package Register'!J46 &amp; " mm")</x:f>
      </x:c>
      <x:c r="F176" s="81"/>
      <x:c r="G176" s="81"/>
      <x:c r="H176" s="81"/>
      <x:c r="I176" s="101"/>
      <x:c r="J176" s="101"/>
      <x:c r="K176" s="101"/>
      <x:c r="L176" s="101"/>
      <x:c r="M176" s="101"/>
      <x:c r="N176" s="101"/>
      <x:c r="O176" s="101"/>
      <x:c r="P176" s="101"/>
      <x:c r="Q176" s="101"/>
      <x:c r="R176" s="101"/>
      <x:c r="S176" s="101"/>
      <x:c r="T176" s="101"/>
      <x:c r="U176" s="101"/>
      <x:c r="V176" s="101"/>
      <x:c r="W176" s="101"/>
      <x:c r="X176" s="101"/>
      <x:c r="Y176" s="101"/>
      <x:c r="Z176" s="101"/>
      <x:c r="AA176" s="101"/>
      <x:c r="AB176" s="101"/>
      <x:c r="AC176" s="101"/>
      <x:c r="AD176" s="101"/>
      <x:c r="AE176" s="101"/>
    </x:row>
    <x:row r="177" ht="22" customHeight="1">
      <x:c r="A177" s="93" t="str">
        <x:f>IF('Package Register'!A45="","","KEEP DRY | HANDLE WITH CARE")</x:f>
      </x:c>
      <x:c r="B177" s="81"/>
      <x:c r="C177" s="81"/>
      <x:c r="D177" s="81"/>
      <x:c r="E177" s="93" t="str">
        <x:f>IF('Package Register'!A46="","","KEEP DRY | HANDLE WITH CARE")</x:f>
      </x:c>
      <x:c r="F177" s="81"/>
      <x:c r="G177" s="81"/>
      <x:c r="H177" s="81"/>
      <x:c r="I177" s="101"/>
      <x:c r="J177" s="101"/>
      <x:c r="K177" s="101"/>
      <x:c r="L177" s="101"/>
      <x:c r="M177" s="101"/>
      <x:c r="N177" s="101"/>
      <x:c r="O177" s="101"/>
      <x:c r="P177" s="101"/>
      <x:c r="Q177" s="101"/>
      <x:c r="R177" s="101"/>
      <x:c r="S177" s="101"/>
      <x:c r="T177" s="101"/>
      <x:c r="U177" s="101"/>
      <x:c r="V177" s="101"/>
      <x:c r="W177" s="101"/>
      <x:c r="X177" s="101"/>
      <x:c r="Y177" s="101"/>
      <x:c r="Z177" s="101"/>
      <x:c r="AA177" s="101"/>
      <x:c r="AB177" s="101"/>
      <x:c r="AC177" s="101"/>
      <x:c r="AD177" s="101"/>
      <x:c r="AE177" s="101"/>
    </x:row>
    <x:row r="178" ht="22" customHeight="1">
      <x:c r="A178" s="101"/>
      <x:c r="B178" s="101"/>
      <x:c r="C178" s="101"/>
      <x:c r="D178" s="101"/>
      <x:c r="E178" s="101"/>
      <x:c r="F178" s="101"/>
      <x:c r="G178" s="101"/>
      <x:c r="H178" s="101"/>
      <x:c r="I178" s="101"/>
      <x:c r="J178" s="101"/>
      <x:c r="K178" s="101"/>
      <x:c r="L178" s="101"/>
      <x:c r="M178" s="101"/>
      <x:c r="N178" s="101"/>
      <x:c r="O178" s="101"/>
      <x:c r="P178" s="101"/>
      <x:c r="Q178" s="101"/>
      <x:c r="R178" s="101"/>
      <x:c r="S178" s="101"/>
      <x:c r="T178" s="101"/>
      <x:c r="U178" s="101"/>
      <x:c r="V178" s="101"/>
      <x:c r="W178" s="101"/>
      <x:c r="X178" s="101"/>
      <x:c r="Y178" s="101"/>
      <x:c r="Z178" s="101"/>
      <x:c r="AA178" s="101"/>
      <x:c r="AB178" s="101"/>
      <x:c r="AC178" s="101"/>
      <x:c r="AD178" s="101"/>
      <x:c r="AE178" s="101"/>
    </x:row>
    <x:row r="179" ht="22" customHeight="1">
      <x:c r="A179" s="96" t="str">
        <x:f>IF('Package Register'!A47="","","IFS PACKAGE LABEL")</x:f>
      </x:c>
      <x:c r="B179" s="81"/>
      <x:c r="C179" s="81"/>
      <x:c r="D179" s="81"/>
      <x:c r="E179" s="96" t="str">
        <x:f>IF('Package Register'!A48="","","IFS PACKAGE LABEL")</x:f>
      </x:c>
      <x:c r="F179" s="81"/>
      <x:c r="G179" s="81"/>
      <x:c r="H179" s="81"/>
      <x:c r="I179" s="101"/>
      <x:c r="J179" s="101"/>
      <x:c r="K179" s="101"/>
      <x:c r="L179" s="101"/>
      <x:c r="M179" s="101"/>
      <x:c r="N179" s="101"/>
      <x:c r="O179" s="101"/>
      <x:c r="P179" s="101"/>
      <x:c r="Q179" s="101"/>
      <x:c r="R179" s="101"/>
      <x:c r="S179" s="101"/>
      <x:c r="T179" s="101"/>
      <x:c r="U179" s="101"/>
      <x:c r="V179" s="101"/>
      <x:c r="W179" s="101"/>
      <x:c r="X179" s="101"/>
      <x:c r="Y179" s="101"/>
      <x:c r="Z179" s="101"/>
      <x:c r="AA179" s="101"/>
      <x:c r="AB179" s="101"/>
      <x:c r="AC179" s="101"/>
      <x:c r="AD179" s="101"/>
      <x:c r="AE179" s="101"/>
    </x:row>
    <x:row r="180" ht="22" customHeight="1">
      <x:c r="A180" s="81" t="str">
        <x:f>IF('Package Register'!A47="","",'START HERE'!B8 &amp; " | " &amp; 'Package Register'!C47)</x:f>
      </x:c>
      <x:c r="B180" s="81"/>
      <x:c r="C180" s="81"/>
      <x:c r="D180" s="81"/>
      <x:c r="E180" s="81" t="str">
        <x:f>IF('Package Register'!A48="","",'START HERE'!B8 &amp; " | " &amp; 'Package Register'!C48)</x:f>
      </x:c>
      <x:c r="F180" s="81"/>
      <x:c r="G180" s="81"/>
      <x:c r="H180" s="81"/>
      <x:c r="I180" s="101"/>
      <x:c r="J180" s="101"/>
      <x:c r="K180" s="101"/>
      <x:c r="L180" s="101"/>
      <x:c r="M180" s="101"/>
      <x:c r="N180" s="101"/>
      <x:c r="O180" s="101"/>
      <x:c r="P180" s="101"/>
      <x:c r="Q180" s="101"/>
      <x:c r="R180" s="101"/>
      <x:c r="S180" s="101"/>
      <x:c r="T180" s="101"/>
      <x:c r="U180" s="101"/>
      <x:c r="V180" s="101"/>
      <x:c r="W180" s="101"/>
      <x:c r="X180" s="101"/>
      <x:c r="Y180" s="101"/>
      <x:c r="Z180" s="101"/>
      <x:c r="AA180" s="101"/>
      <x:c r="AB180" s="101"/>
      <x:c r="AC180" s="101"/>
      <x:c r="AD180" s="101"/>
      <x:c r="AE180" s="101"/>
    </x:row>
    <x:row r="181" ht="22" customHeight="1">
      <x:c r="A181" s="81" t="str">
        <x:f>IF('Package Register'!A47="","","PALLET: " &amp; 'Package Register'!B47)</x:f>
      </x:c>
      <x:c r="B181" s="81"/>
      <x:c r="C181" s="81"/>
      <x:c r="D181" s="81"/>
      <x:c r="E181" s="81" t="str">
        <x:f>IF('Package Register'!A48="","","PALLET: " &amp; 'Package Register'!B48)</x:f>
      </x:c>
      <x:c r="F181" s="81"/>
      <x:c r="G181" s="81"/>
      <x:c r="H181" s="81"/>
      <x:c r="I181" s="101"/>
      <x:c r="J181" s="101"/>
      <x:c r="K181" s="101"/>
      <x:c r="L181" s="101"/>
      <x:c r="M181" s="101"/>
      <x:c r="N181" s="101"/>
      <x:c r="O181" s="101"/>
      <x:c r="P181" s="101"/>
      <x:c r="Q181" s="101"/>
      <x:c r="R181" s="101"/>
      <x:c r="S181" s="101"/>
      <x:c r="T181" s="101"/>
      <x:c r="U181" s="101"/>
      <x:c r="V181" s="101"/>
      <x:c r="W181" s="101"/>
      <x:c r="X181" s="101"/>
      <x:c r="Y181" s="101"/>
      <x:c r="Z181" s="101"/>
      <x:c r="AA181" s="101"/>
      <x:c r="AB181" s="101"/>
      <x:c r="AC181" s="101"/>
      <x:c r="AD181" s="101"/>
      <x:c r="AE181" s="101"/>
    </x:row>
    <x:row r="182" ht="22" customHeight="1">
      <x:c r="A182" s="81" t="str">
        <x:f>IF('Package Register'!A47="","",'Package Register'!D47)</x:f>
      </x:c>
      <x:c r="B182" s="81"/>
      <x:c r="C182" s="81"/>
      <x:c r="D182" s="81"/>
      <x:c r="E182" s="81" t="str">
        <x:f>IF('Package Register'!A48="","",'Package Register'!D48)</x:f>
      </x:c>
      <x:c r="F182" s="81"/>
      <x:c r="G182" s="81"/>
      <x:c r="H182" s="81"/>
      <x:c r="I182" s="101"/>
      <x:c r="J182" s="101"/>
      <x:c r="K182" s="101"/>
      <x:c r="L182" s="101"/>
      <x:c r="M182" s="101"/>
      <x:c r="N182" s="101"/>
      <x:c r="O182" s="101"/>
      <x:c r="P182" s="101"/>
      <x:c r="Q182" s="101"/>
      <x:c r="R182" s="101"/>
      <x:c r="S182" s="101"/>
      <x:c r="T182" s="101"/>
      <x:c r="U182" s="101"/>
      <x:c r="V182" s="101"/>
      <x:c r="W182" s="101"/>
      <x:c r="X182" s="101"/>
      <x:c r="Y182" s="101"/>
      <x:c r="Z182" s="101"/>
      <x:c r="AA182" s="101"/>
      <x:c r="AB182" s="101"/>
      <x:c r="AC182" s="101"/>
      <x:c r="AD182" s="101"/>
      <x:c r="AE182" s="101"/>
    </x:row>
    <x:row r="183" ht="22" customHeight="1">
      <x:c r="A183" s="81" t="str">
        <x:f>IF('Package Register'!A47="","",'Package Register'!F47)</x:f>
      </x:c>
      <x:c r="B183" s="81"/>
      <x:c r="C183" s="81"/>
      <x:c r="D183" s="81"/>
      <x:c r="E183" s="81" t="str">
        <x:f>IF('Package Register'!A48="","",'Package Register'!F48)</x:f>
      </x:c>
      <x:c r="F183" s="81"/>
      <x:c r="G183" s="81"/>
      <x:c r="H183" s="81"/>
      <x:c r="I183" s="101"/>
      <x:c r="J183" s="101"/>
      <x:c r="K183" s="101"/>
      <x:c r="L183" s="101"/>
      <x:c r="M183" s="101"/>
      <x:c r="N183" s="101"/>
      <x:c r="O183" s="101"/>
      <x:c r="P183" s="101"/>
      <x:c r="Q183" s="101"/>
      <x:c r="R183" s="101"/>
      <x:c r="S183" s="101"/>
      <x:c r="T183" s="101"/>
      <x:c r="U183" s="101"/>
      <x:c r="V183" s="101"/>
      <x:c r="W183" s="101"/>
      <x:c r="X183" s="101"/>
      <x:c r="Y183" s="101"/>
      <x:c r="Z183" s="101"/>
      <x:c r="AA183" s="101"/>
      <x:c r="AB183" s="101"/>
      <x:c r="AC183" s="101"/>
      <x:c r="AD183" s="101"/>
      <x:c r="AE183" s="101"/>
    </x:row>
    <x:row r="184" ht="22" customHeight="1">
      <x:c r="A184" s="81" t="str">
        <x:f>IF('Package Register'!A47="","","Approx weight: " &amp; ROUND('Package Register'!G47,0) &amp; " kg | Size: " &amp; 'Package Register'!H47 &amp; " x " &amp; 'Package Register'!I47 &amp; " x " &amp; 'Package Register'!J47 &amp; " mm")</x:f>
      </x:c>
      <x:c r="B184" s="81"/>
      <x:c r="C184" s="81"/>
      <x:c r="D184" s="81"/>
      <x:c r="E184" s="81" t="str">
        <x:f>IF('Package Register'!A48="","","Approx weight: " &amp; ROUND('Package Register'!G48,0) &amp; " kg | Size: " &amp; 'Package Register'!H48 &amp; " x " &amp; 'Package Register'!I48 &amp; " x " &amp; 'Package Register'!J48 &amp; " mm")</x:f>
      </x:c>
      <x:c r="F184" s="81"/>
      <x:c r="G184" s="81"/>
      <x:c r="H184" s="81"/>
      <x:c r="I184" s="101"/>
      <x:c r="J184" s="101"/>
      <x:c r="K184" s="101"/>
      <x:c r="L184" s="101"/>
      <x:c r="M184" s="101"/>
      <x:c r="N184" s="101"/>
      <x:c r="O184" s="101"/>
      <x:c r="P184" s="101"/>
      <x:c r="Q184" s="101"/>
      <x:c r="R184" s="101"/>
      <x:c r="S184" s="101"/>
      <x:c r="T184" s="101"/>
      <x:c r="U184" s="101"/>
      <x:c r="V184" s="101"/>
      <x:c r="W184" s="101"/>
      <x:c r="X184" s="101"/>
      <x:c r="Y184" s="101"/>
      <x:c r="Z184" s="101"/>
      <x:c r="AA184" s="101"/>
      <x:c r="AB184" s="101"/>
      <x:c r="AC184" s="101"/>
      <x:c r="AD184" s="101"/>
      <x:c r="AE184" s="101"/>
    </x:row>
    <x:row r="185" ht="22" customHeight="1">
      <x:c r="A185" s="93" t="str">
        <x:f>IF('Package Register'!A47="","","KEEP DRY | HANDLE WITH CARE")</x:f>
      </x:c>
      <x:c r="B185" s="81"/>
      <x:c r="C185" s="81"/>
      <x:c r="D185" s="81"/>
      <x:c r="E185" s="93" t="str">
        <x:f>IF('Package Register'!A48="","","KEEP DRY | HANDLE WITH CARE")</x:f>
      </x:c>
      <x:c r="F185" s="81"/>
      <x:c r="G185" s="81"/>
      <x:c r="H185" s="81"/>
      <x:c r="I185" s="101"/>
      <x:c r="J185" s="101"/>
      <x:c r="K185" s="101"/>
      <x:c r="L185" s="101"/>
      <x:c r="M185" s="101"/>
      <x:c r="N185" s="101"/>
      <x:c r="O185" s="101"/>
      <x:c r="P185" s="101"/>
      <x:c r="Q185" s="101"/>
      <x:c r="R185" s="101"/>
      <x:c r="S185" s="101"/>
      <x:c r="T185" s="101"/>
      <x:c r="U185" s="101"/>
      <x:c r="V185" s="101"/>
      <x:c r="W185" s="101"/>
      <x:c r="X185" s="101"/>
      <x:c r="Y185" s="101"/>
      <x:c r="Z185" s="101"/>
      <x:c r="AA185" s="101"/>
      <x:c r="AB185" s="101"/>
      <x:c r="AC185" s="101"/>
      <x:c r="AD185" s="101"/>
      <x:c r="AE185" s="101"/>
    </x:row>
    <x:row r="186" ht="22" customHeight="1">
      <x:c r="A186" s="101"/>
      <x:c r="B186" s="101"/>
      <x:c r="C186" s="101"/>
      <x:c r="D186" s="101"/>
      <x:c r="E186" s="101"/>
      <x:c r="F186" s="101"/>
      <x:c r="G186" s="101"/>
      <x:c r="H186" s="101"/>
      <x:c r="I186" s="101"/>
      <x:c r="J186" s="101"/>
      <x:c r="K186" s="101"/>
      <x:c r="L186" s="101"/>
      <x:c r="M186" s="101"/>
      <x:c r="N186" s="101"/>
      <x:c r="O186" s="101"/>
      <x:c r="P186" s="101"/>
      <x:c r="Q186" s="101"/>
      <x:c r="R186" s="101"/>
      <x:c r="S186" s="101"/>
      <x:c r="T186" s="101"/>
      <x:c r="U186" s="101"/>
      <x:c r="V186" s="101"/>
      <x:c r="W186" s="101"/>
      <x:c r="X186" s="101"/>
      <x:c r="Y186" s="101"/>
      <x:c r="Z186" s="101"/>
      <x:c r="AA186" s="101"/>
      <x:c r="AB186" s="101"/>
      <x:c r="AC186" s="101"/>
      <x:c r="AD186" s="101"/>
      <x:c r="AE186" s="101"/>
    </x:row>
    <x:row r="187" ht="22" customHeight="1">
      <x:c r="A187" s="96" t="str">
        <x:f>IF('Package Register'!A49="","","IFS PACKAGE LABEL")</x:f>
      </x:c>
      <x:c r="B187" s="81"/>
      <x:c r="C187" s="81"/>
      <x:c r="D187" s="81"/>
      <x:c r="E187" s="96" t="str">
        <x:f>IF('Package Register'!A50="","","IFS PACKAGE LABEL")</x:f>
      </x:c>
      <x:c r="F187" s="81"/>
      <x:c r="G187" s="81"/>
      <x:c r="H187" s="81"/>
      <x:c r="I187" s="101"/>
      <x:c r="J187" s="101"/>
      <x:c r="K187" s="101"/>
      <x:c r="L187" s="101"/>
      <x:c r="M187" s="101"/>
      <x:c r="N187" s="101"/>
      <x:c r="O187" s="101"/>
      <x:c r="P187" s="101"/>
      <x:c r="Q187" s="101"/>
      <x:c r="R187" s="101"/>
      <x:c r="S187" s="101"/>
      <x:c r="T187" s="101"/>
      <x:c r="U187" s="101"/>
      <x:c r="V187" s="101"/>
      <x:c r="W187" s="101"/>
      <x:c r="X187" s="101"/>
      <x:c r="Y187" s="101"/>
      <x:c r="Z187" s="101"/>
      <x:c r="AA187" s="101"/>
      <x:c r="AB187" s="101"/>
      <x:c r="AC187" s="101"/>
      <x:c r="AD187" s="101"/>
      <x:c r="AE187" s="101"/>
    </x:row>
    <x:row r="188" ht="22" customHeight="1">
      <x:c r="A188" s="81" t="str">
        <x:f>IF('Package Register'!A49="","",'START HERE'!B8 &amp; " | " &amp; 'Package Register'!C49)</x:f>
      </x:c>
      <x:c r="B188" s="81"/>
      <x:c r="C188" s="81"/>
      <x:c r="D188" s="81"/>
      <x:c r="E188" s="81" t="str">
        <x:f>IF('Package Register'!A50="","",'START HERE'!B8 &amp; " | " &amp; 'Package Register'!C50)</x:f>
      </x:c>
      <x:c r="F188" s="81"/>
      <x:c r="G188" s="81"/>
      <x:c r="H188" s="81"/>
      <x:c r="I188" s="101"/>
      <x:c r="J188" s="101"/>
      <x:c r="K188" s="101"/>
      <x:c r="L188" s="101"/>
      <x:c r="M188" s="101"/>
      <x:c r="N188" s="101"/>
      <x:c r="O188" s="101"/>
      <x:c r="P188" s="101"/>
      <x:c r="Q188" s="101"/>
      <x:c r="R188" s="101"/>
      <x:c r="S188" s="101"/>
      <x:c r="T188" s="101"/>
      <x:c r="U188" s="101"/>
      <x:c r="V188" s="101"/>
      <x:c r="W188" s="101"/>
      <x:c r="X188" s="101"/>
      <x:c r="Y188" s="101"/>
      <x:c r="Z188" s="101"/>
      <x:c r="AA188" s="101"/>
      <x:c r="AB188" s="101"/>
      <x:c r="AC188" s="101"/>
      <x:c r="AD188" s="101"/>
      <x:c r="AE188" s="101"/>
    </x:row>
    <x:row r="189" ht="22" customHeight="1">
      <x:c r="A189" s="81" t="str">
        <x:f>IF('Package Register'!A49="","","PALLET: " &amp; 'Package Register'!B49)</x:f>
      </x:c>
      <x:c r="B189" s="81"/>
      <x:c r="C189" s="81"/>
      <x:c r="D189" s="81"/>
      <x:c r="E189" s="81" t="str">
        <x:f>IF('Package Register'!A50="","","PALLET: " &amp; 'Package Register'!B50)</x:f>
      </x:c>
      <x:c r="F189" s="81"/>
      <x:c r="G189" s="81"/>
      <x:c r="H189" s="81"/>
      <x:c r="I189" s="101"/>
      <x:c r="J189" s="101"/>
      <x:c r="K189" s="101"/>
      <x:c r="L189" s="101"/>
      <x:c r="M189" s="101"/>
      <x:c r="N189" s="101"/>
      <x:c r="O189" s="101"/>
      <x:c r="P189" s="101"/>
      <x:c r="Q189" s="101"/>
      <x:c r="R189" s="101"/>
      <x:c r="S189" s="101"/>
      <x:c r="T189" s="101"/>
      <x:c r="U189" s="101"/>
      <x:c r="V189" s="101"/>
      <x:c r="W189" s="101"/>
      <x:c r="X189" s="101"/>
      <x:c r="Y189" s="101"/>
      <x:c r="Z189" s="101"/>
      <x:c r="AA189" s="101"/>
      <x:c r="AB189" s="101"/>
      <x:c r="AC189" s="101"/>
      <x:c r="AD189" s="101"/>
      <x:c r="AE189" s="101"/>
    </x:row>
    <x:row r="190" ht="22" customHeight="1">
      <x:c r="A190" s="81" t="str">
        <x:f>IF('Package Register'!A49="","",'Package Register'!D49)</x:f>
      </x:c>
      <x:c r="B190" s="81"/>
      <x:c r="C190" s="81"/>
      <x:c r="D190" s="81"/>
      <x:c r="E190" s="81" t="str">
        <x:f>IF('Package Register'!A50="","",'Package Register'!D50)</x:f>
      </x:c>
      <x:c r="F190" s="81"/>
      <x:c r="G190" s="81"/>
      <x:c r="H190" s="81"/>
      <x:c r="I190" s="101"/>
      <x:c r="J190" s="101"/>
      <x:c r="K190" s="101"/>
      <x:c r="L190" s="101"/>
      <x:c r="M190" s="101"/>
      <x:c r="N190" s="101"/>
      <x:c r="O190" s="101"/>
      <x:c r="P190" s="101"/>
      <x:c r="Q190" s="101"/>
      <x:c r="R190" s="101"/>
      <x:c r="S190" s="101"/>
      <x:c r="T190" s="101"/>
      <x:c r="U190" s="101"/>
      <x:c r="V190" s="101"/>
      <x:c r="W190" s="101"/>
      <x:c r="X190" s="101"/>
      <x:c r="Y190" s="101"/>
      <x:c r="Z190" s="101"/>
      <x:c r="AA190" s="101"/>
      <x:c r="AB190" s="101"/>
      <x:c r="AC190" s="101"/>
      <x:c r="AD190" s="101"/>
      <x:c r="AE190" s="101"/>
    </x:row>
    <x:row r="191" ht="22" customHeight="1">
      <x:c r="A191" s="81" t="str">
        <x:f>IF('Package Register'!A49="","",'Package Register'!F49)</x:f>
      </x:c>
      <x:c r="B191" s="81"/>
      <x:c r="C191" s="81"/>
      <x:c r="D191" s="81"/>
      <x:c r="E191" s="81" t="str">
        <x:f>IF('Package Register'!A50="","",'Package Register'!F50)</x:f>
      </x:c>
      <x:c r="F191" s="81"/>
      <x:c r="G191" s="81"/>
      <x:c r="H191" s="81"/>
      <x:c r="I191" s="101"/>
      <x:c r="J191" s="101"/>
      <x:c r="K191" s="101"/>
      <x:c r="L191" s="101"/>
      <x:c r="M191" s="101"/>
      <x:c r="N191" s="101"/>
      <x:c r="O191" s="101"/>
      <x:c r="P191" s="101"/>
      <x:c r="Q191" s="101"/>
      <x:c r="R191" s="101"/>
      <x:c r="S191" s="101"/>
      <x:c r="T191" s="101"/>
      <x:c r="U191" s="101"/>
      <x:c r="V191" s="101"/>
      <x:c r="W191" s="101"/>
      <x:c r="X191" s="101"/>
      <x:c r="Y191" s="101"/>
      <x:c r="Z191" s="101"/>
      <x:c r="AA191" s="101"/>
      <x:c r="AB191" s="101"/>
      <x:c r="AC191" s="101"/>
      <x:c r="AD191" s="101"/>
      <x:c r="AE191" s="101"/>
    </x:row>
    <x:row r="192" ht="22" customHeight="1">
      <x:c r="A192" s="81" t="str">
        <x:f>IF('Package Register'!A49="","","Approx weight: " &amp; ROUND('Package Register'!G49,0) &amp; " kg | Size: " &amp; 'Package Register'!H49 &amp; " x " &amp; 'Package Register'!I49 &amp; " x " &amp; 'Package Register'!J49 &amp; " mm")</x:f>
      </x:c>
      <x:c r="B192" s="81"/>
      <x:c r="C192" s="81"/>
      <x:c r="D192" s="81"/>
      <x:c r="E192" s="81" t="str">
        <x:f>IF('Package Register'!A50="","","Approx weight: " &amp; ROUND('Package Register'!G50,0) &amp; " kg | Size: " &amp; 'Package Register'!H50 &amp; " x " &amp; 'Package Register'!I50 &amp; " x " &amp; 'Package Register'!J50 &amp; " mm")</x:f>
      </x:c>
      <x:c r="F192" s="81"/>
      <x:c r="G192" s="81"/>
      <x:c r="H192" s="81"/>
      <x:c r="I192" s="101"/>
      <x:c r="J192" s="101"/>
      <x:c r="K192" s="101"/>
      <x:c r="L192" s="101"/>
      <x:c r="M192" s="101"/>
      <x:c r="N192" s="101"/>
      <x:c r="O192" s="101"/>
      <x:c r="P192" s="101"/>
      <x:c r="Q192" s="101"/>
      <x:c r="R192" s="101"/>
      <x:c r="S192" s="101"/>
      <x:c r="T192" s="101"/>
      <x:c r="U192" s="101"/>
      <x:c r="V192" s="101"/>
      <x:c r="W192" s="101"/>
      <x:c r="X192" s="101"/>
      <x:c r="Y192" s="101"/>
      <x:c r="Z192" s="101"/>
      <x:c r="AA192" s="101"/>
      <x:c r="AB192" s="101"/>
      <x:c r="AC192" s="101"/>
      <x:c r="AD192" s="101"/>
      <x:c r="AE192" s="101"/>
    </x:row>
    <x:row r="193" ht="22" customHeight="1">
      <x:c r="A193" s="93" t="str">
        <x:f>IF('Package Register'!A49="","","KEEP DRY | HANDLE WITH CARE")</x:f>
      </x:c>
      <x:c r="B193" s="81"/>
      <x:c r="C193" s="81"/>
      <x:c r="D193" s="81"/>
      <x:c r="E193" s="93" t="str">
        <x:f>IF('Package Register'!A50="","","KEEP DRY | HANDLE WITH CARE")</x:f>
      </x:c>
      <x:c r="F193" s="81"/>
      <x:c r="G193" s="81"/>
      <x:c r="H193" s="81"/>
      <x:c r="I193" s="101"/>
      <x:c r="J193" s="101"/>
      <x:c r="K193" s="101"/>
      <x:c r="L193" s="101"/>
      <x:c r="M193" s="101"/>
      <x:c r="N193" s="101"/>
      <x:c r="O193" s="101"/>
      <x:c r="P193" s="101"/>
      <x:c r="Q193" s="101"/>
      <x:c r="R193" s="101"/>
      <x:c r="S193" s="101"/>
      <x:c r="T193" s="101"/>
      <x:c r="U193" s="101"/>
      <x:c r="V193" s="101"/>
      <x:c r="W193" s="101"/>
      <x:c r="X193" s="101"/>
      <x:c r="Y193" s="101"/>
      <x:c r="Z193" s="101"/>
      <x:c r="AA193" s="101"/>
      <x:c r="AB193" s="101"/>
      <x:c r="AC193" s="101"/>
      <x:c r="AD193" s="101"/>
      <x:c r="AE193" s="101"/>
    </x:row>
    <x:row r="194" ht="22" customHeight="1">
      <x:c r="A194" s="101"/>
      <x:c r="B194" s="101"/>
      <x:c r="C194" s="101"/>
      <x:c r="D194" s="101"/>
      <x:c r="E194" s="101"/>
      <x:c r="F194" s="101"/>
      <x:c r="G194" s="101"/>
      <x:c r="H194" s="101"/>
      <x:c r="I194" s="101"/>
      <x:c r="J194" s="101"/>
      <x:c r="K194" s="101"/>
      <x:c r="L194" s="101"/>
      <x:c r="M194" s="101"/>
      <x:c r="N194" s="101"/>
      <x:c r="O194" s="101"/>
      <x:c r="P194" s="101"/>
      <x:c r="Q194" s="101"/>
      <x:c r="R194" s="101"/>
      <x:c r="S194" s="101"/>
      <x:c r="T194" s="101"/>
      <x:c r="U194" s="101"/>
      <x:c r="V194" s="101"/>
      <x:c r="W194" s="101"/>
      <x:c r="X194" s="101"/>
      <x:c r="Y194" s="101"/>
      <x:c r="Z194" s="101"/>
      <x:c r="AA194" s="101"/>
      <x:c r="AB194" s="101"/>
      <x:c r="AC194" s="101"/>
      <x:c r="AD194" s="101"/>
      <x:c r="AE194" s="101"/>
    </x:row>
    <x:row r="195" ht="22" customHeight="1">
      <x:c r="A195" s="96" t="str">
        <x:f>IF('Package Register'!A51="","","IFS PACKAGE LABEL")</x:f>
      </x:c>
      <x:c r="B195" s="81"/>
      <x:c r="C195" s="81"/>
      <x:c r="D195" s="81"/>
      <x:c r="E195" s="96" t="str">
        <x:f>IF('Package Register'!A52="","","IFS PACKAGE LABEL")</x:f>
      </x:c>
      <x:c r="F195" s="81"/>
      <x:c r="G195" s="81"/>
      <x:c r="H195" s="81"/>
      <x:c r="I195" s="101"/>
      <x:c r="J195" s="101"/>
      <x:c r="K195" s="101"/>
      <x:c r="L195" s="101"/>
      <x:c r="M195" s="101"/>
      <x:c r="N195" s="101"/>
      <x:c r="O195" s="101"/>
      <x:c r="P195" s="101"/>
      <x:c r="Q195" s="101"/>
      <x:c r="R195" s="101"/>
      <x:c r="S195" s="101"/>
      <x:c r="T195" s="101"/>
      <x:c r="U195" s="101"/>
      <x:c r="V195" s="101"/>
      <x:c r="W195" s="101"/>
      <x:c r="X195" s="101"/>
      <x:c r="Y195" s="101"/>
      <x:c r="Z195" s="101"/>
      <x:c r="AA195" s="101"/>
      <x:c r="AB195" s="101"/>
      <x:c r="AC195" s="101"/>
      <x:c r="AD195" s="101"/>
      <x:c r="AE195" s="101"/>
    </x:row>
    <x:row r="196" ht="22" customHeight="1">
      <x:c r="A196" s="81" t="str">
        <x:f>IF('Package Register'!A51="","",'START HERE'!B8 &amp; " | " &amp; 'Package Register'!C51)</x:f>
      </x:c>
      <x:c r="B196" s="81"/>
      <x:c r="C196" s="81"/>
      <x:c r="D196" s="81"/>
      <x:c r="E196" s="81" t="str">
        <x:f>IF('Package Register'!A52="","",'START HERE'!B8 &amp; " | " &amp; 'Package Register'!C52)</x:f>
      </x:c>
      <x:c r="F196" s="81"/>
      <x:c r="G196" s="81"/>
      <x:c r="H196" s="81"/>
      <x:c r="I196" s="101"/>
      <x:c r="J196" s="101"/>
      <x:c r="K196" s="101"/>
      <x:c r="L196" s="101"/>
      <x:c r="M196" s="101"/>
      <x:c r="N196" s="101"/>
      <x:c r="O196" s="101"/>
      <x:c r="P196" s="101"/>
      <x:c r="Q196" s="101"/>
      <x:c r="R196" s="101"/>
      <x:c r="S196" s="101"/>
      <x:c r="T196" s="101"/>
      <x:c r="U196" s="101"/>
      <x:c r="V196" s="101"/>
      <x:c r="W196" s="101"/>
      <x:c r="X196" s="101"/>
      <x:c r="Y196" s="101"/>
      <x:c r="Z196" s="101"/>
      <x:c r="AA196" s="101"/>
      <x:c r="AB196" s="101"/>
      <x:c r="AC196" s="101"/>
      <x:c r="AD196" s="101"/>
      <x:c r="AE196" s="101"/>
    </x:row>
    <x:row r="197" ht="22" customHeight="1">
      <x:c r="A197" s="81" t="str">
        <x:f>IF('Package Register'!A51="","","PALLET: " &amp; 'Package Register'!B51)</x:f>
      </x:c>
      <x:c r="B197" s="81"/>
      <x:c r="C197" s="81"/>
      <x:c r="D197" s="81"/>
      <x:c r="E197" s="81" t="str">
        <x:f>IF('Package Register'!A52="","","PALLET: " &amp; 'Package Register'!B52)</x:f>
      </x:c>
      <x:c r="F197" s="81"/>
      <x:c r="G197" s="81"/>
      <x:c r="H197" s="81"/>
      <x:c r="I197" s="101"/>
      <x:c r="J197" s="101"/>
      <x:c r="K197" s="101"/>
      <x:c r="L197" s="101"/>
      <x:c r="M197" s="101"/>
      <x:c r="N197" s="101"/>
      <x:c r="O197" s="101"/>
      <x:c r="P197" s="101"/>
      <x:c r="Q197" s="101"/>
      <x:c r="R197" s="101"/>
      <x:c r="S197" s="101"/>
      <x:c r="T197" s="101"/>
      <x:c r="U197" s="101"/>
      <x:c r="V197" s="101"/>
      <x:c r="W197" s="101"/>
      <x:c r="X197" s="101"/>
      <x:c r="Y197" s="101"/>
      <x:c r="Z197" s="101"/>
      <x:c r="AA197" s="101"/>
      <x:c r="AB197" s="101"/>
      <x:c r="AC197" s="101"/>
      <x:c r="AD197" s="101"/>
      <x:c r="AE197" s="101"/>
    </x:row>
    <x:row r="198" ht="22" customHeight="1">
      <x:c r="A198" s="81" t="str">
        <x:f>IF('Package Register'!A51="","",'Package Register'!D51)</x:f>
      </x:c>
      <x:c r="B198" s="81"/>
      <x:c r="C198" s="81"/>
      <x:c r="D198" s="81"/>
      <x:c r="E198" s="81" t="str">
        <x:f>IF('Package Register'!A52="","",'Package Register'!D52)</x:f>
      </x:c>
      <x:c r="F198" s="81"/>
      <x:c r="G198" s="81"/>
      <x:c r="H198" s="81"/>
      <x:c r="I198" s="101"/>
      <x:c r="J198" s="101"/>
      <x:c r="K198" s="101"/>
      <x:c r="L198" s="101"/>
      <x:c r="M198" s="101"/>
      <x:c r="N198" s="101"/>
      <x:c r="O198" s="101"/>
      <x:c r="P198" s="101"/>
      <x:c r="Q198" s="101"/>
      <x:c r="R198" s="101"/>
      <x:c r="S198" s="101"/>
      <x:c r="T198" s="101"/>
      <x:c r="U198" s="101"/>
      <x:c r="V198" s="101"/>
      <x:c r="W198" s="101"/>
      <x:c r="X198" s="101"/>
      <x:c r="Y198" s="101"/>
      <x:c r="Z198" s="101"/>
      <x:c r="AA198" s="101"/>
      <x:c r="AB198" s="101"/>
      <x:c r="AC198" s="101"/>
      <x:c r="AD198" s="101"/>
      <x:c r="AE198" s="101"/>
    </x:row>
    <x:row r="199" ht="22" customHeight="1">
      <x:c r="A199" s="81" t="str">
        <x:f>IF('Package Register'!A51="","",'Package Register'!F51)</x:f>
      </x:c>
      <x:c r="B199" s="81"/>
      <x:c r="C199" s="81"/>
      <x:c r="D199" s="81"/>
      <x:c r="E199" s="81" t="str">
        <x:f>IF('Package Register'!A52="","",'Package Register'!F52)</x:f>
      </x:c>
      <x:c r="F199" s="81"/>
      <x:c r="G199" s="81"/>
      <x:c r="H199" s="81"/>
      <x:c r="I199" s="101"/>
      <x:c r="J199" s="101"/>
      <x:c r="K199" s="101"/>
      <x:c r="L199" s="101"/>
      <x:c r="M199" s="101"/>
      <x:c r="N199" s="101"/>
      <x:c r="O199" s="101"/>
      <x:c r="P199" s="101"/>
      <x:c r="Q199" s="101"/>
      <x:c r="R199" s="101"/>
      <x:c r="S199" s="101"/>
      <x:c r="T199" s="101"/>
      <x:c r="U199" s="101"/>
      <x:c r="V199" s="101"/>
      <x:c r="W199" s="101"/>
      <x:c r="X199" s="101"/>
      <x:c r="Y199" s="101"/>
      <x:c r="Z199" s="101"/>
      <x:c r="AA199" s="101"/>
      <x:c r="AB199" s="101"/>
      <x:c r="AC199" s="101"/>
      <x:c r="AD199" s="101"/>
      <x:c r="AE199" s="101"/>
    </x:row>
    <x:row r="200" ht="22" customHeight="1">
      <x:c r="A200" s="81" t="str">
        <x:f>IF('Package Register'!A51="","","Approx weight: " &amp; ROUND('Package Register'!G51,0) &amp; " kg | Size: " &amp; 'Package Register'!H51 &amp; " x " &amp; 'Package Register'!I51 &amp; " x " &amp; 'Package Register'!J51 &amp; " mm")</x:f>
      </x:c>
      <x:c r="B200" s="81"/>
      <x:c r="C200" s="81"/>
      <x:c r="D200" s="81"/>
      <x:c r="E200" s="81" t="str">
        <x:f>IF('Package Register'!A52="","","Approx weight: " &amp; ROUND('Package Register'!G52,0) &amp; " kg | Size: " &amp; 'Package Register'!H52 &amp; " x " &amp; 'Package Register'!I52 &amp; " x " &amp; 'Package Register'!J52 &amp; " mm")</x:f>
      </x:c>
      <x:c r="F200" s="81"/>
      <x:c r="G200" s="81"/>
      <x:c r="H200" s="81"/>
      <x:c r="I200" s="101"/>
      <x:c r="J200" s="101"/>
      <x:c r="K200" s="101"/>
      <x:c r="L200" s="101"/>
      <x:c r="M200" s="101"/>
      <x:c r="N200" s="101"/>
      <x:c r="O200" s="101"/>
      <x:c r="P200" s="101"/>
      <x:c r="Q200" s="101"/>
      <x:c r="R200" s="101"/>
      <x:c r="S200" s="101"/>
      <x:c r="T200" s="101"/>
      <x:c r="U200" s="101"/>
      <x:c r="V200" s="101"/>
      <x:c r="W200" s="101"/>
      <x:c r="X200" s="101"/>
      <x:c r="Y200" s="101"/>
      <x:c r="Z200" s="101"/>
      <x:c r="AA200" s="101"/>
      <x:c r="AB200" s="101"/>
      <x:c r="AC200" s="101"/>
      <x:c r="AD200" s="101"/>
      <x:c r="AE200" s="101"/>
    </x:row>
    <x:row r="201" ht="22" customHeight="1">
      <x:c r="A201" s="93" t="str">
        <x:f>IF('Package Register'!A51="","","KEEP DRY | HANDLE WITH CARE")</x:f>
      </x:c>
      <x:c r="B201" s="81"/>
      <x:c r="C201" s="81"/>
      <x:c r="D201" s="81"/>
      <x:c r="E201" s="93" t="str">
        <x:f>IF('Package Register'!A52="","","KEEP DRY | HANDLE WITH CARE")</x:f>
      </x:c>
      <x:c r="F201" s="81"/>
      <x:c r="G201" s="81"/>
      <x:c r="H201" s="81"/>
    </x:row>
    <x:row r="202" ht="22" customHeight="1"/>
    <x:row r="203" ht="22" customHeight="1">
      <x:c r="A203" s="96" t="str">
        <x:f>IF('Package Register'!A53="","","IFS PACKAGE LABEL")</x:f>
      </x:c>
      <x:c r="B203" s="81"/>
      <x:c r="C203" s="81"/>
      <x:c r="D203" s="81"/>
      <x:c r="E203" s="96" t="str">
        <x:f>IF('Package Register'!A54="","","IFS PACKAGE LABEL")</x:f>
      </x:c>
      <x:c r="F203" s="81"/>
      <x:c r="G203" s="81"/>
      <x:c r="H203" s="81"/>
    </x:row>
    <x:row r="204" ht="22" customHeight="1">
      <x:c r="A204" s="81" t="str">
        <x:f>IF('Package Register'!A53="","",'START HERE'!B8 &amp; " | " &amp; 'Package Register'!C53)</x:f>
      </x:c>
      <x:c r="B204" s="81"/>
      <x:c r="C204" s="81"/>
      <x:c r="D204" s="81"/>
      <x:c r="E204" s="81" t="str">
        <x:f>IF('Package Register'!A54="","",'START HERE'!B8 &amp; " | " &amp; 'Package Register'!C54)</x:f>
      </x:c>
      <x:c r="F204" s="81"/>
      <x:c r="G204" s="81"/>
      <x:c r="H204" s="81"/>
    </x:row>
    <x:row r="205" ht="22" customHeight="1">
      <x:c r="A205" s="81" t="str">
        <x:f>IF('Package Register'!A53="","","PALLET: " &amp; 'Package Register'!B53)</x:f>
      </x:c>
      <x:c r="B205" s="81"/>
      <x:c r="C205" s="81"/>
      <x:c r="D205" s="81"/>
      <x:c r="E205" s="81" t="str">
        <x:f>IF('Package Register'!A54="","","PALLET: " &amp; 'Package Register'!B54)</x:f>
      </x:c>
      <x:c r="F205" s="81"/>
      <x:c r="G205" s="81"/>
      <x:c r="H205" s="81"/>
    </x:row>
    <x:row r="206" ht="22" customHeight="1">
      <x:c r="A206" s="81" t="str">
        <x:f>IF('Package Register'!A53="","",'Package Register'!D53)</x:f>
      </x:c>
      <x:c r="B206" s="81"/>
      <x:c r="C206" s="81"/>
      <x:c r="D206" s="81"/>
      <x:c r="E206" s="81" t="str">
        <x:f>IF('Package Register'!A54="","",'Package Register'!D54)</x:f>
      </x:c>
      <x:c r="F206" s="81"/>
      <x:c r="G206" s="81"/>
      <x:c r="H206" s="81"/>
    </x:row>
    <x:row r="207" ht="22" customHeight="1">
      <x:c r="A207" s="81" t="str">
        <x:f>IF('Package Register'!A53="","",'Package Register'!F53)</x:f>
      </x:c>
      <x:c r="B207" s="81"/>
      <x:c r="C207" s="81"/>
      <x:c r="D207" s="81"/>
      <x:c r="E207" s="81" t="str">
        <x:f>IF('Package Register'!A54="","",'Package Register'!F54)</x:f>
      </x:c>
      <x:c r="F207" s="81"/>
      <x:c r="G207" s="81"/>
      <x:c r="H207" s="81"/>
    </x:row>
    <x:row r="208" ht="22" customHeight="1">
      <x:c r="A208" s="81" t="str">
        <x:f>IF('Package Register'!A53="","","Approx weight: " &amp; ROUND('Package Register'!G53,0) &amp; " kg | Size: " &amp; 'Package Register'!H53 &amp; " x " &amp; 'Package Register'!I53 &amp; " x " &amp; 'Package Register'!J53 &amp; " mm")</x:f>
      </x:c>
      <x:c r="B208" s="81"/>
      <x:c r="C208" s="81"/>
      <x:c r="D208" s="81"/>
      <x:c r="E208" s="81" t="str">
        <x:f>IF('Package Register'!A54="","","Approx weight: " &amp; ROUND('Package Register'!G54,0) &amp; " kg | Size: " &amp; 'Package Register'!H54 &amp; " x " &amp; 'Package Register'!I54 &amp; " x " &amp; 'Package Register'!J54 &amp; " mm")</x:f>
      </x:c>
      <x:c r="F208" s="81"/>
      <x:c r="G208" s="81"/>
      <x:c r="H208" s="81"/>
    </x:row>
    <x:row r="209" ht="22" customHeight="1">
      <x:c r="A209" s="93" t="str">
        <x:f>IF('Package Register'!A53="","","KEEP DRY | HANDLE WITH CARE")</x:f>
      </x:c>
      <x:c r="B209" s="81"/>
      <x:c r="C209" s="81"/>
      <x:c r="D209" s="81"/>
      <x:c r="E209" s="93" t="str">
        <x:f>IF('Package Register'!A54="","","KEEP DRY | HANDLE WITH CARE")</x:f>
      </x:c>
      <x:c r="F209" s="81"/>
      <x:c r="G209" s="81"/>
      <x:c r="H209" s="81"/>
    </x:row>
    <x:row r="210" ht="22" customHeight="1"/>
    <x:row r="211" ht="22" customHeight="1">
      <x:c r="A211" s="96" t="str">
        <x:f>IF('Package Register'!A55="","","IFS PACKAGE LABEL")</x:f>
      </x:c>
      <x:c r="B211" s="81"/>
      <x:c r="C211" s="81"/>
      <x:c r="D211" s="81"/>
      <x:c r="E211" s="96" t="str">
        <x:f>IF('Package Register'!A56="","","IFS PACKAGE LABEL")</x:f>
      </x:c>
      <x:c r="F211" s="81"/>
      <x:c r="G211" s="81"/>
      <x:c r="H211" s="81"/>
    </x:row>
    <x:row r="212" ht="22" customHeight="1">
      <x:c r="A212" s="81" t="str">
        <x:f>IF('Package Register'!A55="","",'START HERE'!B8 &amp; " | " &amp; 'Package Register'!C55)</x:f>
      </x:c>
      <x:c r="B212" s="81"/>
      <x:c r="C212" s="81"/>
      <x:c r="D212" s="81"/>
      <x:c r="E212" s="81" t="str">
        <x:f>IF('Package Register'!A56="","",'START HERE'!B8 &amp; " | " &amp; 'Package Register'!C56)</x:f>
      </x:c>
      <x:c r="F212" s="81"/>
      <x:c r="G212" s="81"/>
      <x:c r="H212" s="81"/>
    </x:row>
    <x:row r="213" ht="22" customHeight="1">
      <x:c r="A213" s="81" t="str">
        <x:f>IF('Package Register'!A55="","","PALLET: " &amp; 'Package Register'!B55)</x:f>
      </x:c>
      <x:c r="B213" s="81"/>
      <x:c r="C213" s="81"/>
      <x:c r="D213" s="81"/>
      <x:c r="E213" s="81" t="str">
        <x:f>IF('Package Register'!A56="","","PALLET: " &amp; 'Package Register'!B56)</x:f>
      </x:c>
      <x:c r="F213" s="81"/>
      <x:c r="G213" s="81"/>
      <x:c r="H213" s="81"/>
    </x:row>
    <x:row r="214" ht="22" customHeight="1">
      <x:c r="A214" s="81" t="str">
        <x:f>IF('Package Register'!A55="","",'Package Register'!D55)</x:f>
      </x:c>
      <x:c r="B214" s="81"/>
      <x:c r="C214" s="81"/>
      <x:c r="D214" s="81"/>
      <x:c r="E214" s="81" t="str">
        <x:f>IF('Package Register'!A56="","",'Package Register'!D56)</x:f>
      </x:c>
      <x:c r="F214" s="81"/>
      <x:c r="G214" s="81"/>
      <x:c r="H214" s="81"/>
    </x:row>
    <x:row r="215" ht="22" customHeight="1">
      <x:c r="A215" s="81" t="str">
        <x:f>IF('Package Register'!A55="","",'Package Register'!F55)</x:f>
      </x:c>
      <x:c r="B215" s="81"/>
      <x:c r="C215" s="81"/>
      <x:c r="D215" s="81"/>
      <x:c r="E215" s="81" t="str">
        <x:f>IF('Package Register'!A56="","",'Package Register'!F56)</x:f>
      </x:c>
      <x:c r="F215" s="81"/>
      <x:c r="G215" s="81"/>
      <x:c r="H215" s="81"/>
    </x:row>
    <x:row r="216" ht="22" customHeight="1">
      <x:c r="A216" s="81" t="str">
        <x:f>IF('Package Register'!A55="","","Approx weight: " &amp; ROUND('Package Register'!G55,0) &amp; " kg | Size: " &amp; 'Package Register'!H55 &amp; " x " &amp; 'Package Register'!I55 &amp; " x " &amp; 'Package Register'!J55 &amp; " mm")</x:f>
      </x:c>
      <x:c r="B216" s="81"/>
      <x:c r="C216" s="81"/>
      <x:c r="D216" s="81"/>
      <x:c r="E216" s="81" t="str">
        <x:f>IF('Package Register'!A56="","","Approx weight: " &amp; ROUND('Package Register'!G56,0) &amp; " kg | Size: " &amp; 'Package Register'!H56 &amp; " x " &amp; 'Package Register'!I56 &amp; " x " &amp; 'Package Register'!J56 &amp; " mm")</x:f>
      </x:c>
      <x:c r="F216" s="81"/>
      <x:c r="G216" s="81"/>
      <x:c r="H216" s="81"/>
    </x:row>
    <x:row r="217" ht="22" customHeight="1">
      <x:c r="A217" s="93" t="str">
        <x:f>IF('Package Register'!A55="","","KEEP DRY | HANDLE WITH CARE")</x:f>
      </x:c>
      <x:c r="B217" s="81"/>
      <x:c r="C217" s="81"/>
      <x:c r="D217" s="81"/>
      <x:c r="E217" s="93" t="str">
        <x:f>IF('Package Register'!A56="","","KEEP DRY | HANDLE WITH CARE")</x:f>
      </x:c>
      <x:c r="F217" s="81"/>
      <x:c r="G217" s="81"/>
      <x:c r="H217" s="81"/>
    </x:row>
    <x:row r="218" ht="22" customHeight="1"/>
    <x:row r="219" ht="22" customHeight="1">
      <x:c r="A219" s="96" t="str">
        <x:f>IF('Package Register'!A57="","","IFS PACKAGE LABEL")</x:f>
      </x:c>
      <x:c r="B219" s="81"/>
      <x:c r="C219" s="81"/>
      <x:c r="D219" s="81"/>
      <x:c r="E219" s="96" t="str">
        <x:f>IF('Package Register'!A58="","","IFS PACKAGE LABEL")</x:f>
      </x:c>
      <x:c r="F219" s="81"/>
      <x:c r="G219" s="81"/>
      <x:c r="H219" s="81"/>
    </x:row>
    <x:row r="220" ht="22" customHeight="1">
      <x:c r="A220" s="81" t="str">
        <x:f>IF('Package Register'!A57="","",'START HERE'!B8 &amp; " | " &amp; 'Package Register'!C57)</x:f>
      </x:c>
      <x:c r="B220" s="81"/>
      <x:c r="C220" s="81"/>
      <x:c r="D220" s="81"/>
      <x:c r="E220" s="81" t="str">
        <x:f>IF('Package Register'!A58="","",'START HERE'!B8 &amp; " | " &amp; 'Package Register'!C58)</x:f>
      </x:c>
      <x:c r="F220" s="81"/>
      <x:c r="G220" s="81"/>
      <x:c r="H220" s="81"/>
    </x:row>
    <x:row r="221" ht="22" customHeight="1">
      <x:c r="A221" s="81" t="str">
        <x:f>IF('Package Register'!A57="","","PALLET: " &amp; 'Package Register'!B57)</x:f>
      </x:c>
      <x:c r="B221" s="81"/>
      <x:c r="C221" s="81"/>
      <x:c r="D221" s="81"/>
      <x:c r="E221" s="81" t="str">
        <x:f>IF('Package Register'!A58="","","PALLET: " &amp; 'Package Register'!B58)</x:f>
      </x:c>
      <x:c r="F221" s="81"/>
      <x:c r="G221" s="81"/>
      <x:c r="H221" s="81"/>
    </x:row>
    <x:row r="222" ht="22" customHeight="1">
      <x:c r="A222" s="81" t="str">
        <x:f>IF('Package Register'!A57="","",'Package Register'!D57)</x:f>
      </x:c>
      <x:c r="B222" s="81"/>
      <x:c r="C222" s="81"/>
      <x:c r="D222" s="81"/>
      <x:c r="E222" s="81" t="str">
        <x:f>IF('Package Register'!A58="","",'Package Register'!D58)</x:f>
      </x:c>
      <x:c r="F222" s="81"/>
      <x:c r="G222" s="81"/>
      <x:c r="H222" s="81"/>
    </x:row>
    <x:row r="223" ht="22" customHeight="1">
      <x:c r="A223" s="81" t="str">
        <x:f>IF('Package Register'!A57="","",'Package Register'!F57)</x:f>
      </x:c>
      <x:c r="B223" s="81"/>
      <x:c r="C223" s="81"/>
      <x:c r="D223" s="81"/>
      <x:c r="E223" s="81" t="str">
        <x:f>IF('Package Register'!A58="","",'Package Register'!F58)</x:f>
      </x:c>
      <x:c r="F223" s="81"/>
      <x:c r="G223" s="81"/>
      <x:c r="H223" s="81"/>
    </x:row>
    <x:row r="224" ht="22" customHeight="1">
      <x:c r="A224" s="81" t="str">
        <x:f>IF('Package Register'!A57="","","Approx weight: " &amp; ROUND('Package Register'!G57,0) &amp; " kg | Size: " &amp; 'Package Register'!H57 &amp; " x " &amp; 'Package Register'!I57 &amp; " x " &amp; 'Package Register'!J57 &amp; " mm")</x:f>
      </x:c>
      <x:c r="B224" s="81"/>
      <x:c r="C224" s="81"/>
      <x:c r="D224" s="81"/>
      <x:c r="E224" s="81" t="str">
        <x:f>IF('Package Register'!A58="","","Approx weight: " &amp; ROUND('Package Register'!G58,0) &amp; " kg | Size: " &amp; 'Package Register'!H58 &amp; " x " &amp; 'Package Register'!I58 &amp; " x " &amp; 'Package Register'!J58 &amp; " mm")</x:f>
      </x:c>
      <x:c r="F224" s="81"/>
      <x:c r="G224" s="81"/>
      <x:c r="H224" s="81"/>
    </x:row>
    <x:row r="225" ht="22" customHeight="1">
      <x:c r="A225" s="93" t="str">
        <x:f>IF('Package Register'!A57="","","KEEP DRY | HANDLE WITH CARE")</x:f>
      </x:c>
      <x:c r="B225" s="81"/>
      <x:c r="C225" s="81"/>
      <x:c r="D225" s="81"/>
      <x:c r="E225" s="93" t="str">
        <x:f>IF('Package Register'!A58="","","KEEP DRY | HANDLE WITH CARE")</x:f>
      </x:c>
      <x:c r="F225" s="81"/>
      <x:c r="G225" s="81"/>
      <x:c r="H225" s="81"/>
    </x:row>
    <x:row r="226" ht="22" customHeight="1"/>
    <x:row r="227" ht="22" customHeight="1">
      <x:c r="A227" s="96" t="str">
        <x:f>IF('Package Register'!A59="","","IFS PACKAGE LABEL")</x:f>
      </x:c>
      <x:c r="B227" s="81"/>
      <x:c r="C227" s="81"/>
      <x:c r="D227" s="81"/>
      <x:c r="E227" s="96" t="str">
        <x:f>IF('Package Register'!A60="","","IFS PACKAGE LABEL")</x:f>
      </x:c>
      <x:c r="F227" s="81"/>
      <x:c r="G227" s="81"/>
      <x:c r="H227" s="81"/>
    </x:row>
    <x:row r="228" ht="22" customHeight="1">
      <x:c r="A228" s="81" t="str">
        <x:f>IF('Package Register'!A59="","",'START HERE'!B8 &amp; " | " &amp; 'Package Register'!C59)</x:f>
      </x:c>
      <x:c r="B228" s="81"/>
      <x:c r="C228" s="81"/>
      <x:c r="D228" s="81"/>
      <x:c r="E228" s="81" t="str">
        <x:f>IF('Package Register'!A60="","",'START HERE'!B8 &amp; " | " &amp; 'Package Register'!C60)</x:f>
      </x:c>
      <x:c r="F228" s="81"/>
      <x:c r="G228" s="81"/>
      <x:c r="H228" s="81"/>
    </x:row>
    <x:row r="229" ht="22" customHeight="1">
      <x:c r="A229" s="81" t="str">
        <x:f>IF('Package Register'!A59="","","PALLET: " &amp; 'Package Register'!B59)</x:f>
      </x:c>
      <x:c r="B229" s="81"/>
      <x:c r="C229" s="81"/>
      <x:c r="D229" s="81"/>
      <x:c r="E229" s="81" t="str">
        <x:f>IF('Package Register'!A60="","","PALLET: " &amp; 'Package Register'!B60)</x:f>
      </x:c>
      <x:c r="F229" s="81"/>
      <x:c r="G229" s="81"/>
      <x:c r="H229" s="81"/>
    </x:row>
    <x:row r="230" ht="22" customHeight="1">
      <x:c r="A230" s="81" t="str">
        <x:f>IF('Package Register'!A59="","",'Package Register'!D59)</x:f>
      </x:c>
      <x:c r="B230" s="81"/>
      <x:c r="C230" s="81"/>
      <x:c r="D230" s="81"/>
      <x:c r="E230" s="81" t="str">
        <x:f>IF('Package Register'!A60="","",'Package Register'!D60)</x:f>
      </x:c>
      <x:c r="F230" s="81"/>
      <x:c r="G230" s="81"/>
      <x:c r="H230" s="81"/>
    </x:row>
    <x:row r="231" ht="22" customHeight="1">
      <x:c r="A231" s="81" t="str">
        <x:f>IF('Package Register'!A59="","",'Package Register'!F59)</x:f>
      </x:c>
      <x:c r="B231" s="81"/>
      <x:c r="C231" s="81"/>
      <x:c r="D231" s="81"/>
      <x:c r="E231" s="81" t="str">
        <x:f>IF('Package Register'!A60="","",'Package Register'!F60)</x:f>
      </x:c>
      <x:c r="F231" s="81"/>
      <x:c r="G231" s="81"/>
      <x:c r="H231" s="81"/>
    </x:row>
    <x:row r="232" ht="22" customHeight="1">
      <x:c r="A232" s="81" t="str">
        <x:f>IF('Package Register'!A59="","","Approx weight: " &amp; ROUND('Package Register'!G59,0) &amp; " kg | Size: " &amp; 'Package Register'!H59 &amp; " x " &amp; 'Package Register'!I59 &amp; " x " &amp; 'Package Register'!J59 &amp; " mm")</x:f>
      </x:c>
      <x:c r="B232" s="81"/>
      <x:c r="C232" s="81"/>
      <x:c r="D232" s="81"/>
      <x:c r="E232" s="81" t="str">
        <x:f>IF('Package Register'!A60="","","Approx weight: " &amp; ROUND('Package Register'!G60,0) &amp; " kg | Size: " &amp; 'Package Register'!H60 &amp; " x " &amp; 'Package Register'!I60 &amp; " x " &amp; 'Package Register'!J60 &amp; " mm")</x:f>
      </x:c>
      <x:c r="F232" s="81"/>
      <x:c r="G232" s="81"/>
      <x:c r="H232" s="81"/>
    </x:row>
    <x:row r="233" ht="22" customHeight="1">
      <x:c r="A233" s="93" t="str">
        <x:f>IF('Package Register'!A59="","","KEEP DRY | HANDLE WITH CARE")</x:f>
      </x:c>
      <x:c r="B233" s="81"/>
      <x:c r="C233" s="81"/>
      <x:c r="D233" s="81"/>
      <x:c r="E233" s="93" t="str">
        <x:f>IF('Package Register'!A60="","","KEEP DRY | HANDLE WITH CARE")</x:f>
      </x:c>
      <x:c r="F233" s="81"/>
      <x:c r="G233" s="81"/>
      <x:c r="H233" s="81"/>
    </x:row>
    <x:row r="234" ht="22" customHeight="1"/>
    <x:row r="235" ht="22" customHeight="1">
      <x:c r="A235" s="96" t="str">
        <x:f>IF('Package Register'!A61="","","IFS PACKAGE LABEL")</x:f>
      </x:c>
      <x:c r="B235" s="81"/>
      <x:c r="C235" s="81"/>
      <x:c r="D235" s="81"/>
      <x:c r="E235" s="96" t="str">
        <x:f>IF('Package Register'!A62="","","IFS PACKAGE LABEL")</x:f>
      </x:c>
      <x:c r="F235" s="81"/>
      <x:c r="G235" s="81"/>
      <x:c r="H235" s="81"/>
    </x:row>
    <x:row r="236" ht="22" customHeight="1">
      <x:c r="A236" s="81" t="str">
        <x:f>IF('Package Register'!A61="","",'START HERE'!B8 &amp; " | " &amp; 'Package Register'!C61)</x:f>
      </x:c>
      <x:c r="B236" s="81"/>
      <x:c r="C236" s="81"/>
      <x:c r="D236" s="81"/>
      <x:c r="E236" s="81" t="str">
        <x:f>IF('Package Register'!A62="","",'START HERE'!B8 &amp; " | " &amp; 'Package Register'!C62)</x:f>
      </x:c>
      <x:c r="F236" s="81"/>
      <x:c r="G236" s="81"/>
      <x:c r="H236" s="81"/>
    </x:row>
    <x:row r="237" ht="22" customHeight="1">
      <x:c r="A237" s="81" t="str">
        <x:f>IF('Package Register'!A61="","","PALLET: " &amp; 'Package Register'!B61)</x:f>
      </x:c>
      <x:c r="B237" s="81"/>
      <x:c r="C237" s="81"/>
      <x:c r="D237" s="81"/>
      <x:c r="E237" s="81" t="str">
        <x:f>IF('Package Register'!A62="","","PALLET: " &amp; 'Package Register'!B62)</x:f>
      </x:c>
      <x:c r="F237" s="81"/>
      <x:c r="G237" s="81"/>
      <x:c r="H237" s="81"/>
    </x:row>
    <x:row r="238" ht="22" customHeight="1">
      <x:c r="A238" s="81" t="str">
        <x:f>IF('Package Register'!A61="","",'Package Register'!D61)</x:f>
      </x:c>
      <x:c r="B238" s="81"/>
      <x:c r="C238" s="81"/>
      <x:c r="D238" s="81"/>
      <x:c r="E238" s="81" t="str">
        <x:f>IF('Package Register'!A62="","",'Package Register'!D62)</x:f>
      </x:c>
      <x:c r="F238" s="81"/>
      <x:c r="G238" s="81"/>
      <x:c r="H238" s="81"/>
    </x:row>
    <x:row r="239" ht="22" customHeight="1">
      <x:c r="A239" s="81" t="str">
        <x:f>IF('Package Register'!A61="","",'Package Register'!F61)</x:f>
      </x:c>
      <x:c r="B239" s="81"/>
      <x:c r="C239" s="81"/>
      <x:c r="D239" s="81"/>
      <x:c r="E239" s="81" t="str">
        <x:f>IF('Package Register'!A62="","",'Package Register'!F62)</x:f>
      </x:c>
      <x:c r="F239" s="81"/>
      <x:c r="G239" s="81"/>
      <x:c r="H239" s="81"/>
    </x:row>
    <x:row r="240" ht="22" customHeight="1">
      <x:c r="A240" s="81" t="str">
        <x:f>IF('Package Register'!A61="","","Approx weight: " &amp; ROUND('Package Register'!G61,0) &amp; " kg | Size: " &amp; 'Package Register'!H61 &amp; " x " &amp; 'Package Register'!I61 &amp; " x " &amp; 'Package Register'!J61 &amp; " mm")</x:f>
      </x:c>
      <x:c r="B240" s="81"/>
      <x:c r="C240" s="81"/>
      <x:c r="D240" s="81"/>
      <x:c r="E240" s="81" t="str">
        <x:f>IF('Package Register'!A62="","","Approx weight: " &amp; ROUND('Package Register'!G62,0) &amp; " kg | Size: " &amp; 'Package Register'!H62 &amp; " x " &amp; 'Package Register'!I62 &amp; " x " &amp; 'Package Register'!J62 &amp; " mm")</x:f>
      </x:c>
      <x:c r="F240" s="81"/>
      <x:c r="G240" s="81"/>
      <x:c r="H240" s="81"/>
    </x:row>
    <x:row r="241" ht="22" customHeight="1">
      <x:c r="A241" s="93" t="str">
        <x:f>IF('Package Register'!A61="","","KEEP DRY | HANDLE WITH CARE")</x:f>
      </x:c>
      <x:c r="B241" s="81"/>
      <x:c r="C241" s="81"/>
      <x:c r="D241" s="81"/>
      <x:c r="E241" s="93" t="str">
        <x:f>IF('Package Register'!A62="","","KEEP DRY | HANDLE WITH CARE")</x:f>
      </x:c>
      <x:c r="F241" s="81"/>
      <x:c r="G241" s="81"/>
      <x:c r="H241" s="81"/>
    </x:row>
    <x:row r="242" ht="22" customHeight="1"/>
    <x:row r="243" ht="22" customHeight="1">
      <x:c r="A243" s="96" t="str">
        <x:f>IF('Package Register'!A63="","","IFS PACKAGE LABEL")</x:f>
      </x:c>
      <x:c r="B243" s="81"/>
      <x:c r="C243" s="81"/>
      <x:c r="D243" s="81"/>
      <x:c r="E243" s="96" t="str">
        <x:f>IF('Package Register'!A64="","","IFS PACKAGE LABEL")</x:f>
      </x:c>
      <x:c r="F243" s="81"/>
      <x:c r="G243" s="81"/>
      <x:c r="H243" s="81"/>
    </x:row>
    <x:row r="244" ht="22" customHeight="1">
      <x:c r="A244" s="81" t="str">
        <x:f>IF('Package Register'!A63="","",'START HERE'!B8 &amp; " | " &amp; 'Package Register'!C63)</x:f>
      </x:c>
      <x:c r="B244" s="81"/>
      <x:c r="C244" s="81"/>
      <x:c r="D244" s="81"/>
      <x:c r="E244" s="81" t="str">
        <x:f>IF('Package Register'!A64="","",'START HERE'!B8 &amp; " | " &amp; 'Package Register'!C64)</x:f>
      </x:c>
      <x:c r="F244" s="81"/>
      <x:c r="G244" s="81"/>
      <x:c r="H244" s="81"/>
    </x:row>
    <x:row r="245" ht="22" customHeight="1">
      <x:c r="A245" s="81" t="str">
        <x:f>IF('Package Register'!A63="","","PALLET: " &amp; 'Package Register'!B63)</x:f>
      </x:c>
      <x:c r="B245" s="81"/>
      <x:c r="C245" s="81"/>
      <x:c r="D245" s="81"/>
      <x:c r="E245" s="81" t="str">
        <x:f>IF('Package Register'!A64="","","PALLET: " &amp; 'Package Register'!B64)</x:f>
      </x:c>
      <x:c r="F245" s="81"/>
      <x:c r="G245" s="81"/>
      <x:c r="H245" s="81"/>
    </x:row>
    <x:row r="246" ht="22" customHeight="1">
      <x:c r="A246" s="81" t="str">
        <x:f>IF('Package Register'!A63="","",'Package Register'!D63)</x:f>
      </x:c>
      <x:c r="B246" s="81"/>
      <x:c r="C246" s="81"/>
      <x:c r="D246" s="81"/>
      <x:c r="E246" s="81" t="str">
        <x:f>IF('Package Register'!A64="","",'Package Register'!D64)</x:f>
      </x:c>
      <x:c r="F246" s="81"/>
      <x:c r="G246" s="81"/>
      <x:c r="H246" s="81"/>
    </x:row>
    <x:row r="247" ht="22" customHeight="1">
      <x:c r="A247" s="81" t="str">
        <x:f>IF('Package Register'!A63="","",'Package Register'!F63)</x:f>
      </x:c>
      <x:c r="B247" s="81"/>
      <x:c r="C247" s="81"/>
      <x:c r="D247" s="81"/>
      <x:c r="E247" s="81" t="str">
        <x:f>IF('Package Register'!A64="","",'Package Register'!F64)</x:f>
      </x:c>
      <x:c r="F247" s="81"/>
      <x:c r="G247" s="81"/>
      <x:c r="H247" s="81"/>
    </x:row>
    <x:row r="248" ht="22" customHeight="1">
      <x:c r="A248" s="81" t="str">
        <x:f>IF('Package Register'!A63="","","Approx weight: " &amp; ROUND('Package Register'!G63,0) &amp; " kg | Size: " &amp; 'Package Register'!H63 &amp; " x " &amp; 'Package Register'!I63 &amp; " x " &amp; 'Package Register'!J63 &amp; " mm")</x:f>
      </x:c>
      <x:c r="B248" s="81"/>
      <x:c r="C248" s="81"/>
      <x:c r="D248" s="81"/>
      <x:c r="E248" s="81" t="str">
        <x:f>IF('Package Register'!A64="","","Approx weight: " &amp; ROUND('Package Register'!G64,0) &amp; " kg | Size: " &amp; 'Package Register'!H64 &amp; " x " &amp; 'Package Register'!I64 &amp; " x " &amp; 'Package Register'!J64 &amp; " mm")</x:f>
      </x:c>
      <x:c r="F248" s="81"/>
      <x:c r="G248" s="81"/>
      <x:c r="H248" s="81"/>
    </x:row>
    <x:row r="249" ht="22" customHeight="1">
      <x:c r="A249" s="93" t="str">
        <x:f>IF('Package Register'!A63="","","KEEP DRY | HANDLE WITH CARE")</x:f>
      </x:c>
      <x:c r="B249" s="81"/>
      <x:c r="C249" s="81"/>
      <x:c r="D249" s="81"/>
      <x:c r="E249" s="93" t="str">
        <x:f>IF('Package Register'!A64="","","KEEP DRY | HANDLE WITH CARE")</x:f>
      </x:c>
      <x:c r="F249" s="81"/>
      <x:c r="G249" s="81"/>
      <x:c r="H249" s="81"/>
    </x:row>
    <x:row r="250" ht="22" customHeight="1"/>
    <x:row r="251" ht="22" customHeight="1">
      <x:c r="A251" s="96" t="str">
        <x:f>IF('Package Register'!A65="","","IFS PACKAGE LABEL")</x:f>
      </x:c>
      <x:c r="B251" s="81"/>
      <x:c r="C251" s="81"/>
      <x:c r="D251" s="81"/>
      <x:c r="E251" s="96" t="str">
        <x:f>IF('Package Register'!A66="","","IFS PACKAGE LABEL")</x:f>
      </x:c>
      <x:c r="F251" s="81"/>
      <x:c r="G251" s="81"/>
      <x:c r="H251" s="81"/>
    </x:row>
    <x:row r="252" ht="22" customHeight="1">
      <x:c r="A252" s="81" t="str">
        <x:f>IF('Package Register'!A65="","",'START HERE'!B8 &amp; " | " &amp; 'Package Register'!C65)</x:f>
      </x:c>
      <x:c r="B252" s="81"/>
      <x:c r="C252" s="81"/>
      <x:c r="D252" s="81"/>
      <x:c r="E252" s="81" t="str">
        <x:f>IF('Package Register'!A66="","",'START HERE'!B8 &amp; " | " &amp; 'Package Register'!C66)</x:f>
      </x:c>
      <x:c r="F252" s="81"/>
      <x:c r="G252" s="81"/>
      <x:c r="H252" s="81"/>
    </x:row>
    <x:row r="253" ht="22" customHeight="1">
      <x:c r="A253" s="81" t="str">
        <x:f>IF('Package Register'!A65="","","PALLET: " &amp; 'Package Register'!B65)</x:f>
      </x:c>
      <x:c r="B253" s="81"/>
      <x:c r="C253" s="81"/>
      <x:c r="D253" s="81"/>
      <x:c r="E253" s="81" t="str">
        <x:f>IF('Package Register'!A66="","","PALLET: " &amp; 'Package Register'!B66)</x:f>
      </x:c>
      <x:c r="F253" s="81"/>
      <x:c r="G253" s="81"/>
      <x:c r="H253" s="81"/>
    </x:row>
    <x:row r="254" ht="22" customHeight="1">
      <x:c r="A254" s="81" t="str">
        <x:f>IF('Package Register'!A65="","",'Package Register'!D65)</x:f>
      </x:c>
      <x:c r="B254" s="81"/>
      <x:c r="C254" s="81"/>
      <x:c r="D254" s="81"/>
      <x:c r="E254" s="81" t="str">
        <x:f>IF('Package Register'!A66="","",'Package Register'!D66)</x:f>
      </x:c>
      <x:c r="F254" s="81"/>
      <x:c r="G254" s="81"/>
      <x:c r="H254" s="81"/>
    </x:row>
    <x:row r="255" ht="22" customHeight="1">
      <x:c r="A255" s="81" t="str">
        <x:f>IF('Package Register'!A65="","",'Package Register'!F65)</x:f>
      </x:c>
      <x:c r="B255" s="81"/>
      <x:c r="C255" s="81"/>
      <x:c r="D255" s="81"/>
      <x:c r="E255" s="81" t="str">
        <x:f>IF('Package Register'!A66="","",'Package Register'!F66)</x:f>
      </x:c>
      <x:c r="F255" s="81"/>
      <x:c r="G255" s="81"/>
      <x:c r="H255" s="81"/>
    </x:row>
    <x:row r="256" ht="22" customHeight="1">
      <x:c r="A256" s="81" t="str">
        <x:f>IF('Package Register'!A65="","","Approx weight: " &amp; ROUND('Package Register'!G65,0) &amp; " kg | Size: " &amp; 'Package Register'!H65 &amp; " x " &amp; 'Package Register'!I65 &amp; " x " &amp; 'Package Register'!J65 &amp; " mm")</x:f>
      </x:c>
      <x:c r="B256" s="81"/>
      <x:c r="C256" s="81"/>
      <x:c r="D256" s="81"/>
      <x:c r="E256" s="81" t="str">
        <x:f>IF('Package Register'!A66="","","Approx weight: " &amp; ROUND('Package Register'!G66,0) &amp; " kg | Size: " &amp; 'Package Register'!H66 &amp; " x " &amp; 'Package Register'!I66 &amp; " x " &amp; 'Package Register'!J66 &amp; " mm")</x:f>
      </x:c>
      <x:c r="F256" s="81"/>
      <x:c r="G256" s="81"/>
      <x:c r="H256" s="81"/>
    </x:row>
    <x:row r="257" ht="22" customHeight="1">
      <x:c r="A257" s="93" t="str">
        <x:f>IF('Package Register'!A65="","","KEEP DRY | HANDLE WITH CARE")</x:f>
      </x:c>
      <x:c r="B257" s="81"/>
      <x:c r="C257" s="81"/>
      <x:c r="D257" s="81"/>
      <x:c r="E257" s="93" t="str">
        <x:f>IF('Package Register'!A66="","","KEEP DRY | HANDLE WITH CARE")</x:f>
      </x:c>
      <x:c r="F257" s="81"/>
      <x:c r="G257" s="81"/>
      <x:c r="H257" s="81"/>
    </x:row>
    <x:row r="258" ht="22" customHeight="1"/>
    <x:row r="259" ht="22" customHeight="1">
      <x:c r="A259" s="96" t="str">
        <x:f>IF('Package Register'!A67="","","IFS PACKAGE LABEL")</x:f>
      </x:c>
      <x:c r="B259" s="81"/>
      <x:c r="C259" s="81"/>
      <x:c r="D259" s="81"/>
      <x:c r="E259" s="96" t="str">
        <x:f>IF('Package Register'!A68="","","IFS PACKAGE LABEL")</x:f>
      </x:c>
      <x:c r="F259" s="81"/>
      <x:c r="G259" s="81"/>
      <x:c r="H259" s="81"/>
    </x:row>
    <x:row r="260" ht="22" customHeight="1">
      <x:c r="A260" s="81" t="str">
        <x:f>IF('Package Register'!A67="","",'START HERE'!B8 &amp; " | " &amp; 'Package Register'!C67)</x:f>
      </x:c>
      <x:c r="B260" s="81"/>
      <x:c r="C260" s="81"/>
      <x:c r="D260" s="81"/>
      <x:c r="E260" s="81" t="str">
        <x:f>IF('Package Register'!A68="","",'START HERE'!B8 &amp; " | " &amp; 'Package Register'!C68)</x:f>
      </x:c>
      <x:c r="F260" s="81"/>
      <x:c r="G260" s="81"/>
      <x:c r="H260" s="81"/>
    </x:row>
    <x:row r="261" ht="22" customHeight="1">
      <x:c r="A261" s="81" t="str">
        <x:f>IF('Package Register'!A67="","","PALLET: " &amp; 'Package Register'!B67)</x:f>
      </x:c>
      <x:c r="B261" s="81"/>
      <x:c r="C261" s="81"/>
      <x:c r="D261" s="81"/>
      <x:c r="E261" s="81" t="str">
        <x:f>IF('Package Register'!A68="","","PALLET: " &amp; 'Package Register'!B68)</x:f>
      </x:c>
      <x:c r="F261" s="81"/>
      <x:c r="G261" s="81"/>
      <x:c r="H261" s="81"/>
    </x:row>
    <x:row r="262" ht="22" customHeight="1">
      <x:c r="A262" s="81" t="str">
        <x:f>IF('Package Register'!A67="","",'Package Register'!D67)</x:f>
      </x:c>
      <x:c r="B262" s="81"/>
      <x:c r="C262" s="81"/>
      <x:c r="D262" s="81"/>
      <x:c r="E262" s="81" t="str">
        <x:f>IF('Package Register'!A68="","",'Package Register'!D68)</x:f>
      </x:c>
      <x:c r="F262" s="81"/>
      <x:c r="G262" s="81"/>
      <x:c r="H262" s="81"/>
    </x:row>
    <x:row r="263" ht="22" customHeight="1">
      <x:c r="A263" s="81" t="str">
        <x:f>IF('Package Register'!A67="","",'Package Register'!F67)</x:f>
      </x:c>
      <x:c r="B263" s="81"/>
      <x:c r="C263" s="81"/>
      <x:c r="D263" s="81"/>
      <x:c r="E263" s="81" t="str">
        <x:f>IF('Package Register'!A68="","",'Package Register'!F68)</x:f>
      </x:c>
      <x:c r="F263" s="81"/>
      <x:c r="G263" s="81"/>
      <x:c r="H263" s="81"/>
    </x:row>
    <x:row r="264" ht="22" customHeight="1">
      <x:c r="A264" s="81" t="str">
        <x:f>IF('Package Register'!A67="","","Approx weight: " &amp; ROUND('Package Register'!G67,0) &amp; " kg | Size: " &amp; 'Package Register'!H67 &amp; " x " &amp; 'Package Register'!I67 &amp; " x " &amp; 'Package Register'!J67 &amp; " mm")</x:f>
      </x:c>
      <x:c r="B264" s="81"/>
      <x:c r="C264" s="81"/>
      <x:c r="D264" s="81"/>
      <x:c r="E264" s="81" t="str">
        <x:f>IF('Package Register'!A68="","","Approx weight: " &amp; ROUND('Package Register'!G68,0) &amp; " kg | Size: " &amp; 'Package Register'!H68 &amp; " x " &amp; 'Package Register'!I68 &amp; " x " &amp; 'Package Register'!J68 &amp; " mm")</x:f>
      </x:c>
      <x:c r="F264" s="81"/>
      <x:c r="G264" s="81"/>
      <x:c r="H264" s="81"/>
    </x:row>
    <x:row r="265" ht="22" customHeight="1">
      <x:c r="A265" s="93" t="str">
        <x:f>IF('Package Register'!A67="","","KEEP DRY | HANDLE WITH CARE")</x:f>
      </x:c>
      <x:c r="B265" s="81"/>
      <x:c r="C265" s="81"/>
      <x:c r="D265" s="81"/>
      <x:c r="E265" s="93" t="str">
        <x:f>IF('Package Register'!A68="","","KEEP DRY | HANDLE WITH CARE")</x:f>
      </x:c>
      <x:c r="F265" s="81"/>
      <x:c r="G265" s="81"/>
      <x:c r="H265" s="81"/>
    </x:row>
    <x:row r="266" ht="22" customHeight="1"/>
    <x:row r="267" ht="22" customHeight="1">
      <x:c r="A267" s="96" t="str">
        <x:f>IF('Package Register'!A69="","","IFS PACKAGE LABEL")</x:f>
      </x:c>
      <x:c r="B267" s="81"/>
      <x:c r="C267" s="81"/>
      <x:c r="D267" s="81"/>
      <x:c r="E267" s="96" t="str">
        <x:f>IF('Package Register'!A70="","","IFS PACKAGE LABEL")</x:f>
      </x:c>
      <x:c r="F267" s="81"/>
      <x:c r="G267" s="81"/>
      <x:c r="H267" s="81"/>
    </x:row>
    <x:row r="268" ht="22" customHeight="1">
      <x:c r="A268" s="81" t="str">
        <x:f>IF('Package Register'!A69="","",'START HERE'!B8 &amp; " | " &amp; 'Package Register'!C69)</x:f>
      </x:c>
      <x:c r="B268" s="81"/>
      <x:c r="C268" s="81"/>
      <x:c r="D268" s="81"/>
      <x:c r="E268" s="81" t="str">
        <x:f>IF('Package Register'!A70="","",'START HERE'!B8 &amp; " | " &amp; 'Package Register'!C70)</x:f>
      </x:c>
      <x:c r="F268" s="81"/>
      <x:c r="G268" s="81"/>
      <x:c r="H268" s="81"/>
    </x:row>
    <x:row r="269" ht="22" customHeight="1">
      <x:c r="A269" s="81" t="str">
        <x:f>IF('Package Register'!A69="","","PALLET: " &amp; 'Package Register'!B69)</x:f>
      </x:c>
      <x:c r="B269" s="81"/>
      <x:c r="C269" s="81"/>
      <x:c r="D269" s="81"/>
      <x:c r="E269" s="81" t="str">
        <x:f>IF('Package Register'!A70="","","PALLET: " &amp; 'Package Register'!B70)</x:f>
      </x:c>
      <x:c r="F269" s="81"/>
      <x:c r="G269" s="81"/>
      <x:c r="H269" s="81"/>
    </x:row>
    <x:row r="270" ht="22" customHeight="1">
      <x:c r="A270" s="81" t="str">
        <x:f>IF('Package Register'!A69="","",'Package Register'!D69)</x:f>
      </x:c>
      <x:c r="B270" s="81"/>
      <x:c r="C270" s="81"/>
      <x:c r="D270" s="81"/>
      <x:c r="E270" s="81" t="str">
        <x:f>IF('Package Register'!A70="","",'Package Register'!D70)</x:f>
      </x:c>
      <x:c r="F270" s="81"/>
      <x:c r="G270" s="81"/>
      <x:c r="H270" s="81"/>
    </x:row>
    <x:row r="271" ht="22" customHeight="1">
      <x:c r="A271" s="81" t="str">
        <x:f>IF('Package Register'!A69="","",'Package Register'!F69)</x:f>
      </x:c>
      <x:c r="B271" s="81"/>
      <x:c r="C271" s="81"/>
      <x:c r="D271" s="81"/>
      <x:c r="E271" s="81" t="str">
        <x:f>IF('Package Register'!A70="","",'Package Register'!F70)</x:f>
      </x:c>
      <x:c r="F271" s="81"/>
      <x:c r="G271" s="81"/>
      <x:c r="H271" s="81"/>
    </x:row>
    <x:row r="272" ht="22" customHeight="1">
      <x:c r="A272" s="81" t="str">
        <x:f>IF('Package Register'!A69="","","Approx weight: " &amp; ROUND('Package Register'!G69,0) &amp; " kg | Size: " &amp; 'Package Register'!H69 &amp; " x " &amp; 'Package Register'!I69 &amp; " x " &amp; 'Package Register'!J69 &amp; " mm")</x:f>
      </x:c>
      <x:c r="B272" s="81"/>
      <x:c r="C272" s="81"/>
      <x:c r="D272" s="81"/>
      <x:c r="E272" s="81" t="str">
        <x:f>IF('Package Register'!A70="","","Approx weight: " &amp; ROUND('Package Register'!G70,0) &amp; " kg | Size: " &amp; 'Package Register'!H70 &amp; " x " &amp; 'Package Register'!I70 &amp; " x " &amp; 'Package Register'!J70 &amp; " mm")</x:f>
      </x:c>
      <x:c r="F272" s="81"/>
      <x:c r="G272" s="81"/>
      <x:c r="H272" s="81"/>
    </x:row>
    <x:row r="273" ht="22" customHeight="1">
      <x:c r="A273" s="93" t="str">
        <x:f>IF('Package Register'!A69="","","KEEP DRY | HANDLE WITH CARE")</x:f>
      </x:c>
      <x:c r="B273" s="81"/>
      <x:c r="C273" s="81"/>
      <x:c r="D273" s="81"/>
      <x:c r="E273" s="93" t="str">
        <x:f>IF('Package Register'!A70="","","KEEP DRY | HANDLE WITH CARE")</x:f>
      </x:c>
      <x:c r="F273" s="81"/>
      <x:c r="G273" s="81"/>
      <x:c r="H273" s="81"/>
    </x:row>
    <x:row r="274" ht="22" customHeight="1"/>
    <x:row r="275" ht="22" customHeight="1">
      <x:c r="A275" s="96" t="str">
        <x:f>IF('Package Register'!A71="","","IFS PACKAGE LABEL")</x:f>
      </x:c>
      <x:c r="B275" s="81"/>
      <x:c r="C275" s="81"/>
      <x:c r="D275" s="81"/>
      <x:c r="E275" s="96" t="str">
        <x:f>IF('Package Register'!A72="","","IFS PACKAGE LABEL")</x:f>
      </x:c>
      <x:c r="F275" s="81"/>
      <x:c r="G275" s="81"/>
      <x:c r="H275" s="81"/>
    </x:row>
    <x:row r="276" ht="22" customHeight="1">
      <x:c r="A276" s="81" t="str">
        <x:f>IF('Package Register'!A71="","",'START HERE'!B8 &amp; " | " &amp; 'Package Register'!C71)</x:f>
      </x:c>
      <x:c r="B276" s="81"/>
      <x:c r="C276" s="81"/>
      <x:c r="D276" s="81"/>
      <x:c r="E276" s="81" t="str">
        <x:f>IF('Package Register'!A72="","",'START HERE'!B8 &amp; " | " &amp; 'Package Register'!C72)</x:f>
      </x:c>
      <x:c r="F276" s="81"/>
      <x:c r="G276" s="81"/>
      <x:c r="H276" s="81"/>
    </x:row>
    <x:row r="277" ht="22" customHeight="1">
      <x:c r="A277" s="81" t="str">
        <x:f>IF('Package Register'!A71="","","PALLET: " &amp; 'Package Register'!B71)</x:f>
      </x:c>
      <x:c r="B277" s="81"/>
      <x:c r="C277" s="81"/>
      <x:c r="D277" s="81"/>
      <x:c r="E277" s="81" t="str">
        <x:f>IF('Package Register'!A72="","","PALLET: " &amp; 'Package Register'!B72)</x:f>
      </x:c>
      <x:c r="F277" s="81"/>
      <x:c r="G277" s="81"/>
      <x:c r="H277" s="81"/>
    </x:row>
    <x:row r="278" ht="22" customHeight="1">
      <x:c r="A278" s="81" t="str">
        <x:f>IF('Package Register'!A71="","",'Package Register'!D71)</x:f>
      </x:c>
      <x:c r="B278" s="81"/>
      <x:c r="C278" s="81"/>
      <x:c r="D278" s="81"/>
      <x:c r="E278" s="81" t="str">
        <x:f>IF('Package Register'!A72="","",'Package Register'!D72)</x:f>
      </x:c>
      <x:c r="F278" s="81"/>
      <x:c r="G278" s="81"/>
      <x:c r="H278" s="81"/>
    </x:row>
    <x:row r="279" ht="22" customHeight="1">
      <x:c r="A279" s="81" t="str">
        <x:f>IF('Package Register'!A71="","",'Package Register'!F71)</x:f>
      </x:c>
      <x:c r="B279" s="81"/>
      <x:c r="C279" s="81"/>
      <x:c r="D279" s="81"/>
      <x:c r="E279" s="81" t="str">
        <x:f>IF('Package Register'!A72="","",'Package Register'!F72)</x:f>
      </x:c>
      <x:c r="F279" s="81"/>
      <x:c r="G279" s="81"/>
      <x:c r="H279" s="81"/>
    </x:row>
    <x:row r="280" ht="22" customHeight="1">
      <x:c r="A280" s="81" t="str">
        <x:f>IF('Package Register'!A71="","","Approx weight: " &amp; ROUND('Package Register'!G71,0) &amp; " kg | Size: " &amp; 'Package Register'!H71 &amp; " x " &amp; 'Package Register'!I71 &amp; " x " &amp; 'Package Register'!J71 &amp; " mm")</x:f>
      </x:c>
      <x:c r="B280" s="81"/>
      <x:c r="C280" s="81"/>
      <x:c r="D280" s="81"/>
      <x:c r="E280" s="81" t="str">
        <x:f>IF('Package Register'!A72="","","Approx weight: " &amp; ROUND('Package Register'!G72,0) &amp; " kg | Size: " &amp; 'Package Register'!H72 &amp; " x " &amp; 'Package Register'!I72 &amp; " x " &amp; 'Package Register'!J72 &amp; " mm")</x:f>
      </x:c>
      <x:c r="F280" s="81"/>
      <x:c r="G280" s="81"/>
      <x:c r="H280" s="81"/>
    </x:row>
    <x:row r="281" ht="22" customHeight="1">
      <x:c r="A281" s="93" t="str">
        <x:f>IF('Package Register'!A71="","","KEEP DRY | HANDLE WITH CARE")</x:f>
      </x:c>
      <x:c r="B281" s="81"/>
      <x:c r="C281" s="81"/>
      <x:c r="D281" s="81"/>
      <x:c r="E281" s="93" t="str">
        <x:f>IF('Package Register'!A72="","","KEEP DRY | HANDLE WITH CARE")</x:f>
      </x:c>
      <x:c r="F281" s="81"/>
      <x:c r="G281" s="81"/>
      <x:c r="H281" s="81"/>
    </x:row>
    <x:row r="282" ht="22" customHeight="1"/>
    <x:row r="283" ht="22" customHeight="1">
      <x:c r="A283" s="96" t="str">
        <x:f>IF('Package Register'!A73="","","IFS PACKAGE LABEL")</x:f>
      </x:c>
      <x:c r="B283" s="81"/>
      <x:c r="C283" s="81"/>
      <x:c r="D283" s="81"/>
      <x:c r="E283" s="96" t="str">
        <x:f>IF('Package Register'!A74="","","IFS PACKAGE LABEL")</x:f>
      </x:c>
      <x:c r="F283" s="81"/>
      <x:c r="G283" s="81"/>
      <x:c r="H283" s="81"/>
    </x:row>
    <x:row r="284" ht="22" customHeight="1">
      <x:c r="A284" s="81" t="str">
        <x:f>IF('Package Register'!A73="","",'START HERE'!B8 &amp; " | " &amp; 'Package Register'!C73)</x:f>
      </x:c>
      <x:c r="B284" s="81"/>
      <x:c r="C284" s="81"/>
      <x:c r="D284" s="81"/>
      <x:c r="E284" s="81" t="str">
        <x:f>IF('Package Register'!A74="","",'START HERE'!B8 &amp; " | " &amp; 'Package Register'!C74)</x:f>
      </x:c>
      <x:c r="F284" s="81"/>
      <x:c r="G284" s="81"/>
      <x:c r="H284" s="81"/>
    </x:row>
    <x:row r="285" ht="22" customHeight="1">
      <x:c r="A285" s="81" t="str">
        <x:f>IF('Package Register'!A73="","","PALLET: " &amp; 'Package Register'!B73)</x:f>
      </x:c>
      <x:c r="B285" s="81"/>
      <x:c r="C285" s="81"/>
      <x:c r="D285" s="81"/>
      <x:c r="E285" s="81" t="str">
        <x:f>IF('Package Register'!A74="","","PALLET: " &amp; 'Package Register'!B74)</x:f>
      </x:c>
      <x:c r="F285" s="81"/>
      <x:c r="G285" s="81"/>
      <x:c r="H285" s="81"/>
    </x:row>
    <x:row r="286" ht="22" customHeight="1">
      <x:c r="A286" s="81" t="str">
        <x:f>IF('Package Register'!A73="","",'Package Register'!D73)</x:f>
      </x:c>
      <x:c r="B286" s="81"/>
      <x:c r="C286" s="81"/>
      <x:c r="D286" s="81"/>
      <x:c r="E286" s="81" t="str">
        <x:f>IF('Package Register'!A74="","",'Package Register'!D74)</x:f>
      </x:c>
      <x:c r="F286" s="81"/>
      <x:c r="G286" s="81"/>
      <x:c r="H286" s="81"/>
    </x:row>
    <x:row r="287" ht="22" customHeight="1">
      <x:c r="A287" s="81" t="str">
        <x:f>IF('Package Register'!A73="","",'Package Register'!F73)</x:f>
      </x:c>
      <x:c r="B287" s="81"/>
      <x:c r="C287" s="81"/>
      <x:c r="D287" s="81"/>
      <x:c r="E287" s="81" t="str">
        <x:f>IF('Package Register'!A74="","",'Package Register'!F74)</x:f>
      </x:c>
      <x:c r="F287" s="81"/>
      <x:c r="G287" s="81"/>
      <x:c r="H287" s="81"/>
    </x:row>
    <x:row r="288" ht="22" customHeight="1">
      <x:c r="A288" s="81" t="str">
        <x:f>IF('Package Register'!A73="","","Approx weight: " &amp; ROUND('Package Register'!G73,0) &amp; " kg | Size: " &amp; 'Package Register'!H73 &amp; " x " &amp; 'Package Register'!I73 &amp; " x " &amp; 'Package Register'!J73 &amp; " mm")</x:f>
      </x:c>
      <x:c r="B288" s="81"/>
      <x:c r="C288" s="81"/>
      <x:c r="D288" s="81"/>
      <x:c r="E288" s="81" t="str">
        <x:f>IF('Package Register'!A74="","","Approx weight: " &amp; ROUND('Package Register'!G74,0) &amp; " kg | Size: " &amp; 'Package Register'!H74 &amp; " x " &amp; 'Package Register'!I74 &amp; " x " &amp; 'Package Register'!J74 &amp; " mm")</x:f>
      </x:c>
      <x:c r="F288" s="81"/>
      <x:c r="G288" s="81"/>
      <x:c r="H288" s="81"/>
    </x:row>
    <x:row r="289" ht="22" customHeight="1">
      <x:c r="A289" s="93" t="str">
        <x:f>IF('Package Register'!A73="","","KEEP DRY | HANDLE WITH CARE")</x:f>
      </x:c>
      <x:c r="B289" s="81"/>
      <x:c r="C289" s="81"/>
      <x:c r="D289" s="81"/>
      <x:c r="E289" s="93" t="str">
        <x:f>IF('Package Register'!A74="","","KEEP DRY | HANDLE WITH CARE")</x:f>
      </x:c>
      <x:c r="F289" s="81"/>
      <x:c r="G289" s="81"/>
      <x:c r="H289" s="81"/>
    </x:row>
    <x:row r="290" ht="22" customHeight="1"/>
    <x:row r="291" ht="22" customHeight="1">
      <x:c r="A291" s="96" t="str">
        <x:f>IF('Package Register'!A75="","","IFS PACKAGE LABEL")</x:f>
      </x:c>
      <x:c r="B291" s="81"/>
      <x:c r="C291" s="81"/>
      <x:c r="D291" s="81"/>
      <x:c r="E291" s="96" t="str">
        <x:f>IF('Package Register'!A76="","","IFS PACKAGE LABEL")</x:f>
      </x:c>
      <x:c r="F291" s="81"/>
      <x:c r="G291" s="81"/>
      <x:c r="H291" s="81"/>
    </x:row>
    <x:row r="292" ht="22" customHeight="1">
      <x:c r="A292" s="81" t="str">
        <x:f>IF('Package Register'!A75="","",'START HERE'!B8 &amp; " | " &amp; 'Package Register'!C75)</x:f>
      </x:c>
      <x:c r="B292" s="81"/>
      <x:c r="C292" s="81"/>
      <x:c r="D292" s="81"/>
      <x:c r="E292" s="81" t="str">
        <x:f>IF('Package Register'!A76="","",'START HERE'!B8 &amp; " | " &amp; 'Package Register'!C76)</x:f>
      </x:c>
      <x:c r="F292" s="81"/>
      <x:c r="G292" s="81"/>
      <x:c r="H292" s="81"/>
    </x:row>
    <x:row r="293" ht="22" customHeight="1">
      <x:c r="A293" s="81" t="str">
        <x:f>IF('Package Register'!A75="","","PALLET: " &amp; 'Package Register'!B75)</x:f>
      </x:c>
      <x:c r="B293" s="81"/>
      <x:c r="C293" s="81"/>
      <x:c r="D293" s="81"/>
      <x:c r="E293" s="81" t="str">
        <x:f>IF('Package Register'!A76="","","PALLET: " &amp; 'Package Register'!B76)</x:f>
      </x:c>
      <x:c r="F293" s="81"/>
      <x:c r="G293" s="81"/>
      <x:c r="H293" s="81"/>
    </x:row>
    <x:row r="294" ht="22" customHeight="1">
      <x:c r="A294" s="81" t="str">
        <x:f>IF('Package Register'!A75="","",'Package Register'!D75)</x:f>
      </x:c>
      <x:c r="B294" s="81"/>
      <x:c r="C294" s="81"/>
      <x:c r="D294" s="81"/>
      <x:c r="E294" s="81" t="str">
        <x:f>IF('Package Register'!A76="","",'Package Register'!D76)</x:f>
      </x:c>
      <x:c r="F294" s="81"/>
      <x:c r="G294" s="81"/>
      <x:c r="H294" s="81"/>
    </x:row>
    <x:row r="295" ht="22" customHeight="1">
      <x:c r="A295" s="81" t="str">
        <x:f>IF('Package Register'!A75="","",'Package Register'!F75)</x:f>
      </x:c>
      <x:c r="B295" s="81"/>
      <x:c r="C295" s="81"/>
      <x:c r="D295" s="81"/>
      <x:c r="E295" s="81" t="str">
        <x:f>IF('Package Register'!A76="","",'Package Register'!F76)</x:f>
      </x:c>
      <x:c r="F295" s="81"/>
      <x:c r="G295" s="81"/>
      <x:c r="H295" s="81"/>
    </x:row>
    <x:row r="296" ht="22" customHeight="1">
      <x:c r="A296" s="81" t="str">
        <x:f>IF('Package Register'!A75="","","Approx weight: " &amp; ROUND('Package Register'!G75,0) &amp; " kg | Size: " &amp; 'Package Register'!H75 &amp; " x " &amp; 'Package Register'!I75 &amp; " x " &amp; 'Package Register'!J75 &amp; " mm")</x:f>
      </x:c>
      <x:c r="B296" s="81"/>
      <x:c r="C296" s="81"/>
      <x:c r="D296" s="81"/>
      <x:c r="E296" s="81" t="str">
        <x:f>IF('Package Register'!A76="","","Approx weight: " &amp; ROUND('Package Register'!G76,0) &amp; " kg | Size: " &amp; 'Package Register'!H76 &amp; " x " &amp; 'Package Register'!I76 &amp; " x " &amp; 'Package Register'!J76 &amp; " mm")</x:f>
      </x:c>
      <x:c r="F296" s="81"/>
      <x:c r="G296" s="81"/>
      <x:c r="H296" s="81"/>
    </x:row>
    <x:row r="297" ht="22" customHeight="1">
      <x:c r="A297" s="93" t="str">
        <x:f>IF('Package Register'!A75="","","KEEP DRY | HANDLE WITH CARE")</x:f>
      </x:c>
      <x:c r="B297" s="81"/>
      <x:c r="C297" s="81"/>
      <x:c r="D297" s="81"/>
      <x:c r="E297" s="93" t="str">
        <x:f>IF('Package Register'!A76="","","KEEP DRY | HANDLE WITH CARE")</x:f>
      </x:c>
      <x:c r="F297" s="81"/>
      <x:c r="G297" s="81"/>
      <x:c r="H297" s="81"/>
    </x:row>
    <x:row r="298" ht="22" customHeight="1"/>
    <x:row r="299" ht="22" customHeight="1">
      <x:c r="A299" s="96" t="str">
        <x:f>IF('Package Register'!A77="","","IFS PACKAGE LABEL")</x:f>
      </x:c>
      <x:c r="B299" s="81"/>
      <x:c r="C299" s="81"/>
      <x:c r="D299" s="81"/>
      <x:c r="E299" s="96" t="str">
        <x:f>IF('Package Register'!A78="","","IFS PACKAGE LABEL")</x:f>
      </x:c>
      <x:c r="F299" s="81"/>
      <x:c r="G299" s="81"/>
      <x:c r="H299" s="81"/>
    </x:row>
    <x:row r="300" ht="22" customHeight="1">
      <x:c r="A300" s="81" t="str">
        <x:f>IF('Package Register'!A77="","",'START HERE'!B8 &amp; " | " &amp; 'Package Register'!C77)</x:f>
      </x:c>
      <x:c r="B300" s="81"/>
      <x:c r="C300" s="81"/>
      <x:c r="D300" s="81"/>
      <x:c r="E300" s="81" t="str">
        <x:f>IF('Package Register'!A78="","",'START HERE'!B8 &amp; " | " &amp; 'Package Register'!C78)</x:f>
      </x:c>
      <x:c r="F300" s="81"/>
      <x:c r="G300" s="81"/>
      <x:c r="H300" s="81"/>
    </x:row>
    <x:row r="301" ht="22" customHeight="1">
      <x:c r="A301" s="81" t="str">
        <x:f>IF('Package Register'!A77="","","PALLET: " &amp; 'Package Register'!B77)</x:f>
      </x:c>
      <x:c r="B301" s="81"/>
      <x:c r="C301" s="81"/>
      <x:c r="D301" s="81"/>
      <x:c r="E301" s="81" t="str">
        <x:f>IF('Package Register'!A78="","","PALLET: " &amp; 'Package Register'!B78)</x:f>
      </x:c>
      <x:c r="F301" s="81"/>
      <x:c r="G301" s="81"/>
      <x:c r="H301" s="81"/>
    </x:row>
    <x:row r="302" ht="22" customHeight="1">
      <x:c r="A302" s="81" t="str">
        <x:f>IF('Package Register'!A77="","",'Package Register'!D77)</x:f>
      </x:c>
      <x:c r="B302" s="81"/>
      <x:c r="C302" s="81"/>
      <x:c r="D302" s="81"/>
      <x:c r="E302" s="81" t="str">
        <x:f>IF('Package Register'!A78="","",'Package Register'!D78)</x:f>
      </x:c>
      <x:c r="F302" s="81"/>
      <x:c r="G302" s="81"/>
      <x:c r="H302" s="81"/>
    </x:row>
    <x:row r="303" ht="22" customHeight="1">
      <x:c r="A303" s="81" t="str">
        <x:f>IF('Package Register'!A77="","",'Package Register'!F77)</x:f>
      </x:c>
      <x:c r="B303" s="81"/>
      <x:c r="C303" s="81"/>
      <x:c r="D303" s="81"/>
      <x:c r="E303" s="81" t="str">
        <x:f>IF('Package Register'!A78="","",'Package Register'!F78)</x:f>
      </x:c>
      <x:c r="F303" s="81"/>
      <x:c r="G303" s="81"/>
      <x:c r="H303" s="81"/>
    </x:row>
    <x:row r="304" ht="22" customHeight="1">
      <x:c r="A304" s="81" t="str">
        <x:f>IF('Package Register'!A77="","","Approx weight: " &amp; ROUND('Package Register'!G77,0) &amp; " kg | Size: " &amp; 'Package Register'!H77 &amp; " x " &amp; 'Package Register'!I77 &amp; " x " &amp; 'Package Register'!J77 &amp; " mm")</x:f>
      </x:c>
      <x:c r="B304" s="81"/>
      <x:c r="C304" s="81"/>
      <x:c r="D304" s="81"/>
      <x:c r="E304" s="81" t="str">
        <x:f>IF('Package Register'!A78="","","Approx weight: " &amp; ROUND('Package Register'!G78,0) &amp; " kg | Size: " &amp; 'Package Register'!H78 &amp; " x " &amp; 'Package Register'!I78 &amp; " x " &amp; 'Package Register'!J78 &amp; " mm")</x:f>
      </x:c>
      <x:c r="F304" s="81"/>
      <x:c r="G304" s="81"/>
      <x:c r="H304" s="81"/>
    </x:row>
    <x:row r="305" ht="22" customHeight="1">
      <x:c r="A305" s="93" t="str">
        <x:f>IF('Package Register'!A77="","","KEEP DRY | HANDLE WITH CARE")</x:f>
      </x:c>
      <x:c r="B305" s="81"/>
      <x:c r="C305" s="81"/>
      <x:c r="D305" s="81"/>
      <x:c r="E305" s="93" t="str">
        <x:f>IF('Package Register'!A78="","","KEEP DRY | HANDLE WITH CARE")</x:f>
      </x:c>
      <x:c r="F305" s="81"/>
      <x:c r="G305" s="81"/>
      <x:c r="H305" s="81"/>
    </x:row>
    <x:row r="306" ht="22" customHeight="1"/>
    <x:row r="307" ht="22" customHeight="1">
      <x:c r="A307" s="96" t="str">
        <x:f>IF('Package Register'!A79="","","IFS PACKAGE LABEL")</x:f>
      </x:c>
      <x:c r="B307" s="81"/>
      <x:c r="C307" s="81"/>
      <x:c r="D307" s="81"/>
      <x:c r="E307" s="96" t="str">
        <x:f>IF('Package Register'!A80="","","IFS PACKAGE LABEL")</x:f>
      </x:c>
      <x:c r="F307" s="81"/>
      <x:c r="G307" s="81"/>
      <x:c r="H307" s="81"/>
    </x:row>
    <x:row r="308" ht="22" customHeight="1">
      <x:c r="A308" s="81" t="str">
        <x:f>IF('Package Register'!A79="","",'START HERE'!B8 &amp; " | " &amp; 'Package Register'!C79)</x:f>
      </x:c>
      <x:c r="B308" s="81"/>
      <x:c r="C308" s="81"/>
      <x:c r="D308" s="81"/>
      <x:c r="E308" s="81" t="str">
        <x:f>IF('Package Register'!A80="","",'START HERE'!B8 &amp; " | " &amp; 'Package Register'!C80)</x:f>
      </x:c>
      <x:c r="F308" s="81"/>
      <x:c r="G308" s="81"/>
      <x:c r="H308" s="81"/>
    </x:row>
    <x:row r="309" ht="22" customHeight="1">
      <x:c r="A309" s="81" t="str">
        <x:f>IF('Package Register'!A79="","","PALLET: " &amp; 'Package Register'!B79)</x:f>
      </x:c>
      <x:c r="B309" s="81"/>
      <x:c r="C309" s="81"/>
      <x:c r="D309" s="81"/>
      <x:c r="E309" s="81" t="str">
        <x:f>IF('Package Register'!A80="","","PALLET: " &amp; 'Package Register'!B80)</x:f>
      </x:c>
      <x:c r="F309" s="81"/>
      <x:c r="G309" s="81"/>
      <x:c r="H309" s="81"/>
    </x:row>
    <x:row r="310" ht="22" customHeight="1">
      <x:c r="A310" s="81" t="str">
        <x:f>IF('Package Register'!A79="","",'Package Register'!D79)</x:f>
      </x:c>
      <x:c r="B310" s="81"/>
      <x:c r="C310" s="81"/>
      <x:c r="D310" s="81"/>
      <x:c r="E310" s="81" t="str">
        <x:f>IF('Package Register'!A80="","",'Package Register'!D80)</x:f>
      </x:c>
      <x:c r="F310" s="81"/>
      <x:c r="G310" s="81"/>
      <x:c r="H310" s="81"/>
    </x:row>
    <x:row r="311" ht="22" customHeight="1">
      <x:c r="A311" s="81" t="str">
        <x:f>IF('Package Register'!A79="","",'Package Register'!F79)</x:f>
      </x:c>
      <x:c r="B311" s="81"/>
      <x:c r="C311" s="81"/>
      <x:c r="D311" s="81"/>
      <x:c r="E311" s="81" t="str">
        <x:f>IF('Package Register'!A80="","",'Package Register'!F80)</x:f>
      </x:c>
      <x:c r="F311" s="81"/>
      <x:c r="G311" s="81"/>
      <x:c r="H311" s="81"/>
    </x:row>
    <x:row r="312" ht="22" customHeight="1">
      <x:c r="A312" s="81" t="str">
        <x:f>IF('Package Register'!A79="","","Approx weight: " &amp; ROUND('Package Register'!G79,0) &amp; " kg | Size: " &amp; 'Package Register'!H79 &amp; " x " &amp; 'Package Register'!I79 &amp; " x " &amp; 'Package Register'!J79 &amp; " mm")</x:f>
      </x:c>
      <x:c r="B312" s="81"/>
      <x:c r="C312" s="81"/>
      <x:c r="D312" s="81"/>
      <x:c r="E312" s="81" t="str">
        <x:f>IF('Package Register'!A80="","","Approx weight: " &amp; ROUND('Package Register'!G80,0) &amp; " kg | Size: " &amp; 'Package Register'!H80 &amp; " x " &amp; 'Package Register'!I80 &amp; " x " &amp; 'Package Register'!J80 &amp; " mm")</x:f>
      </x:c>
      <x:c r="F312" s="81"/>
      <x:c r="G312" s="81"/>
      <x:c r="H312" s="81"/>
    </x:row>
    <x:row r="313" ht="22" customHeight="1">
      <x:c r="A313" s="93" t="str">
        <x:f>IF('Package Register'!A79="","","KEEP DRY | HANDLE WITH CARE")</x:f>
      </x:c>
      <x:c r="B313" s="81"/>
      <x:c r="C313" s="81"/>
      <x:c r="D313" s="81"/>
      <x:c r="E313" s="93" t="str">
        <x:f>IF('Package Register'!A80="","","KEEP DRY | HANDLE WITH CARE")</x:f>
      </x:c>
      <x:c r="F313" s="81"/>
      <x:c r="G313" s="81"/>
      <x:c r="H313" s="81"/>
    </x:row>
    <x:row r="314" ht="22" customHeight="1"/>
    <x:row r="315" ht="22" customHeight="1">
      <x:c r="A315" s="96" t="str">
        <x:f>IF('Package Register'!A81="","","IFS PACKAGE LABEL")</x:f>
      </x:c>
      <x:c r="B315" s="81"/>
      <x:c r="C315" s="81"/>
      <x:c r="D315" s="81"/>
      <x:c r="E315" s="96" t="str">
        <x:f>IF('Package Register'!A82="","","IFS PACKAGE LABEL")</x:f>
      </x:c>
      <x:c r="F315" s="81"/>
      <x:c r="G315" s="81"/>
      <x:c r="H315" s="81"/>
    </x:row>
    <x:row r="316" ht="22" customHeight="1">
      <x:c r="A316" s="81" t="str">
        <x:f>IF('Package Register'!A81="","",'START HERE'!B8 &amp; " | " &amp; 'Package Register'!C81)</x:f>
      </x:c>
      <x:c r="B316" s="81"/>
      <x:c r="C316" s="81"/>
      <x:c r="D316" s="81"/>
      <x:c r="E316" s="81" t="str">
        <x:f>IF('Package Register'!A82="","",'START HERE'!B8 &amp; " | " &amp; 'Package Register'!C82)</x:f>
      </x:c>
      <x:c r="F316" s="81"/>
      <x:c r="G316" s="81"/>
      <x:c r="H316" s="81"/>
    </x:row>
    <x:row r="317" ht="22" customHeight="1">
      <x:c r="A317" s="81" t="str">
        <x:f>IF('Package Register'!A81="","","PALLET: " &amp; 'Package Register'!B81)</x:f>
      </x:c>
      <x:c r="B317" s="81"/>
      <x:c r="C317" s="81"/>
      <x:c r="D317" s="81"/>
      <x:c r="E317" s="81" t="str">
        <x:f>IF('Package Register'!A82="","","PALLET: " &amp; 'Package Register'!B82)</x:f>
      </x:c>
      <x:c r="F317" s="81"/>
      <x:c r="G317" s="81"/>
      <x:c r="H317" s="81"/>
    </x:row>
    <x:row r="318" ht="22" customHeight="1">
      <x:c r="A318" s="81" t="str">
        <x:f>IF('Package Register'!A81="","",'Package Register'!D81)</x:f>
      </x:c>
      <x:c r="B318" s="81"/>
      <x:c r="C318" s="81"/>
      <x:c r="D318" s="81"/>
      <x:c r="E318" s="81" t="str">
        <x:f>IF('Package Register'!A82="","",'Package Register'!D82)</x:f>
      </x:c>
      <x:c r="F318" s="81"/>
      <x:c r="G318" s="81"/>
      <x:c r="H318" s="81"/>
    </x:row>
    <x:row r="319" ht="22" customHeight="1">
      <x:c r="A319" s="81" t="str">
        <x:f>IF('Package Register'!A81="","",'Package Register'!F81)</x:f>
      </x:c>
      <x:c r="B319" s="81"/>
      <x:c r="C319" s="81"/>
      <x:c r="D319" s="81"/>
      <x:c r="E319" s="81" t="str">
        <x:f>IF('Package Register'!A82="","",'Package Register'!F82)</x:f>
      </x:c>
      <x:c r="F319" s="81"/>
      <x:c r="G319" s="81"/>
      <x:c r="H319" s="81"/>
    </x:row>
    <x:row r="320" ht="22" customHeight="1">
      <x:c r="A320" s="81" t="str">
        <x:f>IF('Package Register'!A81="","","Approx weight: " &amp; ROUND('Package Register'!G81,0) &amp; " kg | Size: " &amp; 'Package Register'!H81 &amp; " x " &amp; 'Package Register'!I81 &amp; " x " &amp; 'Package Register'!J81 &amp; " mm")</x:f>
      </x:c>
      <x:c r="B320" s="81"/>
      <x:c r="C320" s="81"/>
      <x:c r="D320" s="81"/>
      <x:c r="E320" s="81" t="str">
        <x:f>IF('Package Register'!A82="","","Approx weight: " &amp; ROUND('Package Register'!G82,0) &amp; " kg | Size: " &amp; 'Package Register'!H82 &amp; " x " &amp; 'Package Register'!I82 &amp; " x " &amp; 'Package Register'!J82 &amp; " mm")</x:f>
      </x:c>
      <x:c r="F320" s="81"/>
      <x:c r="G320" s="81"/>
      <x:c r="H320" s="81"/>
    </x:row>
    <x:row r="321" ht="22" customHeight="1">
      <x:c r="A321" s="93" t="str">
        <x:f>IF('Package Register'!A81="","","KEEP DRY | HANDLE WITH CARE")</x:f>
      </x:c>
      <x:c r="B321" s="81"/>
      <x:c r="C321" s="81"/>
      <x:c r="D321" s="81"/>
      <x:c r="E321" s="93" t="str">
        <x:f>IF('Package Register'!A82="","","KEEP DRY | HANDLE WITH CARE")</x:f>
      </x:c>
      <x:c r="F321" s="81"/>
      <x:c r="G321" s="81"/>
      <x:c r="H321" s="81"/>
    </x:row>
    <x:row r="322" ht="22" customHeight="1"/>
    <x:row r="323" ht="22" customHeight="1"/>
  </x:sheetData>
  <x:mergeCells>
    <x:mergeCell ref="A1:H1"/>
    <x:mergeCell ref="A3:D3"/>
    <x:mergeCell ref="A4:D4"/>
    <x:mergeCell ref="A5:D5"/>
    <x:mergeCell ref="A6:D6"/>
    <x:mergeCell ref="A7:D7"/>
    <x:mergeCell ref="A8:D8"/>
    <x:mergeCell ref="A9:D9"/>
    <x:mergeCell ref="E3:H3"/>
    <x:mergeCell ref="E4:H4"/>
    <x:mergeCell ref="E5:H5"/>
    <x:mergeCell ref="E6:H6"/>
    <x:mergeCell ref="E7:H7"/>
    <x:mergeCell ref="E8:H8"/>
    <x:mergeCell ref="E9:H9"/>
    <x:mergeCell ref="A11:D11"/>
    <x:mergeCell ref="A12:D12"/>
    <x:mergeCell ref="A13:D13"/>
    <x:mergeCell ref="A14:D14"/>
    <x:mergeCell ref="A15:D15"/>
    <x:mergeCell ref="A16:D16"/>
    <x:mergeCell ref="A17:D17"/>
    <x:mergeCell ref="E11:H11"/>
    <x:mergeCell ref="E12:H12"/>
    <x:mergeCell ref="E13:H13"/>
    <x:mergeCell ref="E14:H14"/>
    <x:mergeCell ref="E15:H15"/>
    <x:mergeCell ref="E16:H16"/>
    <x:mergeCell ref="E17:H17"/>
    <x:mergeCell ref="A19:D19"/>
    <x:mergeCell ref="A20:D20"/>
    <x:mergeCell ref="A21:D21"/>
    <x:mergeCell ref="A22:D22"/>
    <x:mergeCell ref="A23:D23"/>
    <x:mergeCell ref="A24:D24"/>
    <x:mergeCell ref="A25:D25"/>
    <x:mergeCell ref="E19:H19"/>
    <x:mergeCell ref="E20:H20"/>
    <x:mergeCell ref="E21:H21"/>
    <x:mergeCell ref="E22:H22"/>
    <x:mergeCell ref="E23:H23"/>
    <x:mergeCell ref="E24:H24"/>
    <x:mergeCell ref="E25:H25"/>
    <x:mergeCell ref="A27:D27"/>
    <x:mergeCell ref="A28:D28"/>
    <x:mergeCell ref="A29:D29"/>
    <x:mergeCell ref="A30:D30"/>
    <x:mergeCell ref="A31:D31"/>
    <x:mergeCell ref="A32:D32"/>
    <x:mergeCell ref="A33:D33"/>
    <x:mergeCell ref="E27:H27"/>
    <x:mergeCell ref="E28:H28"/>
    <x:mergeCell ref="E29:H29"/>
    <x:mergeCell ref="E30:H30"/>
    <x:mergeCell ref="E31:H31"/>
    <x:mergeCell ref="E32:H32"/>
    <x:mergeCell ref="E33:H33"/>
    <x:mergeCell ref="A35:D35"/>
    <x:mergeCell ref="A36:D36"/>
    <x:mergeCell ref="A37:D37"/>
    <x:mergeCell ref="A38:D38"/>
    <x:mergeCell ref="A39:D39"/>
    <x:mergeCell ref="A40:D40"/>
    <x:mergeCell ref="A41:D41"/>
    <x:mergeCell ref="E35:H35"/>
    <x:mergeCell ref="E36:H36"/>
    <x:mergeCell ref="E37:H37"/>
    <x:mergeCell ref="E38:H38"/>
    <x:mergeCell ref="E39:H39"/>
    <x:mergeCell ref="E40:H40"/>
    <x:mergeCell ref="E41:H41"/>
    <x:mergeCell ref="A43:D43"/>
    <x:mergeCell ref="A44:D44"/>
    <x:mergeCell ref="A45:D45"/>
    <x:mergeCell ref="A46:D46"/>
    <x:mergeCell ref="A47:D47"/>
    <x:mergeCell ref="A48:D48"/>
    <x:mergeCell ref="A49:D49"/>
    <x:mergeCell ref="E43:H43"/>
    <x:mergeCell ref="E44:H44"/>
    <x:mergeCell ref="E45:H45"/>
    <x:mergeCell ref="E46:H46"/>
    <x:mergeCell ref="E47:H47"/>
    <x:mergeCell ref="E48:H48"/>
    <x:mergeCell ref="E49:H49"/>
    <x:mergeCell ref="A51:D51"/>
    <x:mergeCell ref="A52:D52"/>
    <x:mergeCell ref="A53:D53"/>
    <x:mergeCell ref="A54:D54"/>
    <x:mergeCell ref="A55:D55"/>
    <x:mergeCell ref="A56:D56"/>
    <x:mergeCell ref="A57:D57"/>
    <x:mergeCell ref="E51:H51"/>
    <x:mergeCell ref="E52:H52"/>
    <x:mergeCell ref="E53:H53"/>
    <x:mergeCell ref="E54:H54"/>
    <x:mergeCell ref="E55:H55"/>
    <x:mergeCell ref="E56:H56"/>
    <x:mergeCell ref="E57:H57"/>
    <x:mergeCell ref="A59:D59"/>
    <x:mergeCell ref="A60:D60"/>
    <x:mergeCell ref="A61:D61"/>
    <x:mergeCell ref="A62:D62"/>
    <x:mergeCell ref="A63:D63"/>
    <x:mergeCell ref="A64:D64"/>
    <x:mergeCell ref="A65:D65"/>
    <x:mergeCell ref="E59:H59"/>
    <x:mergeCell ref="E60:H60"/>
    <x:mergeCell ref="E61:H61"/>
    <x:mergeCell ref="E62:H62"/>
    <x:mergeCell ref="E63:H63"/>
    <x:mergeCell ref="E64:H64"/>
    <x:mergeCell ref="E65:H65"/>
    <x:mergeCell ref="A67:D67"/>
    <x:mergeCell ref="A68:D68"/>
    <x:mergeCell ref="A69:D69"/>
    <x:mergeCell ref="A70:D70"/>
    <x:mergeCell ref="A71:D71"/>
    <x:mergeCell ref="A72:D72"/>
    <x:mergeCell ref="A73:D73"/>
    <x:mergeCell ref="E67:H67"/>
    <x:mergeCell ref="E68:H68"/>
    <x:mergeCell ref="E69:H69"/>
    <x:mergeCell ref="E70:H70"/>
    <x:mergeCell ref="E71:H71"/>
    <x:mergeCell ref="E72:H72"/>
    <x:mergeCell ref="E73:H73"/>
    <x:mergeCell ref="A75:D75"/>
    <x:mergeCell ref="A76:D76"/>
    <x:mergeCell ref="A77:D77"/>
    <x:mergeCell ref="A78:D78"/>
    <x:mergeCell ref="A79:D79"/>
    <x:mergeCell ref="A80:D80"/>
    <x:mergeCell ref="A81:D81"/>
    <x:mergeCell ref="E75:H75"/>
    <x:mergeCell ref="E76:H76"/>
    <x:mergeCell ref="E77:H77"/>
    <x:mergeCell ref="E78:H78"/>
    <x:mergeCell ref="E79:H79"/>
    <x:mergeCell ref="E80:H80"/>
    <x:mergeCell ref="E81:H81"/>
    <x:mergeCell ref="A83:D83"/>
    <x:mergeCell ref="A84:D84"/>
    <x:mergeCell ref="A85:D85"/>
    <x:mergeCell ref="A86:D86"/>
    <x:mergeCell ref="A87:D87"/>
    <x:mergeCell ref="A88:D88"/>
    <x:mergeCell ref="A89:D89"/>
    <x:mergeCell ref="E83:H83"/>
    <x:mergeCell ref="E84:H84"/>
    <x:mergeCell ref="E85:H85"/>
    <x:mergeCell ref="E86:H86"/>
    <x:mergeCell ref="E87:H87"/>
    <x:mergeCell ref="E88:H88"/>
    <x:mergeCell ref="E89:H89"/>
    <x:mergeCell ref="A91:D91"/>
    <x:mergeCell ref="A92:D92"/>
    <x:mergeCell ref="A93:D93"/>
    <x:mergeCell ref="A94:D94"/>
    <x:mergeCell ref="A95:D95"/>
    <x:mergeCell ref="A96:D96"/>
    <x:mergeCell ref="A97:D97"/>
    <x:mergeCell ref="E91:H91"/>
    <x:mergeCell ref="E92:H92"/>
    <x:mergeCell ref="E93:H93"/>
    <x:mergeCell ref="E94:H94"/>
    <x:mergeCell ref="E95:H95"/>
    <x:mergeCell ref="E96:H96"/>
    <x:mergeCell ref="E97:H97"/>
    <x:mergeCell ref="A99:D99"/>
    <x:mergeCell ref="A100:D100"/>
    <x:mergeCell ref="A101:D101"/>
    <x:mergeCell ref="A102:D102"/>
    <x:mergeCell ref="A103:D103"/>
    <x:mergeCell ref="A104:D104"/>
    <x:mergeCell ref="A105:D105"/>
    <x:mergeCell ref="E99:H99"/>
    <x:mergeCell ref="E100:H100"/>
    <x:mergeCell ref="E101:H101"/>
    <x:mergeCell ref="E102:H102"/>
    <x:mergeCell ref="E103:H103"/>
    <x:mergeCell ref="E104:H104"/>
    <x:mergeCell ref="E105:H105"/>
    <x:mergeCell ref="A107:D107"/>
    <x:mergeCell ref="A108:D108"/>
    <x:mergeCell ref="A109:D109"/>
    <x:mergeCell ref="A110:D110"/>
    <x:mergeCell ref="A111:D111"/>
    <x:mergeCell ref="A112:D112"/>
    <x:mergeCell ref="A113:D113"/>
    <x:mergeCell ref="E107:H107"/>
    <x:mergeCell ref="E108:H108"/>
    <x:mergeCell ref="E109:H109"/>
    <x:mergeCell ref="E110:H110"/>
    <x:mergeCell ref="E111:H111"/>
    <x:mergeCell ref="E112:H112"/>
    <x:mergeCell ref="E113:H113"/>
    <x:mergeCell ref="A115:D115"/>
    <x:mergeCell ref="A116:D116"/>
    <x:mergeCell ref="A117:D117"/>
    <x:mergeCell ref="A118:D118"/>
    <x:mergeCell ref="A119:D119"/>
    <x:mergeCell ref="A120:D120"/>
    <x:mergeCell ref="A121:D121"/>
    <x:mergeCell ref="E115:H115"/>
    <x:mergeCell ref="E116:H116"/>
    <x:mergeCell ref="E117:H117"/>
    <x:mergeCell ref="E118:H118"/>
    <x:mergeCell ref="E119:H119"/>
    <x:mergeCell ref="E120:H120"/>
    <x:mergeCell ref="E121:H121"/>
    <x:mergeCell ref="A123:D123"/>
    <x:mergeCell ref="A124:D124"/>
    <x:mergeCell ref="A125:D125"/>
    <x:mergeCell ref="A126:D126"/>
    <x:mergeCell ref="A127:D127"/>
    <x:mergeCell ref="A128:D128"/>
    <x:mergeCell ref="A129:D129"/>
    <x:mergeCell ref="E123:H123"/>
    <x:mergeCell ref="E124:H124"/>
    <x:mergeCell ref="E125:H125"/>
    <x:mergeCell ref="E126:H126"/>
    <x:mergeCell ref="E127:H127"/>
    <x:mergeCell ref="E128:H128"/>
    <x:mergeCell ref="E129:H129"/>
    <x:mergeCell ref="A131:D131"/>
    <x:mergeCell ref="A132:D132"/>
    <x:mergeCell ref="A133:D133"/>
    <x:mergeCell ref="A134:D134"/>
    <x:mergeCell ref="A135:D135"/>
    <x:mergeCell ref="A136:D136"/>
    <x:mergeCell ref="A137:D137"/>
    <x:mergeCell ref="E131:H131"/>
    <x:mergeCell ref="E132:H132"/>
    <x:mergeCell ref="E133:H133"/>
    <x:mergeCell ref="E134:H134"/>
    <x:mergeCell ref="E135:H135"/>
    <x:mergeCell ref="E136:H136"/>
    <x:mergeCell ref="E137:H137"/>
    <x:mergeCell ref="A139:D139"/>
    <x:mergeCell ref="A140:D140"/>
    <x:mergeCell ref="A141:D141"/>
    <x:mergeCell ref="A142:D142"/>
    <x:mergeCell ref="A143:D143"/>
    <x:mergeCell ref="A144:D144"/>
    <x:mergeCell ref="A145:D145"/>
    <x:mergeCell ref="E139:H139"/>
    <x:mergeCell ref="E140:H140"/>
    <x:mergeCell ref="E141:H141"/>
    <x:mergeCell ref="E142:H142"/>
    <x:mergeCell ref="E143:H143"/>
    <x:mergeCell ref="E144:H144"/>
    <x:mergeCell ref="E145:H145"/>
    <x:mergeCell ref="A147:D147"/>
    <x:mergeCell ref="A148:D148"/>
    <x:mergeCell ref="A149:D149"/>
    <x:mergeCell ref="A150:D150"/>
    <x:mergeCell ref="A151:D151"/>
    <x:mergeCell ref="A152:D152"/>
    <x:mergeCell ref="A153:D153"/>
    <x:mergeCell ref="E147:H147"/>
    <x:mergeCell ref="E148:H148"/>
    <x:mergeCell ref="E149:H149"/>
    <x:mergeCell ref="E150:H150"/>
    <x:mergeCell ref="E151:H151"/>
    <x:mergeCell ref="E152:H152"/>
    <x:mergeCell ref="E153:H153"/>
    <x:mergeCell ref="A155:D155"/>
    <x:mergeCell ref="A156:D156"/>
    <x:mergeCell ref="A157:D157"/>
    <x:mergeCell ref="A158:D158"/>
    <x:mergeCell ref="A159:D159"/>
    <x:mergeCell ref="A160:D160"/>
    <x:mergeCell ref="A161:D161"/>
    <x:mergeCell ref="E155:H155"/>
    <x:mergeCell ref="E156:H156"/>
    <x:mergeCell ref="E157:H157"/>
    <x:mergeCell ref="E158:H158"/>
    <x:mergeCell ref="E159:H159"/>
    <x:mergeCell ref="E160:H160"/>
    <x:mergeCell ref="E161:H161"/>
    <x:mergeCell ref="A163:D163"/>
    <x:mergeCell ref="A164:D164"/>
    <x:mergeCell ref="A165:D165"/>
    <x:mergeCell ref="A166:D166"/>
    <x:mergeCell ref="A167:D167"/>
    <x:mergeCell ref="A168:D168"/>
    <x:mergeCell ref="A169:D169"/>
    <x:mergeCell ref="E163:H163"/>
    <x:mergeCell ref="E164:H164"/>
    <x:mergeCell ref="E165:H165"/>
    <x:mergeCell ref="E166:H166"/>
    <x:mergeCell ref="E167:H167"/>
    <x:mergeCell ref="E168:H168"/>
    <x:mergeCell ref="E169:H169"/>
    <x:mergeCell ref="A171:D171"/>
    <x:mergeCell ref="A172:D172"/>
    <x:mergeCell ref="A173:D173"/>
    <x:mergeCell ref="A174:D174"/>
    <x:mergeCell ref="A175:D175"/>
    <x:mergeCell ref="A176:D176"/>
    <x:mergeCell ref="A177:D177"/>
    <x:mergeCell ref="E171:H171"/>
    <x:mergeCell ref="E172:H172"/>
    <x:mergeCell ref="E173:H173"/>
    <x:mergeCell ref="E174:H174"/>
    <x:mergeCell ref="E175:H175"/>
    <x:mergeCell ref="E176:H176"/>
    <x:mergeCell ref="E177:H177"/>
    <x:mergeCell ref="A179:D179"/>
    <x:mergeCell ref="A180:D180"/>
    <x:mergeCell ref="A181:D181"/>
    <x:mergeCell ref="A182:D182"/>
    <x:mergeCell ref="A183:D183"/>
    <x:mergeCell ref="A184:D184"/>
    <x:mergeCell ref="A185:D185"/>
    <x:mergeCell ref="E179:H179"/>
    <x:mergeCell ref="E180:H180"/>
    <x:mergeCell ref="E181:H181"/>
    <x:mergeCell ref="E182:H182"/>
    <x:mergeCell ref="E183:H183"/>
    <x:mergeCell ref="E184:H184"/>
    <x:mergeCell ref="E185:H185"/>
    <x:mergeCell ref="A187:D187"/>
    <x:mergeCell ref="A188:D188"/>
    <x:mergeCell ref="A189:D189"/>
    <x:mergeCell ref="A190:D190"/>
    <x:mergeCell ref="A191:D191"/>
    <x:mergeCell ref="A192:D192"/>
    <x:mergeCell ref="A193:D193"/>
    <x:mergeCell ref="E187:H187"/>
    <x:mergeCell ref="E188:H188"/>
    <x:mergeCell ref="E189:H189"/>
    <x:mergeCell ref="E190:H190"/>
    <x:mergeCell ref="E191:H191"/>
    <x:mergeCell ref="E192:H192"/>
    <x:mergeCell ref="E193:H193"/>
    <x:mergeCell ref="A195:D195"/>
    <x:mergeCell ref="A196:D196"/>
    <x:mergeCell ref="A197:D197"/>
    <x:mergeCell ref="A198:D198"/>
    <x:mergeCell ref="A199:D199"/>
    <x:mergeCell ref="A200:D200"/>
    <x:mergeCell ref="A201:D201"/>
    <x:mergeCell ref="E195:H195"/>
    <x:mergeCell ref="E196:H196"/>
    <x:mergeCell ref="E197:H197"/>
    <x:mergeCell ref="E198:H198"/>
    <x:mergeCell ref="E199:H199"/>
    <x:mergeCell ref="E200:H200"/>
    <x:mergeCell ref="E201:H201"/>
    <x:mergeCell ref="A203:D203"/>
    <x:mergeCell ref="A204:D204"/>
    <x:mergeCell ref="A205:D205"/>
    <x:mergeCell ref="A206:D206"/>
    <x:mergeCell ref="A207:D207"/>
    <x:mergeCell ref="A208:D208"/>
    <x:mergeCell ref="A209:D209"/>
    <x:mergeCell ref="E203:H203"/>
    <x:mergeCell ref="E204:H204"/>
    <x:mergeCell ref="E205:H205"/>
    <x:mergeCell ref="E206:H206"/>
    <x:mergeCell ref="E207:H207"/>
    <x:mergeCell ref="E208:H208"/>
    <x:mergeCell ref="E209:H209"/>
    <x:mergeCell ref="A211:D211"/>
    <x:mergeCell ref="A212:D212"/>
    <x:mergeCell ref="A213:D213"/>
    <x:mergeCell ref="A214:D214"/>
    <x:mergeCell ref="A215:D215"/>
    <x:mergeCell ref="A216:D216"/>
    <x:mergeCell ref="A217:D217"/>
    <x:mergeCell ref="E211:H211"/>
    <x:mergeCell ref="E212:H212"/>
    <x:mergeCell ref="E213:H213"/>
    <x:mergeCell ref="E214:H214"/>
    <x:mergeCell ref="E215:H215"/>
    <x:mergeCell ref="E216:H216"/>
    <x:mergeCell ref="E217:H217"/>
    <x:mergeCell ref="A219:D219"/>
    <x:mergeCell ref="A220:D220"/>
    <x:mergeCell ref="A221:D221"/>
    <x:mergeCell ref="A222:D222"/>
    <x:mergeCell ref="A223:D223"/>
    <x:mergeCell ref="A224:D224"/>
    <x:mergeCell ref="A225:D225"/>
    <x:mergeCell ref="E219:H219"/>
    <x:mergeCell ref="E220:H220"/>
    <x:mergeCell ref="E221:H221"/>
    <x:mergeCell ref="E222:H222"/>
    <x:mergeCell ref="E223:H223"/>
    <x:mergeCell ref="E224:H224"/>
    <x:mergeCell ref="E225:H225"/>
    <x:mergeCell ref="A227:D227"/>
    <x:mergeCell ref="A228:D228"/>
    <x:mergeCell ref="A229:D229"/>
    <x:mergeCell ref="A230:D230"/>
    <x:mergeCell ref="A231:D231"/>
    <x:mergeCell ref="A232:D232"/>
    <x:mergeCell ref="A233:D233"/>
    <x:mergeCell ref="E227:H227"/>
    <x:mergeCell ref="E228:H228"/>
    <x:mergeCell ref="E229:H229"/>
    <x:mergeCell ref="E230:H230"/>
    <x:mergeCell ref="E231:H231"/>
    <x:mergeCell ref="E232:H232"/>
    <x:mergeCell ref="E233:H233"/>
    <x:mergeCell ref="A235:D235"/>
    <x:mergeCell ref="A236:D236"/>
    <x:mergeCell ref="A237:D237"/>
    <x:mergeCell ref="A238:D238"/>
    <x:mergeCell ref="A239:D239"/>
    <x:mergeCell ref="A240:D240"/>
    <x:mergeCell ref="A241:D241"/>
    <x:mergeCell ref="E235:H235"/>
    <x:mergeCell ref="E236:H236"/>
    <x:mergeCell ref="E237:H237"/>
    <x:mergeCell ref="E238:H238"/>
    <x:mergeCell ref="E239:H239"/>
    <x:mergeCell ref="E240:H240"/>
    <x:mergeCell ref="E241:H241"/>
    <x:mergeCell ref="A243:D243"/>
    <x:mergeCell ref="A244:D244"/>
    <x:mergeCell ref="A245:D245"/>
    <x:mergeCell ref="A246:D246"/>
    <x:mergeCell ref="A247:D247"/>
    <x:mergeCell ref="A248:D248"/>
    <x:mergeCell ref="A249:D249"/>
    <x:mergeCell ref="E243:H243"/>
    <x:mergeCell ref="E244:H244"/>
    <x:mergeCell ref="E245:H245"/>
    <x:mergeCell ref="E246:H246"/>
    <x:mergeCell ref="E247:H247"/>
    <x:mergeCell ref="E248:H248"/>
    <x:mergeCell ref="E249:H249"/>
    <x:mergeCell ref="A251:D251"/>
    <x:mergeCell ref="A252:D252"/>
    <x:mergeCell ref="A253:D253"/>
    <x:mergeCell ref="A254:D254"/>
    <x:mergeCell ref="A255:D255"/>
    <x:mergeCell ref="A256:D256"/>
    <x:mergeCell ref="A257:D257"/>
    <x:mergeCell ref="E251:H251"/>
    <x:mergeCell ref="E252:H252"/>
    <x:mergeCell ref="E253:H253"/>
    <x:mergeCell ref="E254:H254"/>
    <x:mergeCell ref="E255:H255"/>
    <x:mergeCell ref="E256:H256"/>
    <x:mergeCell ref="E257:H257"/>
    <x:mergeCell ref="A259:D259"/>
    <x:mergeCell ref="A260:D260"/>
    <x:mergeCell ref="A261:D261"/>
    <x:mergeCell ref="A262:D262"/>
    <x:mergeCell ref="A263:D263"/>
    <x:mergeCell ref="A264:D264"/>
    <x:mergeCell ref="A265:D265"/>
    <x:mergeCell ref="E259:H259"/>
    <x:mergeCell ref="E260:H260"/>
    <x:mergeCell ref="E261:H261"/>
    <x:mergeCell ref="E262:H262"/>
    <x:mergeCell ref="E263:H263"/>
    <x:mergeCell ref="E264:H264"/>
    <x:mergeCell ref="E265:H265"/>
    <x:mergeCell ref="A267:D267"/>
    <x:mergeCell ref="A268:D268"/>
    <x:mergeCell ref="A269:D269"/>
    <x:mergeCell ref="A270:D270"/>
    <x:mergeCell ref="A271:D271"/>
    <x:mergeCell ref="A272:D272"/>
    <x:mergeCell ref="A273:D273"/>
    <x:mergeCell ref="E267:H267"/>
    <x:mergeCell ref="E268:H268"/>
    <x:mergeCell ref="E269:H269"/>
    <x:mergeCell ref="E270:H270"/>
    <x:mergeCell ref="E271:H271"/>
    <x:mergeCell ref="E272:H272"/>
    <x:mergeCell ref="E273:H273"/>
    <x:mergeCell ref="A275:D275"/>
    <x:mergeCell ref="A276:D276"/>
    <x:mergeCell ref="A277:D277"/>
    <x:mergeCell ref="A278:D278"/>
    <x:mergeCell ref="A279:D279"/>
    <x:mergeCell ref="A280:D280"/>
    <x:mergeCell ref="A281:D281"/>
    <x:mergeCell ref="E275:H275"/>
    <x:mergeCell ref="E276:H276"/>
    <x:mergeCell ref="E277:H277"/>
    <x:mergeCell ref="E278:H278"/>
    <x:mergeCell ref="E279:H279"/>
    <x:mergeCell ref="E280:H280"/>
    <x:mergeCell ref="E281:H281"/>
    <x:mergeCell ref="A283:D283"/>
    <x:mergeCell ref="A284:D284"/>
    <x:mergeCell ref="A285:D285"/>
    <x:mergeCell ref="A286:D286"/>
    <x:mergeCell ref="A287:D287"/>
    <x:mergeCell ref="A288:D288"/>
    <x:mergeCell ref="A289:D289"/>
    <x:mergeCell ref="E283:H283"/>
    <x:mergeCell ref="E284:H284"/>
    <x:mergeCell ref="E285:H285"/>
    <x:mergeCell ref="E286:H286"/>
    <x:mergeCell ref="E287:H287"/>
    <x:mergeCell ref="E288:H288"/>
    <x:mergeCell ref="E289:H289"/>
    <x:mergeCell ref="A291:D291"/>
    <x:mergeCell ref="A292:D292"/>
    <x:mergeCell ref="A293:D293"/>
    <x:mergeCell ref="A294:D294"/>
    <x:mergeCell ref="A295:D295"/>
    <x:mergeCell ref="A296:D296"/>
    <x:mergeCell ref="A297:D297"/>
    <x:mergeCell ref="E291:H291"/>
    <x:mergeCell ref="E292:H292"/>
    <x:mergeCell ref="E293:H293"/>
    <x:mergeCell ref="E294:H294"/>
    <x:mergeCell ref="E295:H295"/>
    <x:mergeCell ref="E296:H296"/>
    <x:mergeCell ref="E297:H297"/>
    <x:mergeCell ref="A299:D299"/>
    <x:mergeCell ref="A300:D300"/>
    <x:mergeCell ref="A301:D301"/>
    <x:mergeCell ref="A302:D302"/>
    <x:mergeCell ref="A303:D303"/>
    <x:mergeCell ref="A304:D304"/>
    <x:mergeCell ref="A305:D305"/>
    <x:mergeCell ref="E299:H299"/>
    <x:mergeCell ref="E300:H300"/>
    <x:mergeCell ref="E301:H301"/>
    <x:mergeCell ref="E302:H302"/>
    <x:mergeCell ref="E303:H303"/>
    <x:mergeCell ref="E304:H304"/>
    <x:mergeCell ref="E305:H305"/>
    <x:mergeCell ref="A307:D307"/>
    <x:mergeCell ref="A308:D308"/>
    <x:mergeCell ref="A309:D309"/>
    <x:mergeCell ref="A310:D310"/>
    <x:mergeCell ref="A311:D311"/>
    <x:mergeCell ref="A312:D312"/>
    <x:mergeCell ref="A313:D313"/>
    <x:mergeCell ref="E307:H307"/>
    <x:mergeCell ref="E308:H308"/>
    <x:mergeCell ref="E309:H309"/>
    <x:mergeCell ref="E310:H310"/>
    <x:mergeCell ref="E311:H311"/>
    <x:mergeCell ref="E312:H312"/>
    <x:mergeCell ref="E313:H313"/>
    <x:mergeCell ref="A315:D315"/>
    <x:mergeCell ref="A316:D316"/>
    <x:mergeCell ref="A317:D317"/>
    <x:mergeCell ref="A318:D318"/>
    <x:mergeCell ref="A319:D319"/>
    <x:mergeCell ref="A320:D320"/>
    <x:mergeCell ref="A321:D321"/>
    <x:mergeCell ref="E315:H315"/>
    <x:mergeCell ref="E316:H316"/>
    <x:mergeCell ref="E317:H317"/>
    <x:mergeCell ref="E318:H318"/>
    <x:mergeCell ref="E319:H319"/>
    <x:mergeCell ref="E320:H320"/>
    <x:mergeCell ref="E321:H32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8" hidden="0" customWidth="1"/>
    <x:col min="4" max="4" width="40" hidden="0" customWidth="1"/>
    <x:col min="5" max="5" width="22" hidden="0" customWidth="1"/>
    <x:col min="6" max="6" width="12" hidden="0" customWidth="1"/>
    <x:col min="7" max="7" width="15" hidden="0" customWidth="1"/>
    <x:col min="8" max="8" width="18" hidden="0" customWidth="1"/>
  </x:cols>
  <x:sheetData>
    <x:row r="1">
      <x:c r="A1" s="130" t="str">
        <x:v>PROOF OF COLLECTION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</x:row>
    <x:row r="2">
      <x:c r="A2" s="101"/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  <x:c r="AE2" s="101"/>
    </x:row>
    <x:row r="3">
      <x:c r="A3" s="103" t="str">
        <x:v>Customer / Contact Company</x:v>
      </x:c>
      <x:c r="B3" s="131" t="n">
        <x:f>'START HERE'!B5</x:f>
        <x:v>0</x:v>
      </x:c>
      <x:c r="C3" s="103" t="str">
        <x:v>Project</x:v>
      </x:c>
      <x:c r="D3" s="131" t="n">
        <x:f>'START HERE'!B6</x:f>
        <x:v>0</x:v>
      </x:c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  <x:c r="AA3" s="101"/>
      <x:c r="AB3" s="101"/>
      <x:c r="AC3" s="101"/>
      <x:c r="AD3" s="101"/>
      <x:c r="AE3" s="101"/>
    </x:row>
    <x:row r="4">
      <x:c r="A4" s="103" t="str">
        <x:v>Project / PO</x:v>
      </x:c>
      <x:c r="B4" s="131" t="n">
        <x:f>'START HERE'!B7</x:f>
        <x:v>0</x:v>
      </x:c>
      <x:c r="C4" s="103" t="str">
        <x:v>Order Ref</x:v>
      </x:c>
      <x:c r="D4" s="131" t="n">
        <x:f>'START HERE'!B8</x:f>
        <x:v>0</x:v>
      </x:c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  <x:c r="AA4" s="101"/>
      <x:c r="AB4" s="101"/>
      <x:c r="AC4" s="101"/>
      <x:c r="AD4" s="101"/>
      <x:c r="AE4" s="101"/>
    </x:row>
    <x:row r="5">
      <x:c r="A5" s="103" t="str">
        <x:v>Contact Name</x:v>
      </x:c>
      <x:c r="B5" s="131" t="n">
        <x:f>'START HERE'!B9</x:f>
        <x:v>0</x:v>
      </x:c>
      <x:c r="C5" s="103" t="str">
        <x:v>Contact Number</x:v>
      </x:c>
      <x:c r="D5" s="131" t="n">
        <x:f>'START HERE'!B10</x:f>
        <x:v>0</x:v>
      </x:c>
      <x:c r="E5" s="101"/>
      <x:c r="F5" s="101"/>
      <x:c r="G5" s="101"/>
      <x:c r="H5" s="101"/>
      <x:c r="I5" s="101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  <x:c r="AA5" s="101"/>
      <x:c r="AB5" s="101"/>
      <x:c r="AC5" s="101"/>
      <x:c r="AD5" s="101"/>
      <x:c r="AE5" s="101"/>
    </x:row>
    <x:row r="6">
      <x:c r="A6" s="103" t="str">
        <x:v>Address</x:v>
      </x:c>
      <x:c r="B6" s="131" t="n">
        <x:f>'START HERE'!B11</x:f>
        <x:v>0</x:v>
      </x:c>
      <x:c r="C6" s="103" t="str">
        <x:v>Date</x:v>
      </x:c>
      <x:c r="D6" s="131" t="n">
        <x:f>'START HERE'!B14</x:f>
        <x:v>0</x:v>
      </x:c>
      <x:c r="E6" s="101"/>
      <x:c r="F6" s="101"/>
      <x:c r="G6" s="101"/>
      <x:c r="H6" s="101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  <x:c r="AA6" s="101"/>
      <x:c r="AB6" s="101"/>
      <x:c r="AC6" s="101"/>
      <x:c r="AD6" s="101"/>
      <x:c r="AE6" s="101"/>
    </x:row>
    <x:row r="7">
      <x:c r="A7" s="103" t="str">
        <x:v>Dispatch Basis</x:v>
      </x:c>
      <x:c r="B7" s="131" t="str">
        <x:f>'START HERE'!B12</x:f>
        <x:v>Collection / EX Works Leicester</x:v>
      </x:c>
      <x:c r="C7" s="103" t="str">
        <x:v>Collection / Delivery</x:v>
      </x:c>
      <x:c r="D7" s="131" t="str">
        <x:f>'START HERE'!B15</x:f>
        <x:v>Collection</x:v>
      </x:c>
      <x:c r="E7" s="101"/>
      <x:c r="F7" s="101"/>
      <x:c r="G7" s="101"/>
      <x:c r="H7" s="101"/>
      <x:c r="I7" s="101"/>
      <x:c r="J7" s="101"/>
      <x:c r="K7" s="101"/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  <x:c r="AA7" s="101"/>
      <x:c r="AB7" s="101"/>
      <x:c r="AC7" s="101"/>
      <x:c r="AD7" s="101"/>
      <x:c r="AE7" s="101"/>
    </x:row>
    <x:row r="8">
      <x:c r="A8" s="101"/>
      <x:c r="B8" s="101"/>
      <x:c r="C8" s="101"/>
      <x:c r="D8" s="101"/>
      <x:c r="E8" s="101"/>
      <x:c r="F8" s="101"/>
      <x:c r="G8" s="101"/>
      <x:c r="H8" s="101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  <x:c r="AA8" s="101"/>
      <x:c r="AB8" s="101"/>
      <x:c r="AC8" s="101"/>
      <x:c r="AD8" s="101"/>
      <x:c r="AE8" s="101"/>
    </x:row>
    <x:row r="9">
      <x:c r="A9" s="142" t="str">
        <x:v>Goods Summary</x:v>
      </x:c>
      <x:c r="B9" s="101"/>
      <x:c r="C9" s="101"/>
      <x:c r="D9" s="101"/>
      <x:c r="E9" s="101"/>
      <x:c r="F9" s="101"/>
      <x:c r="G9" s="101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  <x:c r="AA9" s="101"/>
      <x:c r="AB9" s="101"/>
      <x:c r="AC9" s="101"/>
      <x:c r="AD9" s="101"/>
      <x:c r="AE9" s="101"/>
    </x:row>
    <x:row r="10">
      <x:c r="A10" s="96" t="str">
        <x:v>Pallet</x:v>
      </x:c>
      <x:c r="B10" s="96" t="str">
        <x:v>Curtains</x:v>
      </x:c>
      <x:c r="C10" s="96" t="str">
        <x:v>Kits</x:v>
      </x:c>
      <x:c r="D10" s="96" t="str">
        <x:v>Contents</x:v>
      </x:c>
      <x:c r="E10" s="96" t="str">
        <x:v>Dimensions L x W x H mm</x:v>
      </x:c>
      <x:c r="F10" s="96" t="str">
        <x:v>Gross kg</x:v>
      </x:c>
      <x:c r="G10" s="96" t="str">
        <x:v>Safe Booking kg</x:v>
      </x:c>
      <x:c r="H10" s="96" t="str">
        <x:v>Condition</x:v>
      </x:c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  <x:c r="AA10" s="101"/>
      <x:c r="AB10" s="101"/>
      <x:c r="AC10" s="101"/>
      <x:c r="AD10" s="101"/>
      <x:c r="AE10" s="101"/>
    </x:row>
    <x:row r="11">
      <x:c r="A11" s="100" t="str">
        <x:f>IF('Pallet Plan'!C3=0,"",'Pallet Plan'!A3)</x:f>
      </x:c>
      <x:c r="B11" s="100" t="str">
        <x:f>IF('Pallet Plan'!C3=0,"",'Pallet Plan'!B3)</x:f>
      </x:c>
      <x:c r="C11" s="100" t="str">
        <x:f>IF('Pallet Plan'!C3=0,"",'Pallet Plan'!C3)</x:f>
      </x:c>
      <x:c r="D11" s="100" t="str">
        <x:f>IF('Pallet Plan'!C3=0,"",'Pallet Plan'!L3)</x:f>
      </x:c>
      <x:c r="E11" s="100" t="str">
        <x:f>IF('Pallet Plan'!C3=0,"",'Pallet Plan'!I3&amp;" x "&amp;'Pallet Plan'!J3&amp;" x "&amp;'Pallet Plan'!K3)</x:f>
      </x:c>
      <x:c r="F11" s="100" t="str">
        <x:f>IF('Pallet Plan'!C3=0,"",ROUND('Pallet Plan'!G3,0))</x:f>
      </x:c>
      <x:c r="G11" s="100" t="str">
        <x:f>IF('Pallet Plan'!C3=0,"",ROUND('Pallet Plan'!H3,0))</x:f>
      </x:c>
      <x:c r="H11" s="100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  <x:c r="AA11" s="101"/>
      <x:c r="AB11" s="101"/>
      <x:c r="AC11" s="101"/>
      <x:c r="AD11" s="101"/>
      <x:c r="AE11" s="101"/>
    </x:row>
    <x:row r="12">
      <x:c r="A12" s="100" t="str">
        <x:f>IF('Pallet Plan'!C4=0,"",'Pallet Plan'!A4)</x:f>
      </x:c>
      <x:c r="B12" s="100" t="str">
        <x:f>IF('Pallet Plan'!C4=0,"",'Pallet Plan'!B4)</x:f>
      </x:c>
      <x:c r="C12" s="100" t="str">
        <x:f>IF('Pallet Plan'!C4=0,"",'Pallet Plan'!C4)</x:f>
      </x:c>
      <x:c r="D12" s="100" t="str">
        <x:f>IF('Pallet Plan'!C4=0,"",'Pallet Plan'!L4)</x:f>
      </x:c>
      <x:c r="E12" s="100" t="str">
        <x:f>IF('Pallet Plan'!C4=0,"",'Pallet Plan'!I4&amp;" x "&amp;'Pallet Plan'!J4&amp;" x "&amp;'Pallet Plan'!K4)</x:f>
      </x:c>
      <x:c r="F12" s="100" t="str">
        <x:f>IF('Pallet Plan'!C4=0,"",ROUND('Pallet Plan'!G4,0))</x:f>
      </x:c>
      <x:c r="G12" s="100" t="str">
        <x:f>IF('Pallet Plan'!C4=0,"",ROUND('Pallet Plan'!H4,0))</x:f>
      </x:c>
      <x:c r="H12" s="100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  <x:c r="AA12" s="101"/>
      <x:c r="AB12" s="101"/>
      <x:c r="AC12" s="101"/>
      <x:c r="AD12" s="101"/>
      <x:c r="AE12" s="101"/>
    </x:row>
    <x:row r="13">
      <x:c r="A13" s="100" t="str">
        <x:f>IF('Pallet Plan'!C5=0,"",'Pallet Plan'!A5)</x:f>
      </x:c>
      <x:c r="B13" s="100" t="str">
        <x:f>IF('Pallet Plan'!C5=0,"",'Pallet Plan'!B5)</x:f>
      </x:c>
      <x:c r="C13" s="100" t="str">
        <x:f>IF('Pallet Plan'!C5=0,"",'Pallet Plan'!C5)</x:f>
      </x:c>
      <x:c r="D13" s="100" t="str">
        <x:f>IF('Pallet Plan'!C5=0,"",'Pallet Plan'!L5)</x:f>
      </x:c>
      <x:c r="E13" s="100" t="str">
        <x:f>IF('Pallet Plan'!C5=0,"",'Pallet Plan'!I5&amp;" x "&amp;'Pallet Plan'!J5&amp;" x "&amp;'Pallet Plan'!K5)</x:f>
      </x:c>
      <x:c r="F13" s="100" t="str">
        <x:f>IF('Pallet Plan'!C5=0,"",ROUND('Pallet Plan'!G5,0))</x:f>
      </x:c>
      <x:c r="G13" s="100" t="str">
        <x:f>IF('Pallet Plan'!C5=0,"",ROUND('Pallet Plan'!H5,0))</x:f>
      </x:c>
      <x:c r="H13" s="100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  <x:c r="AA13" s="101"/>
      <x:c r="AB13" s="101"/>
      <x:c r="AC13" s="101"/>
      <x:c r="AD13" s="101"/>
      <x:c r="AE13" s="101"/>
    </x:row>
    <x:row r="14">
      <x:c r="A14" s="100" t="str">
        <x:f>IF('Pallet Plan'!C6=0,"",'Pallet Plan'!A6)</x:f>
      </x:c>
      <x:c r="B14" s="100" t="str">
        <x:f>IF('Pallet Plan'!C6=0,"",'Pallet Plan'!B6)</x:f>
      </x:c>
      <x:c r="C14" s="100" t="str">
        <x:f>IF('Pallet Plan'!C6=0,"",'Pallet Plan'!C6)</x:f>
      </x:c>
      <x:c r="D14" s="100" t="str">
        <x:f>IF('Pallet Plan'!C6=0,"",'Pallet Plan'!L6)</x:f>
      </x:c>
      <x:c r="E14" s="100" t="str">
        <x:f>IF('Pallet Plan'!C6=0,"",'Pallet Plan'!I6&amp;" x "&amp;'Pallet Plan'!J6&amp;" x "&amp;'Pallet Plan'!K6)</x:f>
      </x:c>
      <x:c r="F14" s="100" t="str">
        <x:f>IF('Pallet Plan'!C6=0,"",ROUND('Pallet Plan'!G6,0))</x:f>
      </x:c>
      <x:c r="G14" s="100" t="str">
        <x:f>IF('Pallet Plan'!C6=0,"",ROUND('Pallet Plan'!H6,0))</x:f>
      </x:c>
      <x:c r="H14" s="100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  <x:c r="AA14" s="101"/>
      <x:c r="AB14" s="101"/>
      <x:c r="AC14" s="101"/>
      <x:c r="AD14" s="101"/>
      <x:c r="AE14" s="101"/>
    </x:row>
    <x:row r="15">
      <x:c r="A15" s="100" t="str">
        <x:f>IF('Pallet Plan'!C7=0,"",'Pallet Plan'!A7)</x:f>
      </x:c>
      <x:c r="B15" s="100" t="str">
        <x:f>IF('Pallet Plan'!C7=0,"",'Pallet Plan'!B7)</x:f>
      </x:c>
      <x:c r="C15" s="100" t="str">
        <x:f>IF('Pallet Plan'!C7=0,"",'Pallet Plan'!C7)</x:f>
      </x:c>
      <x:c r="D15" s="100" t="str">
        <x:f>IF('Pallet Plan'!C7=0,"",'Pallet Plan'!L7)</x:f>
      </x:c>
      <x:c r="E15" s="100" t="str">
        <x:f>IF('Pallet Plan'!C7=0,"",'Pallet Plan'!I7&amp;" x "&amp;'Pallet Plan'!J7&amp;" x "&amp;'Pallet Plan'!K7)</x:f>
      </x:c>
      <x:c r="F15" s="100" t="str">
        <x:f>IF('Pallet Plan'!C7=0,"",ROUND('Pallet Plan'!G7,0))</x:f>
      </x:c>
      <x:c r="G15" s="100" t="str">
        <x:f>IF('Pallet Plan'!C7=0,"",ROUND('Pallet Plan'!H7,0))</x:f>
      </x:c>
      <x:c r="H15" s="100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  <x:c r="AA15" s="101"/>
      <x:c r="AB15" s="101"/>
      <x:c r="AC15" s="101"/>
      <x:c r="AD15" s="101"/>
      <x:c r="AE15" s="101"/>
    </x:row>
    <x:row r="16">
      <x:c r="A16" s="100" t="str">
        <x:f>IF('Pallet Plan'!C8=0,"",'Pallet Plan'!A8)</x:f>
      </x:c>
      <x:c r="B16" s="100" t="str">
        <x:f>IF('Pallet Plan'!C8=0,"",'Pallet Plan'!B8)</x:f>
      </x:c>
      <x:c r="C16" s="100" t="str">
        <x:f>IF('Pallet Plan'!C8=0,"",'Pallet Plan'!C8)</x:f>
      </x:c>
      <x:c r="D16" s="100" t="str">
        <x:f>IF('Pallet Plan'!C8=0,"",'Pallet Plan'!L8)</x:f>
      </x:c>
      <x:c r="E16" s="100" t="str">
        <x:f>IF('Pallet Plan'!C8=0,"",'Pallet Plan'!I8&amp;" x "&amp;'Pallet Plan'!J8&amp;" x "&amp;'Pallet Plan'!K8)</x:f>
      </x:c>
      <x:c r="F16" s="100" t="str">
        <x:f>IF('Pallet Plan'!C8=0,"",ROUND('Pallet Plan'!G8,0))</x:f>
      </x:c>
      <x:c r="G16" s="100" t="str">
        <x:f>IF('Pallet Plan'!C8=0,"",ROUND('Pallet Plan'!H8,0))</x:f>
      </x:c>
      <x:c r="H16" s="100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  <x:c r="AA16" s="101"/>
      <x:c r="AB16" s="101"/>
      <x:c r="AC16" s="101"/>
      <x:c r="AD16" s="101"/>
      <x:c r="AE16" s="101"/>
    </x:row>
    <x:row r="17">
      <x:c r="A17" s="100" t="str">
        <x:f>IF('Pallet Plan'!C9=0,"",'Pallet Plan'!A9)</x:f>
      </x:c>
      <x:c r="B17" s="100" t="str">
        <x:f>IF('Pallet Plan'!C9=0,"",'Pallet Plan'!B9)</x:f>
      </x:c>
      <x:c r="C17" s="100" t="str">
        <x:f>IF('Pallet Plan'!C9=0,"",'Pallet Plan'!C9)</x:f>
      </x:c>
      <x:c r="D17" s="100" t="str">
        <x:f>IF('Pallet Plan'!C9=0,"",'Pallet Plan'!L9)</x:f>
      </x:c>
      <x:c r="E17" s="100" t="str">
        <x:f>IF('Pallet Plan'!C9=0,"",'Pallet Plan'!I9&amp;" x "&amp;'Pallet Plan'!J9&amp;" x "&amp;'Pallet Plan'!K9)</x:f>
      </x:c>
      <x:c r="F17" s="100" t="str">
        <x:f>IF('Pallet Plan'!C9=0,"",ROUND('Pallet Plan'!G9,0))</x:f>
      </x:c>
      <x:c r="G17" s="100" t="str">
        <x:f>IF('Pallet Plan'!C9=0,"",ROUND('Pallet Plan'!H9,0))</x:f>
      </x:c>
      <x:c r="H17" s="100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  <x:c r="AA17" s="101"/>
      <x:c r="AB17" s="101"/>
      <x:c r="AC17" s="101"/>
      <x:c r="AD17" s="101"/>
      <x:c r="AE17" s="101"/>
    </x:row>
    <x:row r="18">
      <x:c r="A18" s="100" t="str">
        <x:f>IF('Pallet Plan'!C10=0,"",'Pallet Plan'!A10)</x:f>
      </x:c>
      <x:c r="B18" s="100" t="str">
        <x:f>IF('Pallet Plan'!C10=0,"",'Pallet Plan'!B10)</x:f>
      </x:c>
      <x:c r="C18" s="100" t="str">
        <x:f>IF('Pallet Plan'!C10=0,"",'Pallet Plan'!C10)</x:f>
      </x:c>
      <x:c r="D18" s="100" t="str">
        <x:f>IF('Pallet Plan'!C10=0,"",'Pallet Plan'!L10)</x:f>
      </x:c>
      <x:c r="E18" s="100" t="str">
        <x:f>IF('Pallet Plan'!C10=0,"",'Pallet Plan'!I10&amp;" x "&amp;'Pallet Plan'!J10&amp;" x "&amp;'Pallet Plan'!K10)</x:f>
      </x:c>
      <x:c r="F18" s="100" t="str">
        <x:f>IF('Pallet Plan'!C10=0,"",ROUND('Pallet Plan'!G10,0))</x:f>
      </x:c>
      <x:c r="G18" s="100" t="str">
        <x:f>IF('Pallet Plan'!C10=0,"",ROUND('Pallet Plan'!H10,0))</x:f>
      </x:c>
      <x:c r="H18" s="100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  <x:c r="AA18" s="101"/>
      <x:c r="AB18" s="101"/>
      <x:c r="AC18" s="101"/>
      <x:c r="AD18" s="101"/>
      <x:c r="AE18" s="101"/>
    </x:row>
    <x:row r="19">
      <x:c r="A19" s="100" t="str">
        <x:f>IF('Pallet Plan'!C11=0,"",'Pallet Plan'!A11)</x:f>
      </x:c>
      <x:c r="B19" s="100" t="str">
        <x:f>IF('Pallet Plan'!C11=0,"",'Pallet Plan'!B11)</x:f>
      </x:c>
      <x:c r="C19" s="100" t="str">
        <x:f>IF('Pallet Plan'!C11=0,"",'Pallet Plan'!C11)</x:f>
      </x:c>
      <x:c r="D19" s="100" t="str">
        <x:f>IF('Pallet Plan'!C11=0,"",'Pallet Plan'!L11)</x:f>
      </x:c>
      <x:c r="E19" s="100" t="str">
        <x:f>IF('Pallet Plan'!C11=0,"",'Pallet Plan'!I11&amp;" x "&amp;'Pallet Plan'!J11&amp;" x "&amp;'Pallet Plan'!K11)</x:f>
      </x:c>
      <x:c r="F19" s="100" t="str">
        <x:f>IF('Pallet Plan'!C11=0,"",ROUND('Pallet Plan'!G11,0))</x:f>
      </x:c>
      <x:c r="G19" s="100" t="str">
        <x:f>IF('Pallet Plan'!C11=0,"",ROUND('Pallet Plan'!H11,0))</x:f>
      </x:c>
      <x:c r="H19" s="100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  <x:c r="AA19" s="101"/>
      <x:c r="AB19" s="101"/>
      <x:c r="AC19" s="101"/>
      <x:c r="AD19" s="101"/>
      <x:c r="AE19" s="101"/>
    </x:row>
    <x:row r="20">
      <x:c r="A20" s="100" t="str">
        <x:f>IF('Pallet Plan'!C12=0,"",'Pallet Plan'!A12)</x:f>
      </x:c>
      <x:c r="B20" s="100" t="str">
        <x:f>IF('Pallet Plan'!C12=0,"",'Pallet Plan'!B12)</x:f>
      </x:c>
      <x:c r="C20" s="100" t="str">
        <x:f>IF('Pallet Plan'!C12=0,"",'Pallet Plan'!C12)</x:f>
      </x:c>
      <x:c r="D20" s="100" t="str">
        <x:f>IF('Pallet Plan'!C12=0,"",'Pallet Plan'!L12)</x:f>
      </x:c>
      <x:c r="E20" s="100" t="str">
        <x:f>IF('Pallet Plan'!C12=0,"",'Pallet Plan'!I12&amp;" x "&amp;'Pallet Plan'!J12&amp;" x "&amp;'Pallet Plan'!K12)</x:f>
      </x:c>
      <x:c r="F20" s="100" t="str">
        <x:f>IF('Pallet Plan'!C12=0,"",ROUND('Pallet Plan'!G12,0))</x:f>
      </x:c>
      <x:c r="G20" s="100" t="str">
        <x:f>IF('Pallet Plan'!C12=0,"",ROUND('Pallet Plan'!H12,0))</x:f>
      </x:c>
      <x:c r="H20" s="100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  <x:c r="AA20" s="101"/>
      <x:c r="AB20" s="101"/>
      <x:c r="AC20" s="101"/>
      <x:c r="AD20" s="101"/>
      <x:c r="AE20" s="101"/>
    </x:row>
    <x:row r="21">
      <x:c r="A21" s="100" t="str">
        <x:f>IF('Pallet Plan'!C13=0,"",'Pallet Plan'!A13)</x:f>
      </x:c>
      <x:c r="B21" s="100" t="str">
        <x:f>IF('Pallet Plan'!C13=0,"",'Pallet Plan'!B13)</x:f>
      </x:c>
      <x:c r="C21" s="100" t="str">
        <x:f>IF('Pallet Plan'!C13=0,"",'Pallet Plan'!C13)</x:f>
      </x:c>
      <x:c r="D21" s="100" t="str">
        <x:f>IF('Pallet Plan'!C13=0,"",'Pallet Plan'!L13)</x:f>
      </x:c>
      <x:c r="E21" s="100" t="str">
        <x:f>IF('Pallet Plan'!C13=0,"",'Pallet Plan'!I13&amp;" x "&amp;'Pallet Plan'!J13&amp;" x "&amp;'Pallet Plan'!K13)</x:f>
      </x:c>
      <x:c r="F21" s="100" t="str">
        <x:f>IF('Pallet Plan'!C13=0,"",ROUND('Pallet Plan'!G13,0))</x:f>
      </x:c>
      <x:c r="G21" s="100" t="str">
        <x:f>IF('Pallet Plan'!C13=0,"",ROUND('Pallet Plan'!H13,0))</x:f>
      </x:c>
      <x:c r="H21" s="100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  <x:c r="AA21" s="101"/>
      <x:c r="AB21" s="101"/>
      <x:c r="AC21" s="101"/>
      <x:c r="AD21" s="101"/>
      <x:c r="AE21" s="101"/>
    </x:row>
    <x:row r="22">
      <x:c r="A22" s="100" t="str">
        <x:f>IF('Pallet Plan'!C14=0,"",'Pallet Plan'!A14)</x:f>
      </x:c>
      <x:c r="B22" s="100" t="str">
        <x:f>IF('Pallet Plan'!C14=0,"",'Pallet Plan'!B14)</x:f>
      </x:c>
      <x:c r="C22" s="100" t="str">
        <x:f>IF('Pallet Plan'!C14=0,"",'Pallet Plan'!C14)</x:f>
      </x:c>
      <x:c r="D22" s="100" t="str">
        <x:f>IF('Pallet Plan'!C14=0,"",'Pallet Plan'!L14)</x:f>
      </x:c>
      <x:c r="E22" s="100" t="str">
        <x:f>IF('Pallet Plan'!C14=0,"",'Pallet Plan'!I14&amp;" x "&amp;'Pallet Plan'!J14&amp;" x "&amp;'Pallet Plan'!K14)</x:f>
      </x:c>
      <x:c r="F22" s="100" t="str">
        <x:f>IF('Pallet Plan'!C14=0,"",ROUND('Pallet Plan'!G14,0))</x:f>
      </x:c>
      <x:c r="G22" s="100" t="str">
        <x:f>IF('Pallet Plan'!C14=0,"",ROUND('Pallet Plan'!H14,0))</x:f>
      </x:c>
      <x:c r="H22" s="100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  <x:c r="AA22" s="101"/>
      <x:c r="AB22" s="101"/>
      <x:c r="AC22" s="101"/>
      <x:c r="AD22" s="101"/>
      <x:c r="AE22" s="101"/>
    </x:row>
    <x:row r="23">
      <x:c r="A23" s="133" t="str">
        <x:v>TOTAL</x:v>
      </x:c>
      <x:c r="B23" s="100"/>
      <x:c r="C23" s="100"/>
      <x:c r="D23" s="100"/>
      <x:c r="E23" s="100"/>
      <x:c r="F23" s="108" t="n">
        <x:f>ROUND(SUM('Pallet Plan'!G3:G14),0)</x:f>
        <x:v>0</x:v>
      </x:c>
      <x:c r="G23" s="108" t="n">
        <x:f>CEILING(MAX(0,SUM('Pallet Plan'!G3:G14)),'START HERE'!B18)</x:f>
        <x:v>0</x:v>
      </x:c>
      <x:c r="H23" s="100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  <x:c r="AA23" s="101"/>
      <x:c r="AB23" s="101"/>
      <x:c r="AC23" s="101"/>
      <x:c r="AD23" s="101"/>
      <x:c r="AE23" s="101"/>
    </x:row>
    <x:row r="24">
      <x:c r="A24" s="101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  <x:c r="AA24" s="101"/>
      <x:c r="AB24" s="101"/>
      <x:c r="AC24" s="101"/>
      <x:c r="AD24" s="101"/>
      <x:c r="AE24" s="101"/>
    </x:row>
    <x:row r="25">
      <x:c r="A25" s="134" t="str">
        <x:v>Declaration: Goods have been checked and released/received in the condition noted above. Final counts and weights should be verified at handover.</x:v>
      </x:c>
      <x:c r="B25" s="101"/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  <x:c r="AA25" s="101"/>
      <x:c r="AB25" s="101"/>
      <x:c r="AC25" s="101"/>
      <x:c r="AD25" s="101"/>
      <x:c r="AE25" s="101"/>
    </x:row>
    <x:row r="26">
      <x:c r="A26" s="101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  <x:c r="AA26" s="101"/>
      <x:c r="AB26" s="101"/>
      <x:c r="AC26" s="101"/>
      <x:c r="AD26" s="101"/>
      <x:c r="AE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  <x:c r="AA27" s="101"/>
      <x:c r="AB27" s="101"/>
      <x:c r="AC27" s="101"/>
      <x:c r="AD27" s="101"/>
      <x:c r="AE27" s="101"/>
    </x:row>
    <x:row r="28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  <x:c r="AA28" s="101"/>
      <x:c r="AB28" s="101"/>
      <x:c r="AC28" s="101"/>
      <x:c r="AD28" s="101"/>
      <x:c r="AE28" s="101"/>
    </x:row>
    <x:row r="29">
      <x:c r="A29" s="143" t="str">
        <x:v>Collected / Received by</x:v>
      </x:c>
      <x:c r="B29" s="143"/>
      <x:c r="C29" s="143"/>
      <x:c r="D29" s="143"/>
      <x:c r="E29" s="143" t="str">
        <x:v>Released / Delivered by</x:v>
      </x:c>
      <x:c r="F29" s="143"/>
      <x:c r="G29" s="143"/>
      <x:c r="H29" s="143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  <x:c r="AA29" s="101"/>
      <x:c r="AB29" s="101"/>
      <x:c r="AC29" s="101"/>
      <x:c r="AD29" s="101"/>
      <x:c r="AE29" s="101"/>
    </x:row>
    <x:row r="30">
      <x:c r="A30" s="144" t="str">
        <x:v>Name</x:v>
      </x:c>
      <x:c r="B30" s="145" t="str"/>
      <x:c r="C30" s="101"/>
      <x:c r="D30" s="101"/>
      <x:c r="E30" s="144" t="str">
        <x:v>Name</x:v>
      </x:c>
      <x:c r="F30" s="145" t="str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  <x:c r="AA30" s="101"/>
      <x:c r="AB30" s="101"/>
      <x:c r="AC30" s="101"/>
      <x:c r="AD30" s="101"/>
      <x:c r="AE30" s="101"/>
    </x:row>
    <x:row r="31">
      <x:c r="A31" s="144" t="str">
        <x:v>Company</x:v>
      </x:c>
      <x:c r="B31" s="145" t="str"/>
      <x:c r="C31" s="101"/>
      <x:c r="D31" s="101"/>
      <x:c r="E31" s="144" t="str">
        <x:v>Company</x:v>
      </x:c>
      <x:c r="F31" s="145" t="str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  <x:c r="AA31" s="101"/>
      <x:c r="AB31" s="101"/>
      <x:c r="AC31" s="101"/>
      <x:c r="AD31" s="101"/>
      <x:c r="AE31" s="101"/>
    </x:row>
    <x:row r="32">
      <x:c r="A32" s="144" t="str">
        <x:v>Vehicle Reg</x:v>
      </x:c>
      <x:c r="B32" s="145" t="str"/>
      <x:c r="C32" s="101"/>
      <x:c r="D32" s="101"/>
      <x:c r="E32" s="144" t="str">
        <x:v>Vehicle Reg</x:v>
      </x:c>
      <x:c r="F32" s="145" t="str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  <x:c r="AA32" s="101"/>
      <x:c r="AB32" s="101"/>
      <x:c r="AC32" s="101"/>
      <x:c r="AD32" s="101"/>
      <x:c r="AE32" s="101"/>
    </x:row>
    <x:row r="33">
      <x:c r="A33" s="144" t="str">
        <x:v>Signature</x:v>
      </x:c>
      <x:c r="B33" s="145" t="str"/>
      <x:c r="C33" s="101"/>
      <x:c r="D33" s="101"/>
      <x:c r="E33" s="144" t="str">
        <x:v>Signature</x:v>
      </x:c>
      <x:c r="F33" s="145" t="str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  <x:c r="AA33" s="101"/>
      <x:c r="AB33" s="101"/>
      <x:c r="AC33" s="101"/>
      <x:c r="AD33" s="101"/>
      <x:c r="AE33" s="101"/>
    </x:row>
    <x:row r="34">
      <x:c r="A34" s="144" t="str">
        <x:v>Date / Time</x:v>
      </x:c>
      <x:c r="B34" s="145" t="str"/>
      <x:c r="C34" s="101"/>
      <x:c r="D34" s="101"/>
      <x:c r="E34" s="144" t="str">
        <x:v>Date / Time</x:v>
      </x:c>
      <x:c r="F34" s="145" t="str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  <x:c r="AA34" s="101"/>
      <x:c r="AB34" s="101"/>
      <x:c r="AC34" s="101"/>
      <x:c r="AD34" s="101"/>
      <x:c r="AE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  <x:c r="AA35" s="101"/>
      <x:c r="AB35" s="101"/>
      <x:c r="AC35" s="101"/>
      <x:c r="AD35" s="101"/>
      <x:c r="AE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  <x:c r="AA36" s="101"/>
      <x:c r="AB36" s="101"/>
      <x:c r="AC36" s="101"/>
      <x:c r="AD36" s="101"/>
      <x:c r="AE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  <x:c r="AA37" s="101"/>
      <x:c r="AB37" s="101"/>
      <x:c r="AC37" s="101"/>
      <x:c r="AD37" s="101"/>
      <x:c r="AE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  <x:c r="AA38" s="101"/>
      <x:c r="AB38" s="101"/>
      <x:c r="AC38" s="101"/>
      <x:c r="AD38" s="101"/>
      <x:c r="AE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  <x:c r="AA39" s="101"/>
      <x:c r="AB39" s="101"/>
      <x:c r="AC39" s="101"/>
      <x:c r="AD39" s="101"/>
      <x:c r="AE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  <x:c r="AA40" s="101"/>
      <x:c r="AB40" s="101"/>
      <x:c r="AC40" s="101"/>
      <x:c r="AD40" s="101"/>
      <x:c r="AE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  <x:c r="AA41" s="101"/>
      <x:c r="AB41" s="101"/>
      <x:c r="AC41" s="101"/>
      <x:c r="AD41" s="101"/>
      <x:c r="AE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  <x:c r="AA42" s="101"/>
      <x:c r="AB42" s="101"/>
      <x:c r="AC42" s="101"/>
      <x:c r="AD42" s="101"/>
      <x:c r="AE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  <x:c r="AA43" s="101"/>
      <x:c r="AB43" s="101"/>
      <x:c r="AC43" s="101"/>
      <x:c r="AD43" s="101"/>
      <x:c r="AE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  <x:c r="AA44" s="101"/>
      <x:c r="AB44" s="101"/>
      <x:c r="AC44" s="101"/>
      <x:c r="AD44" s="101"/>
      <x:c r="AE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  <x:c r="AA45" s="101"/>
      <x:c r="AB45" s="101"/>
      <x:c r="AC45" s="101"/>
      <x:c r="AD45" s="101"/>
      <x:c r="AE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  <x:c r="AA46" s="101"/>
      <x:c r="AB46" s="101"/>
      <x:c r="AC46" s="101"/>
      <x:c r="AD46" s="101"/>
      <x:c r="AE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  <x:c r="AA47" s="101"/>
      <x:c r="AB47" s="101"/>
      <x:c r="AC47" s="101"/>
      <x:c r="AD47" s="101"/>
      <x:c r="AE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  <x:c r="AA48" s="101"/>
      <x:c r="AB48" s="101"/>
      <x:c r="AC48" s="101"/>
      <x:c r="AD48" s="101"/>
      <x:c r="AE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  <x:c r="AA49" s="101"/>
      <x:c r="AB49" s="101"/>
      <x:c r="AC49" s="101"/>
      <x:c r="AD49" s="101"/>
      <x:c r="AE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  <x:c r="AA50" s="101"/>
      <x:c r="AB50" s="101"/>
      <x:c r="AC50" s="101"/>
      <x:c r="AD50" s="101"/>
      <x:c r="AE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  <x:c r="AA51" s="101"/>
      <x:c r="AB51" s="101"/>
      <x:c r="AC51" s="101"/>
      <x:c r="AD51" s="101"/>
      <x:c r="AE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  <x:c r="AA52" s="101"/>
      <x:c r="AB52" s="101"/>
      <x:c r="AC52" s="101"/>
      <x:c r="AD52" s="101"/>
      <x:c r="AE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  <x:c r="AA53" s="101"/>
      <x:c r="AB53" s="101"/>
      <x:c r="AC53" s="101"/>
      <x:c r="AD53" s="101"/>
      <x:c r="AE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  <x:c r="AA54" s="101"/>
      <x:c r="AB54" s="101"/>
      <x:c r="AC54" s="101"/>
      <x:c r="AD54" s="101"/>
      <x:c r="AE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  <x:c r="AA55" s="101"/>
      <x:c r="AB55" s="101"/>
      <x:c r="AC55" s="101"/>
      <x:c r="AD55" s="101"/>
      <x:c r="AE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  <x:c r="AA56" s="101"/>
      <x:c r="AB56" s="101"/>
      <x:c r="AC56" s="101"/>
      <x:c r="AD56" s="101"/>
      <x:c r="AE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  <x:c r="AA57" s="101"/>
      <x:c r="AB57" s="101"/>
      <x:c r="AC57" s="101"/>
      <x:c r="AD57" s="101"/>
      <x:c r="AE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  <x:c r="AA58" s="101"/>
      <x:c r="AB58" s="101"/>
      <x:c r="AC58" s="101"/>
      <x:c r="AD58" s="101"/>
      <x:c r="AE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  <x:c r="AA59" s="101"/>
      <x:c r="AB59" s="101"/>
      <x:c r="AC59" s="101"/>
      <x:c r="AD59" s="101"/>
      <x:c r="AE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  <x:c r="AA60" s="101"/>
      <x:c r="AB60" s="101"/>
      <x:c r="AC60" s="101"/>
      <x:c r="AD60" s="101"/>
      <x:c r="AE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  <x:c r="AA61" s="101"/>
      <x:c r="AB61" s="101"/>
      <x:c r="AC61" s="101"/>
      <x:c r="AD61" s="101"/>
      <x:c r="AE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  <x:c r="AA62" s="101"/>
      <x:c r="AB62" s="101"/>
      <x:c r="AC62" s="101"/>
      <x:c r="AD62" s="101"/>
      <x:c r="AE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  <x:c r="AA63" s="101"/>
      <x:c r="AB63" s="101"/>
      <x:c r="AC63" s="101"/>
      <x:c r="AD63" s="101"/>
      <x:c r="AE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  <x:c r="AA64" s="101"/>
      <x:c r="AB64" s="101"/>
      <x:c r="AC64" s="101"/>
      <x:c r="AD64" s="101"/>
      <x:c r="AE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  <x:c r="AA65" s="101"/>
      <x:c r="AB65" s="101"/>
      <x:c r="AC65" s="101"/>
      <x:c r="AD65" s="101"/>
      <x:c r="AE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  <x:c r="AA66" s="101"/>
      <x:c r="AB66" s="101"/>
      <x:c r="AC66" s="101"/>
      <x:c r="AD66" s="101"/>
      <x:c r="AE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  <x:c r="AA67" s="101"/>
      <x:c r="AB67" s="101"/>
      <x:c r="AC67" s="101"/>
      <x:c r="AD67" s="101"/>
      <x:c r="AE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  <x:c r="AA68" s="101"/>
      <x:c r="AB68" s="101"/>
      <x:c r="AC68" s="101"/>
      <x:c r="AD68" s="101"/>
      <x:c r="AE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  <x:c r="AA69" s="101"/>
      <x:c r="AB69" s="101"/>
      <x:c r="AC69" s="101"/>
      <x:c r="AD69" s="101"/>
      <x:c r="AE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  <x:c r="AA70" s="101"/>
      <x:c r="AB70" s="101"/>
      <x:c r="AC70" s="101"/>
      <x:c r="AD70" s="101"/>
      <x:c r="AE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  <x:c r="AA71" s="101"/>
      <x:c r="AB71" s="101"/>
      <x:c r="AC71" s="101"/>
      <x:c r="AD71" s="101"/>
      <x:c r="AE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  <x:c r="AA72" s="101"/>
      <x:c r="AB72" s="101"/>
      <x:c r="AC72" s="101"/>
      <x:c r="AD72" s="101"/>
      <x:c r="AE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  <x:c r="AA73" s="101"/>
      <x:c r="AB73" s="101"/>
      <x:c r="AC73" s="101"/>
      <x:c r="AD73" s="101"/>
      <x:c r="AE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  <x:c r="AA74" s="101"/>
      <x:c r="AB74" s="101"/>
      <x:c r="AC74" s="101"/>
      <x:c r="AD74" s="101"/>
      <x:c r="AE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  <x:c r="AA75" s="101"/>
      <x:c r="AB75" s="101"/>
      <x:c r="AC75" s="101"/>
      <x:c r="AD75" s="101"/>
      <x:c r="AE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  <x:c r="AA76" s="101"/>
      <x:c r="AB76" s="101"/>
      <x:c r="AC76" s="101"/>
      <x:c r="AD76" s="101"/>
      <x:c r="AE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  <x:c r="AA77" s="101"/>
      <x:c r="AB77" s="101"/>
      <x:c r="AC77" s="101"/>
      <x:c r="AD77" s="101"/>
      <x:c r="AE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  <x:c r="AA78" s="101"/>
      <x:c r="AB78" s="101"/>
      <x:c r="AC78" s="101"/>
      <x:c r="AD78" s="101"/>
      <x:c r="AE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  <x:c r="AA79" s="101"/>
      <x:c r="AB79" s="101"/>
      <x:c r="AC79" s="101"/>
      <x:c r="AD79" s="101"/>
      <x:c r="AE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  <x:c r="AA80" s="101"/>
      <x:c r="AB80" s="101"/>
      <x:c r="AC80" s="101"/>
      <x:c r="AD80" s="101"/>
      <x:c r="AE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  <x:c r="AA81" s="101"/>
      <x:c r="AB81" s="101"/>
      <x:c r="AC81" s="101"/>
      <x:c r="AD81" s="101"/>
      <x:c r="AE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  <x:c r="AA82" s="101"/>
      <x:c r="AB82" s="101"/>
      <x:c r="AC82" s="101"/>
      <x:c r="AD82" s="101"/>
      <x:c r="AE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  <x:c r="AA83" s="101"/>
      <x:c r="AB83" s="101"/>
      <x:c r="AC83" s="101"/>
      <x:c r="AD83" s="101"/>
      <x:c r="AE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  <x:c r="AA84" s="101"/>
      <x:c r="AB84" s="101"/>
      <x:c r="AC84" s="101"/>
      <x:c r="AD84" s="101"/>
      <x:c r="AE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  <x:c r="AA85" s="101"/>
      <x:c r="AB85" s="101"/>
      <x:c r="AC85" s="101"/>
      <x:c r="AD85" s="101"/>
      <x:c r="AE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  <x:c r="AA86" s="101"/>
      <x:c r="AB86" s="101"/>
      <x:c r="AC86" s="101"/>
      <x:c r="AD86" s="101"/>
      <x:c r="AE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  <x:c r="AA87" s="101"/>
      <x:c r="AB87" s="101"/>
      <x:c r="AC87" s="101"/>
      <x:c r="AD87" s="101"/>
      <x:c r="AE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  <x:c r="AA88" s="101"/>
      <x:c r="AB88" s="101"/>
      <x:c r="AC88" s="101"/>
      <x:c r="AD88" s="101"/>
      <x:c r="AE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  <x:c r="AA89" s="101"/>
      <x:c r="AB89" s="101"/>
      <x:c r="AC89" s="101"/>
      <x:c r="AD89" s="101"/>
      <x:c r="AE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  <x:c r="AA90" s="101"/>
      <x:c r="AB90" s="101"/>
      <x:c r="AC90" s="101"/>
      <x:c r="AD90" s="101"/>
      <x:c r="AE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  <x:c r="AA91" s="101"/>
      <x:c r="AB91" s="101"/>
      <x:c r="AC91" s="101"/>
      <x:c r="AD91" s="101"/>
      <x:c r="AE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  <x:c r="AA92" s="101"/>
      <x:c r="AB92" s="101"/>
      <x:c r="AC92" s="101"/>
      <x:c r="AD92" s="101"/>
      <x:c r="AE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  <x:c r="AA93" s="101"/>
      <x:c r="AB93" s="101"/>
      <x:c r="AC93" s="101"/>
      <x:c r="AD93" s="101"/>
      <x:c r="AE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  <x:c r="AA94" s="101"/>
      <x:c r="AB94" s="101"/>
      <x:c r="AC94" s="101"/>
      <x:c r="AD94" s="101"/>
      <x:c r="AE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  <x:c r="AA95" s="101"/>
      <x:c r="AB95" s="101"/>
      <x:c r="AC95" s="101"/>
      <x:c r="AD95" s="101"/>
      <x:c r="AE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  <x:c r="AA96" s="101"/>
      <x:c r="AB96" s="101"/>
      <x:c r="AC96" s="101"/>
      <x:c r="AD96" s="101"/>
      <x:c r="AE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  <x:c r="AA97" s="101"/>
      <x:c r="AB97" s="101"/>
      <x:c r="AC97" s="101"/>
      <x:c r="AD97" s="101"/>
      <x:c r="AE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  <x:c r="AA98" s="101"/>
      <x:c r="AB98" s="101"/>
      <x:c r="AC98" s="101"/>
      <x:c r="AD98" s="101"/>
      <x:c r="AE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  <x:c r="AA99" s="101"/>
      <x:c r="AB99" s="101"/>
      <x:c r="AC99" s="101"/>
      <x:c r="AD99" s="101"/>
      <x:c r="AE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  <x:c r="AA100" s="101"/>
      <x:c r="AB100" s="101"/>
      <x:c r="AC100" s="101"/>
      <x:c r="AD100" s="101"/>
      <x:c r="AE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  <x:c r="AA101" s="101"/>
      <x:c r="AB101" s="101"/>
      <x:c r="AC101" s="101"/>
      <x:c r="AD101" s="101"/>
      <x:c r="AE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  <x:c r="AA102" s="101"/>
      <x:c r="AB102" s="101"/>
      <x:c r="AC102" s="101"/>
      <x:c r="AD102" s="101"/>
      <x:c r="AE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  <x:c r="AA103" s="101"/>
      <x:c r="AB103" s="101"/>
      <x:c r="AC103" s="101"/>
      <x:c r="AD103" s="101"/>
      <x:c r="AE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  <x:c r="AA104" s="101"/>
      <x:c r="AB104" s="101"/>
      <x:c r="AC104" s="101"/>
      <x:c r="AD104" s="101"/>
      <x:c r="AE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  <x:c r="AA105" s="101"/>
      <x:c r="AB105" s="101"/>
      <x:c r="AC105" s="101"/>
      <x:c r="AD105" s="101"/>
      <x:c r="AE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  <x:c r="AA106" s="101"/>
      <x:c r="AB106" s="101"/>
      <x:c r="AC106" s="101"/>
      <x:c r="AD106" s="101"/>
      <x:c r="AE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  <x:c r="AA107" s="101"/>
      <x:c r="AB107" s="101"/>
      <x:c r="AC107" s="101"/>
      <x:c r="AD107" s="101"/>
      <x:c r="AE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  <x:c r="AA108" s="101"/>
      <x:c r="AB108" s="101"/>
      <x:c r="AC108" s="101"/>
      <x:c r="AD108" s="101"/>
      <x:c r="AE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  <x:c r="AA109" s="101"/>
      <x:c r="AB109" s="101"/>
      <x:c r="AC109" s="101"/>
      <x:c r="AD109" s="101"/>
      <x:c r="AE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  <x:c r="AA110" s="101"/>
      <x:c r="AB110" s="101"/>
      <x:c r="AC110" s="101"/>
      <x:c r="AD110" s="101"/>
      <x:c r="AE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  <x:c r="AA111" s="101"/>
      <x:c r="AB111" s="101"/>
      <x:c r="AC111" s="101"/>
      <x:c r="AD111" s="101"/>
      <x:c r="AE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  <x:c r="AA112" s="101"/>
      <x:c r="AB112" s="101"/>
      <x:c r="AC112" s="101"/>
      <x:c r="AD112" s="101"/>
      <x:c r="AE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  <x:c r="AA113" s="101"/>
      <x:c r="AB113" s="101"/>
      <x:c r="AC113" s="101"/>
      <x:c r="AD113" s="101"/>
      <x:c r="AE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  <x:c r="AA114" s="101"/>
      <x:c r="AB114" s="101"/>
      <x:c r="AC114" s="101"/>
      <x:c r="AD114" s="101"/>
      <x:c r="AE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  <x:c r="AA115" s="101"/>
      <x:c r="AB115" s="101"/>
      <x:c r="AC115" s="101"/>
      <x:c r="AD115" s="101"/>
      <x:c r="AE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  <x:c r="AA116" s="101"/>
      <x:c r="AB116" s="101"/>
      <x:c r="AC116" s="101"/>
      <x:c r="AD116" s="101"/>
      <x:c r="AE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  <x:c r="AA117" s="101"/>
      <x:c r="AB117" s="101"/>
      <x:c r="AC117" s="101"/>
      <x:c r="AD117" s="101"/>
      <x:c r="AE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  <x:c r="AA118" s="101"/>
      <x:c r="AB118" s="101"/>
      <x:c r="AC118" s="101"/>
      <x:c r="AD118" s="101"/>
      <x:c r="AE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  <x:c r="AA119" s="101"/>
      <x:c r="AB119" s="101"/>
      <x:c r="AC119" s="101"/>
      <x:c r="AD119" s="101"/>
      <x:c r="AE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  <x:c r="AA120" s="101"/>
      <x:c r="AB120" s="101"/>
      <x:c r="AC120" s="101"/>
      <x:c r="AD120" s="101"/>
      <x:c r="AE120" s="101"/>
    </x:row>
    <x:row r="121">
      <x:c r="A121" s="101"/>
      <x:c r="B121" s="101"/>
      <x:c r="C121" s="101"/>
      <x:c r="D121" s="101"/>
      <x:c r="E121" s="101"/>
      <x:c r="F121" s="101"/>
      <x:c r="G121" s="101"/>
      <x:c r="H121" s="101"/>
      <x:c r="I121" s="101"/>
      <x:c r="J121" s="101"/>
      <x:c r="K121" s="101"/>
      <x:c r="L121" s="101"/>
      <x:c r="M121" s="101"/>
      <x:c r="N121" s="101"/>
      <x:c r="O121" s="101"/>
      <x:c r="P121" s="101"/>
      <x:c r="Q121" s="101"/>
      <x:c r="R121" s="101"/>
      <x:c r="S121" s="101"/>
      <x:c r="T121" s="101"/>
      <x:c r="U121" s="101"/>
      <x:c r="V121" s="101"/>
      <x:c r="W121" s="101"/>
      <x:c r="X121" s="101"/>
      <x:c r="Y121" s="101"/>
      <x:c r="Z121" s="101"/>
      <x:c r="AA121" s="101"/>
      <x:c r="AB121" s="101"/>
      <x:c r="AC121" s="101"/>
      <x:c r="AD121" s="101"/>
      <x:c r="AE121" s="101"/>
    </x:row>
    <x:row r="122">
      <x:c r="A122" s="101"/>
      <x:c r="B122" s="101"/>
      <x:c r="C122" s="101"/>
      <x:c r="D122" s="101"/>
      <x:c r="E122" s="101"/>
      <x:c r="F122" s="101"/>
      <x:c r="G122" s="101"/>
      <x:c r="H122" s="101"/>
      <x:c r="I122" s="101"/>
      <x:c r="J122" s="101"/>
      <x:c r="K122" s="101"/>
      <x:c r="L122" s="101"/>
      <x:c r="M122" s="101"/>
      <x:c r="N122" s="101"/>
      <x:c r="O122" s="101"/>
      <x:c r="P122" s="101"/>
      <x:c r="Q122" s="101"/>
      <x:c r="R122" s="101"/>
      <x:c r="S122" s="101"/>
      <x:c r="T122" s="101"/>
      <x:c r="U122" s="101"/>
      <x:c r="V122" s="101"/>
      <x:c r="W122" s="101"/>
      <x:c r="X122" s="101"/>
      <x:c r="Y122" s="101"/>
      <x:c r="Z122" s="101"/>
      <x:c r="AA122" s="101"/>
      <x:c r="AB122" s="101"/>
      <x:c r="AC122" s="101"/>
      <x:c r="AD122" s="101"/>
      <x:c r="AE122" s="101"/>
    </x:row>
    <x:row r="123">
      <x:c r="A123" s="101"/>
      <x:c r="B123" s="101"/>
      <x:c r="C123" s="101"/>
      <x:c r="D123" s="101"/>
      <x:c r="E123" s="101"/>
      <x:c r="F123" s="101"/>
      <x:c r="G123" s="101"/>
      <x:c r="H123" s="101"/>
      <x:c r="I123" s="101"/>
      <x:c r="J123" s="101"/>
      <x:c r="K123" s="101"/>
      <x:c r="L123" s="101"/>
      <x:c r="M123" s="101"/>
      <x:c r="N123" s="101"/>
      <x:c r="O123" s="101"/>
      <x:c r="P123" s="101"/>
      <x:c r="Q123" s="101"/>
      <x:c r="R123" s="101"/>
      <x:c r="S123" s="101"/>
      <x:c r="T123" s="101"/>
      <x:c r="U123" s="101"/>
      <x:c r="V123" s="101"/>
      <x:c r="W123" s="101"/>
      <x:c r="X123" s="101"/>
      <x:c r="Y123" s="101"/>
      <x:c r="Z123" s="101"/>
      <x:c r="AA123" s="101"/>
      <x:c r="AB123" s="101"/>
      <x:c r="AC123" s="101"/>
      <x:c r="AD123" s="101"/>
      <x:c r="AE123" s="101"/>
    </x:row>
    <x:row r="124">
      <x:c r="A124" s="101"/>
      <x:c r="B124" s="101"/>
      <x:c r="C124" s="101"/>
      <x:c r="D124" s="101"/>
      <x:c r="E124" s="101"/>
      <x:c r="F124" s="101"/>
      <x:c r="G124" s="101"/>
      <x:c r="H124" s="101"/>
      <x:c r="I124" s="101"/>
      <x:c r="J124" s="101"/>
      <x:c r="K124" s="101"/>
      <x:c r="L124" s="101"/>
      <x:c r="M124" s="101"/>
      <x:c r="N124" s="101"/>
      <x:c r="O124" s="101"/>
      <x:c r="P124" s="101"/>
      <x:c r="Q124" s="101"/>
      <x:c r="R124" s="101"/>
      <x:c r="S124" s="101"/>
      <x:c r="T124" s="101"/>
      <x:c r="U124" s="101"/>
      <x:c r="V124" s="101"/>
      <x:c r="W124" s="101"/>
      <x:c r="X124" s="101"/>
      <x:c r="Y124" s="101"/>
      <x:c r="Z124" s="101"/>
      <x:c r="AA124" s="101"/>
      <x:c r="AB124" s="101"/>
      <x:c r="AC124" s="101"/>
      <x:c r="AD124" s="101"/>
      <x:c r="AE124" s="101"/>
    </x:row>
    <x:row r="125">
      <x:c r="A125" s="101"/>
      <x:c r="B125" s="101"/>
      <x:c r="C125" s="101"/>
      <x:c r="D125" s="101"/>
      <x:c r="E125" s="101"/>
      <x:c r="F125" s="101"/>
      <x:c r="G125" s="101"/>
      <x:c r="H125" s="101"/>
      <x:c r="I125" s="101"/>
      <x:c r="J125" s="101"/>
      <x:c r="K125" s="101"/>
      <x:c r="L125" s="101"/>
      <x:c r="M125" s="101"/>
      <x:c r="N125" s="101"/>
      <x:c r="O125" s="101"/>
      <x:c r="P125" s="101"/>
      <x:c r="Q125" s="101"/>
      <x:c r="R125" s="101"/>
      <x:c r="S125" s="101"/>
      <x:c r="T125" s="101"/>
      <x:c r="U125" s="101"/>
      <x:c r="V125" s="101"/>
      <x:c r="W125" s="101"/>
      <x:c r="X125" s="101"/>
      <x:c r="Y125" s="101"/>
      <x:c r="Z125" s="101"/>
      <x:c r="AA125" s="101"/>
      <x:c r="AB125" s="101"/>
      <x:c r="AC125" s="101"/>
      <x:c r="AD125" s="101"/>
      <x:c r="AE125" s="101"/>
    </x:row>
    <x:row r="126">
      <x:c r="A126" s="101"/>
      <x:c r="B126" s="101"/>
      <x:c r="C126" s="101"/>
      <x:c r="D126" s="101"/>
      <x:c r="E126" s="101"/>
      <x:c r="F126" s="101"/>
      <x:c r="G126" s="101"/>
      <x:c r="H126" s="101"/>
      <x:c r="I126" s="101"/>
      <x:c r="J126" s="101"/>
      <x:c r="K126" s="101"/>
      <x:c r="L126" s="101"/>
      <x:c r="M126" s="101"/>
      <x:c r="N126" s="101"/>
      <x:c r="O126" s="101"/>
      <x:c r="P126" s="101"/>
      <x:c r="Q126" s="101"/>
      <x:c r="R126" s="101"/>
      <x:c r="S126" s="101"/>
      <x:c r="T126" s="101"/>
      <x:c r="U126" s="101"/>
      <x:c r="V126" s="101"/>
      <x:c r="W126" s="101"/>
      <x:c r="X126" s="101"/>
      <x:c r="Y126" s="101"/>
      <x:c r="Z126" s="101"/>
      <x:c r="AA126" s="101"/>
      <x:c r="AB126" s="101"/>
      <x:c r="AC126" s="101"/>
      <x:c r="AD126" s="101"/>
      <x:c r="AE126" s="101"/>
    </x:row>
    <x:row r="127">
      <x:c r="A127" s="101"/>
      <x:c r="B127" s="101"/>
      <x:c r="C127" s="101"/>
      <x:c r="D127" s="101"/>
      <x:c r="E127" s="101"/>
      <x:c r="F127" s="101"/>
      <x:c r="G127" s="101"/>
      <x:c r="H127" s="101"/>
      <x:c r="I127" s="101"/>
      <x:c r="J127" s="101"/>
      <x:c r="K127" s="101"/>
      <x:c r="L127" s="101"/>
      <x:c r="M127" s="101"/>
      <x:c r="N127" s="101"/>
      <x:c r="O127" s="101"/>
      <x:c r="P127" s="101"/>
      <x:c r="Q127" s="101"/>
      <x:c r="R127" s="101"/>
      <x:c r="S127" s="101"/>
      <x:c r="T127" s="101"/>
      <x:c r="U127" s="101"/>
      <x:c r="V127" s="101"/>
      <x:c r="W127" s="101"/>
      <x:c r="X127" s="101"/>
      <x:c r="Y127" s="101"/>
      <x:c r="Z127" s="101"/>
      <x:c r="AA127" s="101"/>
      <x:c r="AB127" s="101"/>
      <x:c r="AC127" s="101"/>
      <x:c r="AD127" s="101"/>
      <x:c r="AE127" s="101"/>
    </x:row>
    <x:row r="128">
      <x:c r="A128" s="101"/>
      <x:c r="B128" s="101"/>
      <x:c r="C128" s="101"/>
      <x:c r="D128" s="101"/>
      <x:c r="E128" s="101"/>
      <x:c r="F128" s="101"/>
      <x:c r="G128" s="101"/>
      <x:c r="H128" s="101"/>
      <x:c r="I128" s="101"/>
      <x:c r="J128" s="101"/>
      <x:c r="K128" s="101"/>
      <x:c r="L128" s="101"/>
      <x:c r="M128" s="101"/>
      <x:c r="N128" s="101"/>
      <x:c r="O128" s="101"/>
      <x:c r="P128" s="101"/>
      <x:c r="Q128" s="101"/>
      <x:c r="R128" s="101"/>
      <x:c r="S128" s="101"/>
      <x:c r="T128" s="101"/>
      <x:c r="U128" s="101"/>
      <x:c r="V128" s="101"/>
      <x:c r="W128" s="101"/>
      <x:c r="X128" s="101"/>
      <x:c r="Y128" s="101"/>
      <x:c r="Z128" s="101"/>
      <x:c r="AA128" s="101"/>
      <x:c r="AB128" s="101"/>
      <x:c r="AC128" s="101"/>
      <x:c r="AD128" s="101"/>
      <x:c r="AE128" s="101"/>
    </x:row>
    <x:row r="129">
      <x:c r="A129" s="101"/>
      <x:c r="B129" s="101"/>
      <x:c r="C129" s="101"/>
      <x:c r="D129" s="101"/>
      <x:c r="E129" s="101"/>
      <x:c r="F129" s="101"/>
      <x:c r="G129" s="101"/>
      <x:c r="H129" s="101"/>
      <x:c r="I129" s="101"/>
      <x:c r="J129" s="101"/>
      <x:c r="K129" s="101"/>
      <x:c r="L129" s="101"/>
      <x:c r="M129" s="101"/>
      <x:c r="N129" s="101"/>
      <x:c r="O129" s="101"/>
      <x:c r="P129" s="101"/>
      <x:c r="Q129" s="101"/>
      <x:c r="R129" s="101"/>
      <x:c r="S129" s="101"/>
      <x:c r="T129" s="101"/>
      <x:c r="U129" s="101"/>
      <x:c r="V129" s="101"/>
      <x:c r="W129" s="101"/>
      <x:c r="X129" s="101"/>
      <x:c r="Y129" s="101"/>
      <x:c r="Z129" s="101"/>
      <x:c r="AA129" s="101"/>
      <x:c r="AB129" s="101"/>
      <x:c r="AC129" s="101"/>
      <x:c r="AD129" s="101"/>
      <x:c r="AE129" s="101"/>
    </x:row>
    <x:row r="130">
      <x:c r="A130" s="101"/>
      <x:c r="B130" s="101"/>
      <x:c r="C130" s="101"/>
      <x:c r="D130" s="101"/>
      <x:c r="E130" s="101"/>
      <x:c r="F130" s="101"/>
      <x:c r="G130" s="101"/>
      <x:c r="H130" s="101"/>
      <x:c r="I130" s="101"/>
      <x:c r="J130" s="101"/>
      <x:c r="K130" s="101"/>
      <x:c r="L130" s="101"/>
      <x:c r="M130" s="101"/>
      <x:c r="N130" s="101"/>
      <x:c r="O130" s="101"/>
      <x:c r="P130" s="101"/>
      <x:c r="Q130" s="101"/>
      <x:c r="R130" s="101"/>
      <x:c r="S130" s="101"/>
      <x:c r="T130" s="101"/>
      <x:c r="U130" s="101"/>
      <x:c r="V130" s="101"/>
      <x:c r="W130" s="101"/>
      <x:c r="X130" s="101"/>
      <x:c r="Y130" s="101"/>
      <x:c r="Z130" s="101"/>
      <x:c r="AA130" s="101"/>
      <x:c r="AB130" s="101"/>
      <x:c r="AC130" s="101"/>
      <x:c r="AD130" s="101"/>
      <x:c r="AE130" s="101"/>
    </x:row>
    <x:row r="131">
      <x:c r="A131" s="101"/>
      <x:c r="B131" s="101"/>
      <x:c r="C131" s="101"/>
      <x:c r="D131" s="101"/>
      <x:c r="E131" s="101"/>
      <x:c r="F131" s="101"/>
      <x:c r="G131" s="101"/>
      <x:c r="H131" s="101"/>
      <x:c r="I131" s="101"/>
      <x:c r="J131" s="101"/>
      <x:c r="K131" s="101"/>
      <x:c r="L131" s="101"/>
      <x:c r="M131" s="101"/>
      <x:c r="N131" s="101"/>
      <x:c r="O131" s="101"/>
      <x:c r="P131" s="101"/>
      <x:c r="Q131" s="101"/>
      <x:c r="R131" s="101"/>
      <x:c r="S131" s="101"/>
      <x:c r="T131" s="101"/>
      <x:c r="U131" s="101"/>
      <x:c r="V131" s="101"/>
      <x:c r="W131" s="101"/>
      <x:c r="X131" s="101"/>
      <x:c r="Y131" s="101"/>
      <x:c r="Z131" s="101"/>
      <x:c r="AA131" s="101"/>
      <x:c r="AB131" s="101"/>
      <x:c r="AC131" s="101"/>
      <x:c r="AD131" s="101"/>
      <x:c r="AE131" s="101"/>
    </x:row>
    <x:row r="132">
      <x:c r="A132" s="101"/>
      <x:c r="B132" s="101"/>
      <x:c r="C132" s="101"/>
      <x:c r="D132" s="101"/>
      <x:c r="E132" s="101"/>
      <x:c r="F132" s="101"/>
      <x:c r="G132" s="101"/>
      <x:c r="H132" s="101"/>
      <x:c r="I132" s="101"/>
      <x:c r="J132" s="101"/>
      <x:c r="K132" s="101"/>
      <x:c r="L132" s="101"/>
      <x:c r="M132" s="101"/>
      <x:c r="N132" s="101"/>
      <x:c r="O132" s="101"/>
      <x:c r="P132" s="101"/>
      <x:c r="Q132" s="101"/>
      <x:c r="R132" s="101"/>
      <x:c r="S132" s="101"/>
      <x:c r="T132" s="101"/>
      <x:c r="U132" s="101"/>
      <x:c r="V132" s="101"/>
      <x:c r="W132" s="101"/>
      <x:c r="X132" s="101"/>
      <x:c r="Y132" s="101"/>
      <x:c r="Z132" s="101"/>
      <x:c r="AA132" s="101"/>
      <x:c r="AB132" s="101"/>
      <x:c r="AC132" s="101"/>
      <x:c r="AD132" s="101"/>
      <x:c r="AE132" s="101"/>
    </x:row>
    <x:row r="133">
      <x:c r="A133" s="101"/>
      <x:c r="B133" s="101"/>
      <x:c r="C133" s="101"/>
      <x:c r="D133" s="101"/>
      <x:c r="E133" s="101"/>
      <x:c r="F133" s="101"/>
      <x:c r="G133" s="101"/>
      <x:c r="H133" s="101"/>
      <x:c r="I133" s="101"/>
      <x:c r="J133" s="101"/>
      <x:c r="K133" s="101"/>
      <x:c r="L133" s="101"/>
      <x:c r="M133" s="101"/>
      <x:c r="N133" s="101"/>
      <x:c r="O133" s="101"/>
      <x:c r="P133" s="101"/>
      <x:c r="Q133" s="101"/>
      <x:c r="R133" s="101"/>
      <x:c r="S133" s="101"/>
      <x:c r="T133" s="101"/>
      <x:c r="U133" s="101"/>
      <x:c r="V133" s="101"/>
      <x:c r="W133" s="101"/>
      <x:c r="X133" s="101"/>
      <x:c r="Y133" s="101"/>
      <x:c r="Z133" s="101"/>
      <x:c r="AA133" s="101"/>
      <x:c r="AB133" s="101"/>
      <x:c r="AC133" s="101"/>
      <x:c r="AD133" s="101"/>
      <x:c r="AE133" s="101"/>
    </x:row>
    <x:row r="134">
      <x:c r="A134" s="101"/>
      <x:c r="B134" s="101"/>
      <x:c r="C134" s="101"/>
      <x:c r="D134" s="101"/>
      <x:c r="E134" s="101"/>
      <x:c r="F134" s="101"/>
      <x:c r="G134" s="101"/>
      <x:c r="H134" s="101"/>
      <x:c r="I134" s="101"/>
      <x:c r="J134" s="101"/>
      <x:c r="K134" s="101"/>
      <x:c r="L134" s="101"/>
      <x:c r="M134" s="101"/>
      <x:c r="N134" s="101"/>
      <x:c r="O134" s="101"/>
      <x:c r="P134" s="101"/>
      <x:c r="Q134" s="101"/>
      <x:c r="R134" s="101"/>
      <x:c r="S134" s="101"/>
      <x:c r="T134" s="101"/>
      <x:c r="U134" s="101"/>
      <x:c r="V134" s="101"/>
      <x:c r="W134" s="101"/>
      <x:c r="X134" s="101"/>
      <x:c r="Y134" s="101"/>
      <x:c r="Z134" s="101"/>
      <x:c r="AA134" s="101"/>
      <x:c r="AB134" s="101"/>
      <x:c r="AC134" s="101"/>
      <x:c r="AD134" s="101"/>
      <x:c r="AE134" s="101"/>
    </x:row>
    <x:row r="135">
      <x:c r="A135" s="101"/>
      <x:c r="B135" s="101"/>
      <x:c r="C135" s="101"/>
      <x:c r="D135" s="101"/>
      <x:c r="E135" s="101"/>
      <x:c r="F135" s="101"/>
      <x:c r="G135" s="101"/>
      <x:c r="H135" s="101"/>
      <x:c r="I135" s="101"/>
      <x:c r="J135" s="101"/>
      <x:c r="K135" s="101"/>
      <x:c r="L135" s="101"/>
      <x:c r="M135" s="101"/>
      <x:c r="N135" s="101"/>
      <x:c r="O135" s="101"/>
      <x:c r="P135" s="101"/>
      <x:c r="Q135" s="101"/>
      <x:c r="R135" s="101"/>
      <x:c r="S135" s="101"/>
      <x:c r="T135" s="101"/>
      <x:c r="U135" s="101"/>
      <x:c r="V135" s="101"/>
      <x:c r="W135" s="101"/>
      <x:c r="X135" s="101"/>
      <x:c r="Y135" s="101"/>
      <x:c r="Z135" s="101"/>
      <x:c r="AA135" s="101"/>
      <x:c r="AB135" s="101"/>
      <x:c r="AC135" s="101"/>
      <x:c r="AD135" s="101"/>
      <x:c r="AE135" s="101"/>
    </x:row>
    <x:row r="136">
      <x:c r="A136" s="101"/>
      <x:c r="B136" s="101"/>
      <x:c r="C136" s="101"/>
      <x:c r="D136" s="101"/>
      <x:c r="E136" s="101"/>
      <x:c r="F136" s="101"/>
      <x:c r="G136" s="101"/>
      <x:c r="H136" s="101"/>
      <x:c r="I136" s="101"/>
      <x:c r="J136" s="101"/>
      <x:c r="K136" s="101"/>
      <x:c r="L136" s="101"/>
      <x:c r="M136" s="101"/>
      <x:c r="N136" s="101"/>
      <x:c r="O136" s="101"/>
      <x:c r="P136" s="101"/>
      <x:c r="Q136" s="101"/>
      <x:c r="R136" s="101"/>
      <x:c r="S136" s="101"/>
      <x:c r="T136" s="101"/>
      <x:c r="U136" s="101"/>
      <x:c r="V136" s="101"/>
      <x:c r="W136" s="101"/>
      <x:c r="X136" s="101"/>
      <x:c r="Y136" s="101"/>
      <x:c r="Z136" s="101"/>
      <x:c r="AA136" s="101"/>
      <x:c r="AB136" s="101"/>
      <x:c r="AC136" s="101"/>
      <x:c r="AD136" s="101"/>
      <x:c r="AE136" s="101"/>
    </x:row>
    <x:row r="137">
      <x:c r="A137" s="101"/>
      <x:c r="B137" s="101"/>
      <x:c r="C137" s="101"/>
      <x:c r="D137" s="101"/>
      <x:c r="E137" s="101"/>
      <x:c r="F137" s="101"/>
      <x:c r="G137" s="101"/>
      <x:c r="H137" s="101"/>
      <x:c r="I137" s="101"/>
      <x:c r="J137" s="101"/>
      <x:c r="K137" s="101"/>
      <x:c r="L137" s="101"/>
      <x:c r="M137" s="101"/>
      <x:c r="N137" s="101"/>
      <x:c r="O137" s="101"/>
      <x:c r="P137" s="101"/>
      <x:c r="Q137" s="101"/>
      <x:c r="R137" s="101"/>
      <x:c r="S137" s="101"/>
      <x:c r="T137" s="101"/>
      <x:c r="U137" s="101"/>
      <x:c r="V137" s="101"/>
      <x:c r="W137" s="101"/>
      <x:c r="X137" s="101"/>
      <x:c r="Y137" s="101"/>
      <x:c r="Z137" s="101"/>
      <x:c r="AA137" s="101"/>
      <x:c r="AB137" s="101"/>
      <x:c r="AC137" s="101"/>
      <x:c r="AD137" s="101"/>
      <x:c r="AE137" s="101"/>
    </x:row>
    <x:row r="138">
      <x:c r="A138" s="101"/>
      <x:c r="B138" s="101"/>
      <x:c r="C138" s="101"/>
      <x:c r="D138" s="101"/>
      <x:c r="E138" s="101"/>
      <x:c r="F138" s="101"/>
      <x:c r="G138" s="101"/>
      <x:c r="H138" s="101"/>
      <x:c r="I138" s="101"/>
      <x:c r="J138" s="101"/>
      <x:c r="K138" s="101"/>
      <x:c r="L138" s="101"/>
      <x:c r="M138" s="101"/>
      <x:c r="N138" s="101"/>
      <x:c r="O138" s="101"/>
      <x:c r="P138" s="101"/>
      <x:c r="Q138" s="101"/>
      <x:c r="R138" s="101"/>
      <x:c r="S138" s="101"/>
      <x:c r="T138" s="101"/>
      <x:c r="U138" s="101"/>
      <x:c r="V138" s="101"/>
      <x:c r="W138" s="101"/>
      <x:c r="X138" s="101"/>
      <x:c r="Y138" s="101"/>
      <x:c r="Z138" s="101"/>
      <x:c r="AA138" s="101"/>
      <x:c r="AB138" s="101"/>
      <x:c r="AC138" s="101"/>
      <x:c r="AD138" s="101"/>
      <x:c r="AE138" s="101"/>
    </x:row>
    <x:row r="139">
      <x:c r="A139" s="101"/>
      <x:c r="B139" s="101"/>
      <x:c r="C139" s="101"/>
      <x:c r="D139" s="101"/>
      <x:c r="E139" s="101"/>
      <x:c r="F139" s="101"/>
      <x:c r="G139" s="101"/>
      <x:c r="H139" s="101"/>
      <x:c r="I139" s="101"/>
      <x:c r="J139" s="101"/>
      <x:c r="K139" s="101"/>
      <x:c r="L139" s="101"/>
      <x:c r="M139" s="101"/>
      <x:c r="N139" s="101"/>
      <x:c r="O139" s="101"/>
      <x:c r="P139" s="101"/>
      <x:c r="Q139" s="101"/>
      <x:c r="R139" s="101"/>
      <x:c r="S139" s="101"/>
      <x:c r="T139" s="101"/>
      <x:c r="U139" s="101"/>
      <x:c r="V139" s="101"/>
      <x:c r="W139" s="101"/>
      <x:c r="X139" s="101"/>
      <x:c r="Y139" s="101"/>
      <x:c r="Z139" s="101"/>
      <x:c r="AA139" s="101"/>
      <x:c r="AB139" s="101"/>
      <x:c r="AC139" s="101"/>
      <x:c r="AD139" s="101"/>
      <x:c r="AE139" s="101"/>
    </x:row>
    <x:row r="140">
      <x:c r="A140" s="101"/>
      <x:c r="B140" s="101"/>
      <x:c r="C140" s="101"/>
      <x:c r="D140" s="101"/>
      <x:c r="E140" s="101"/>
      <x:c r="F140" s="101"/>
      <x:c r="G140" s="101"/>
      <x:c r="H140" s="101"/>
      <x:c r="I140" s="101"/>
      <x:c r="J140" s="101"/>
      <x:c r="K140" s="101"/>
      <x:c r="L140" s="101"/>
      <x:c r="M140" s="101"/>
      <x:c r="N140" s="101"/>
      <x:c r="O140" s="101"/>
      <x:c r="P140" s="101"/>
      <x:c r="Q140" s="101"/>
      <x:c r="R140" s="101"/>
      <x:c r="S140" s="101"/>
      <x:c r="T140" s="101"/>
      <x:c r="U140" s="101"/>
      <x:c r="V140" s="101"/>
      <x:c r="W140" s="101"/>
      <x:c r="X140" s="101"/>
      <x:c r="Y140" s="101"/>
      <x:c r="Z140" s="101"/>
      <x:c r="AA140" s="101"/>
      <x:c r="AB140" s="101"/>
      <x:c r="AC140" s="101"/>
      <x:c r="AD140" s="101"/>
      <x:c r="AE140" s="101"/>
    </x:row>
    <x:row r="141">
      <x:c r="A141" s="101"/>
      <x:c r="B141" s="101"/>
      <x:c r="C141" s="101"/>
      <x:c r="D141" s="101"/>
      <x:c r="E141" s="101"/>
      <x:c r="F141" s="101"/>
      <x:c r="G141" s="101"/>
      <x:c r="H141" s="101"/>
      <x:c r="I141" s="101"/>
      <x:c r="J141" s="101"/>
      <x:c r="K141" s="101"/>
      <x:c r="L141" s="101"/>
      <x:c r="M141" s="101"/>
      <x:c r="N141" s="101"/>
      <x:c r="O141" s="101"/>
      <x:c r="P141" s="101"/>
      <x:c r="Q141" s="101"/>
      <x:c r="R141" s="101"/>
      <x:c r="S141" s="101"/>
      <x:c r="T141" s="101"/>
      <x:c r="U141" s="101"/>
      <x:c r="V141" s="101"/>
      <x:c r="W141" s="101"/>
      <x:c r="X141" s="101"/>
      <x:c r="Y141" s="101"/>
      <x:c r="Z141" s="101"/>
      <x:c r="AA141" s="101"/>
      <x:c r="AB141" s="101"/>
      <x:c r="AC141" s="101"/>
      <x:c r="AD141" s="101"/>
      <x:c r="AE141" s="101"/>
    </x:row>
    <x:row r="142">
      <x:c r="A142" s="101"/>
      <x:c r="B142" s="101"/>
      <x:c r="C142" s="101"/>
      <x:c r="D142" s="101"/>
      <x:c r="E142" s="101"/>
      <x:c r="F142" s="101"/>
      <x:c r="G142" s="101"/>
      <x:c r="H142" s="101"/>
      <x:c r="I142" s="101"/>
      <x:c r="J142" s="101"/>
      <x:c r="K142" s="101"/>
      <x:c r="L142" s="101"/>
      <x:c r="M142" s="101"/>
      <x:c r="N142" s="101"/>
      <x:c r="O142" s="101"/>
      <x:c r="P142" s="101"/>
      <x:c r="Q142" s="101"/>
      <x:c r="R142" s="101"/>
      <x:c r="S142" s="101"/>
      <x:c r="T142" s="101"/>
      <x:c r="U142" s="101"/>
      <x:c r="V142" s="101"/>
      <x:c r="W142" s="101"/>
      <x:c r="X142" s="101"/>
      <x:c r="Y142" s="101"/>
      <x:c r="Z142" s="101"/>
      <x:c r="AA142" s="101"/>
      <x:c r="AB142" s="101"/>
      <x:c r="AC142" s="101"/>
      <x:c r="AD142" s="101"/>
      <x:c r="AE142" s="101"/>
    </x:row>
    <x:row r="143">
      <x:c r="A143" s="101"/>
      <x:c r="B143" s="101"/>
      <x:c r="C143" s="101"/>
      <x:c r="D143" s="101"/>
      <x:c r="E143" s="101"/>
      <x:c r="F143" s="101"/>
      <x:c r="G143" s="101"/>
      <x:c r="H143" s="101"/>
      <x:c r="I143" s="101"/>
      <x:c r="J143" s="101"/>
      <x:c r="K143" s="101"/>
      <x:c r="L143" s="101"/>
      <x:c r="M143" s="101"/>
      <x:c r="N143" s="101"/>
      <x:c r="O143" s="101"/>
      <x:c r="P143" s="101"/>
      <x:c r="Q143" s="101"/>
      <x:c r="R143" s="101"/>
      <x:c r="S143" s="101"/>
      <x:c r="T143" s="101"/>
      <x:c r="U143" s="101"/>
      <x:c r="V143" s="101"/>
      <x:c r="W143" s="101"/>
      <x:c r="X143" s="101"/>
      <x:c r="Y143" s="101"/>
      <x:c r="Z143" s="101"/>
      <x:c r="AA143" s="101"/>
      <x:c r="AB143" s="101"/>
      <x:c r="AC143" s="101"/>
      <x:c r="AD143" s="101"/>
      <x:c r="AE143" s="101"/>
    </x:row>
    <x:row r="144">
      <x:c r="A144" s="101"/>
      <x:c r="B144" s="101"/>
      <x:c r="C144" s="101"/>
      <x:c r="D144" s="101"/>
      <x:c r="E144" s="101"/>
      <x:c r="F144" s="101"/>
      <x:c r="G144" s="101"/>
      <x:c r="H144" s="101"/>
      <x:c r="I144" s="101"/>
      <x:c r="J144" s="101"/>
      <x:c r="K144" s="101"/>
      <x:c r="L144" s="101"/>
      <x:c r="M144" s="101"/>
      <x:c r="N144" s="101"/>
      <x:c r="O144" s="101"/>
      <x:c r="P144" s="101"/>
      <x:c r="Q144" s="101"/>
      <x:c r="R144" s="101"/>
      <x:c r="S144" s="101"/>
      <x:c r="T144" s="101"/>
      <x:c r="U144" s="101"/>
      <x:c r="V144" s="101"/>
      <x:c r="W144" s="101"/>
      <x:c r="X144" s="101"/>
      <x:c r="Y144" s="101"/>
      <x:c r="Z144" s="101"/>
      <x:c r="AA144" s="101"/>
      <x:c r="AB144" s="101"/>
      <x:c r="AC144" s="101"/>
      <x:c r="AD144" s="101"/>
      <x:c r="AE144" s="101"/>
    </x:row>
    <x:row r="145">
      <x:c r="A145" s="101"/>
      <x:c r="B145" s="101"/>
      <x:c r="C145" s="101"/>
      <x:c r="D145" s="101"/>
      <x:c r="E145" s="101"/>
      <x:c r="F145" s="101"/>
      <x:c r="G145" s="101"/>
      <x:c r="H145" s="101"/>
      <x:c r="I145" s="101"/>
      <x:c r="J145" s="101"/>
      <x:c r="K145" s="101"/>
      <x:c r="L145" s="101"/>
      <x:c r="M145" s="101"/>
      <x:c r="N145" s="101"/>
      <x:c r="O145" s="101"/>
      <x:c r="P145" s="101"/>
      <x:c r="Q145" s="101"/>
      <x:c r="R145" s="101"/>
      <x:c r="S145" s="101"/>
      <x:c r="T145" s="101"/>
      <x:c r="U145" s="101"/>
      <x:c r="V145" s="101"/>
      <x:c r="W145" s="101"/>
      <x:c r="X145" s="101"/>
      <x:c r="Y145" s="101"/>
      <x:c r="Z145" s="101"/>
      <x:c r="AA145" s="101"/>
      <x:c r="AB145" s="101"/>
      <x:c r="AC145" s="101"/>
      <x:c r="AD145" s="101"/>
      <x:c r="AE145" s="101"/>
    </x:row>
    <x:row r="146">
      <x:c r="A146" s="101"/>
      <x:c r="B146" s="101"/>
      <x:c r="C146" s="101"/>
      <x:c r="D146" s="101"/>
      <x:c r="E146" s="101"/>
      <x:c r="F146" s="101"/>
      <x:c r="G146" s="101"/>
      <x:c r="H146" s="101"/>
      <x:c r="I146" s="101"/>
      <x:c r="J146" s="101"/>
      <x:c r="K146" s="101"/>
      <x:c r="L146" s="101"/>
      <x:c r="M146" s="101"/>
      <x:c r="N146" s="101"/>
      <x:c r="O146" s="101"/>
      <x:c r="P146" s="101"/>
      <x:c r="Q146" s="101"/>
      <x:c r="R146" s="101"/>
      <x:c r="S146" s="101"/>
      <x:c r="T146" s="101"/>
      <x:c r="U146" s="101"/>
      <x:c r="V146" s="101"/>
      <x:c r="W146" s="101"/>
      <x:c r="X146" s="101"/>
      <x:c r="Y146" s="101"/>
      <x:c r="Z146" s="101"/>
      <x:c r="AA146" s="101"/>
      <x:c r="AB146" s="101"/>
      <x:c r="AC146" s="101"/>
      <x:c r="AD146" s="101"/>
      <x:c r="AE146" s="101"/>
    </x:row>
    <x:row r="147">
      <x:c r="A147" s="101"/>
      <x:c r="B147" s="101"/>
      <x:c r="C147" s="101"/>
      <x:c r="D147" s="101"/>
      <x:c r="E147" s="101"/>
      <x:c r="F147" s="101"/>
      <x:c r="G147" s="101"/>
      <x:c r="H147" s="101"/>
      <x:c r="I147" s="101"/>
      <x:c r="J147" s="101"/>
      <x:c r="K147" s="101"/>
      <x:c r="L147" s="101"/>
      <x:c r="M147" s="101"/>
      <x:c r="N147" s="101"/>
      <x:c r="O147" s="101"/>
      <x:c r="P147" s="101"/>
      <x:c r="Q147" s="101"/>
      <x:c r="R147" s="101"/>
      <x:c r="S147" s="101"/>
      <x:c r="T147" s="101"/>
      <x:c r="U147" s="101"/>
      <x:c r="V147" s="101"/>
      <x:c r="W147" s="101"/>
      <x:c r="X147" s="101"/>
      <x:c r="Y147" s="101"/>
      <x:c r="Z147" s="101"/>
      <x:c r="AA147" s="101"/>
      <x:c r="AB147" s="101"/>
      <x:c r="AC147" s="101"/>
      <x:c r="AD147" s="101"/>
      <x:c r="AE147" s="101"/>
    </x:row>
    <x:row r="148">
      <x:c r="A148" s="101"/>
      <x:c r="B148" s="101"/>
      <x:c r="C148" s="101"/>
      <x:c r="D148" s="101"/>
      <x:c r="E148" s="101"/>
      <x:c r="F148" s="101"/>
      <x:c r="G148" s="101"/>
      <x:c r="H148" s="101"/>
      <x:c r="I148" s="101"/>
      <x:c r="J148" s="101"/>
      <x:c r="K148" s="101"/>
      <x:c r="L148" s="101"/>
      <x:c r="M148" s="101"/>
      <x:c r="N148" s="101"/>
      <x:c r="O148" s="101"/>
      <x:c r="P148" s="101"/>
      <x:c r="Q148" s="101"/>
      <x:c r="R148" s="101"/>
      <x:c r="S148" s="101"/>
      <x:c r="T148" s="101"/>
      <x:c r="U148" s="101"/>
      <x:c r="V148" s="101"/>
      <x:c r="W148" s="101"/>
      <x:c r="X148" s="101"/>
      <x:c r="Y148" s="101"/>
      <x:c r="Z148" s="101"/>
      <x:c r="AA148" s="101"/>
      <x:c r="AB148" s="101"/>
      <x:c r="AC148" s="101"/>
      <x:c r="AD148" s="101"/>
      <x:c r="AE148" s="101"/>
    </x:row>
    <x:row r="149">
      <x:c r="A149" s="101"/>
      <x:c r="B149" s="101"/>
      <x:c r="C149" s="101"/>
      <x:c r="D149" s="101"/>
      <x:c r="E149" s="101"/>
      <x:c r="F149" s="101"/>
      <x:c r="G149" s="101"/>
      <x:c r="H149" s="101"/>
      <x:c r="I149" s="101"/>
      <x:c r="J149" s="101"/>
      <x:c r="K149" s="101"/>
      <x:c r="L149" s="101"/>
      <x:c r="M149" s="101"/>
      <x:c r="N149" s="101"/>
      <x:c r="O149" s="101"/>
      <x:c r="P149" s="101"/>
      <x:c r="Q149" s="101"/>
      <x:c r="R149" s="101"/>
      <x:c r="S149" s="101"/>
      <x:c r="T149" s="101"/>
      <x:c r="U149" s="101"/>
      <x:c r="V149" s="101"/>
      <x:c r="W149" s="101"/>
      <x:c r="X149" s="101"/>
      <x:c r="Y149" s="101"/>
      <x:c r="Z149" s="101"/>
      <x:c r="AA149" s="101"/>
      <x:c r="AB149" s="101"/>
      <x:c r="AC149" s="101"/>
      <x:c r="AD149" s="101"/>
      <x:c r="AE149" s="101"/>
    </x:row>
    <x:row r="150">
      <x:c r="A150" s="101"/>
      <x:c r="B150" s="101"/>
      <x:c r="C150" s="101"/>
      <x:c r="D150" s="101"/>
      <x:c r="E150" s="101"/>
      <x:c r="F150" s="101"/>
      <x:c r="G150" s="101"/>
      <x:c r="H150" s="101"/>
      <x:c r="I150" s="101"/>
      <x:c r="J150" s="101"/>
      <x:c r="K150" s="101"/>
      <x:c r="L150" s="101"/>
      <x:c r="M150" s="101"/>
      <x:c r="N150" s="101"/>
      <x:c r="O150" s="101"/>
      <x:c r="P150" s="101"/>
      <x:c r="Q150" s="101"/>
      <x:c r="R150" s="101"/>
      <x:c r="S150" s="101"/>
      <x:c r="T150" s="101"/>
      <x:c r="U150" s="101"/>
      <x:c r="V150" s="101"/>
      <x:c r="W150" s="101"/>
      <x:c r="X150" s="101"/>
      <x:c r="Y150" s="101"/>
      <x:c r="Z150" s="101"/>
      <x:c r="AA150" s="101"/>
      <x:c r="AB150" s="101"/>
      <x:c r="AC150" s="101"/>
      <x:c r="AD150" s="101"/>
      <x:c r="AE150" s="101"/>
    </x:row>
    <x:row r="151">
      <x:c r="A151" s="101"/>
      <x:c r="B151" s="101"/>
      <x:c r="C151" s="101"/>
      <x:c r="D151" s="101"/>
      <x:c r="E151" s="101"/>
      <x:c r="F151" s="101"/>
      <x:c r="G151" s="101"/>
      <x:c r="H151" s="101"/>
      <x:c r="I151" s="101"/>
      <x:c r="J151" s="101"/>
      <x:c r="K151" s="101"/>
      <x:c r="L151" s="101"/>
      <x:c r="M151" s="101"/>
      <x:c r="N151" s="101"/>
      <x:c r="O151" s="101"/>
      <x:c r="P151" s="101"/>
      <x:c r="Q151" s="101"/>
      <x:c r="R151" s="101"/>
      <x:c r="S151" s="101"/>
      <x:c r="T151" s="101"/>
      <x:c r="U151" s="101"/>
      <x:c r="V151" s="101"/>
      <x:c r="W151" s="101"/>
      <x:c r="X151" s="101"/>
      <x:c r="Y151" s="101"/>
      <x:c r="Z151" s="101"/>
      <x:c r="AA151" s="101"/>
      <x:c r="AB151" s="101"/>
      <x:c r="AC151" s="101"/>
      <x:c r="AD151" s="101"/>
      <x:c r="AE151" s="101"/>
    </x:row>
    <x:row r="152">
      <x:c r="A152" s="101"/>
      <x:c r="B152" s="101"/>
      <x:c r="C152" s="101"/>
      <x:c r="D152" s="101"/>
      <x:c r="E152" s="101"/>
      <x:c r="F152" s="101"/>
      <x:c r="G152" s="101"/>
      <x:c r="H152" s="101"/>
      <x:c r="I152" s="101"/>
      <x:c r="J152" s="101"/>
      <x:c r="K152" s="101"/>
      <x:c r="L152" s="101"/>
      <x:c r="M152" s="101"/>
      <x:c r="N152" s="101"/>
      <x:c r="O152" s="101"/>
      <x:c r="P152" s="101"/>
      <x:c r="Q152" s="101"/>
      <x:c r="R152" s="101"/>
      <x:c r="S152" s="101"/>
      <x:c r="T152" s="101"/>
      <x:c r="U152" s="101"/>
      <x:c r="V152" s="101"/>
      <x:c r="W152" s="101"/>
      <x:c r="X152" s="101"/>
      <x:c r="Y152" s="101"/>
      <x:c r="Z152" s="101"/>
      <x:c r="AA152" s="101"/>
      <x:c r="AB152" s="101"/>
      <x:c r="AC152" s="101"/>
      <x:c r="AD152" s="101"/>
      <x:c r="AE152" s="101"/>
    </x:row>
    <x:row r="153">
      <x:c r="A153" s="101"/>
      <x:c r="B153" s="101"/>
      <x:c r="C153" s="101"/>
      <x:c r="D153" s="101"/>
      <x:c r="E153" s="101"/>
      <x:c r="F153" s="101"/>
      <x:c r="G153" s="101"/>
      <x:c r="H153" s="101"/>
      <x:c r="I153" s="101"/>
      <x:c r="J153" s="101"/>
      <x:c r="K153" s="101"/>
      <x:c r="L153" s="101"/>
      <x:c r="M153" s="101"/>
      <x:c r="N153" s="101"/>
      <x:c r="O153" s="101"/>
      <x:c r="P153" s="101"/>
      <x:c r="Q153" s="101"/>
      <x:c r="R153" s="101"/>
      <x:c r="S153" s="101"/>
      <x:c r="T153" s="101"/>
      <x:c r="U153" s="101"/>
      <x:c r="V153" s="101"/>
      <x:c r="W153" s="101"/>
      <x:c r="X153" s="101"/>
      <x:c r="Y153" s="101"/>
      <x:c r="Z153" s="101"/>
      <x:c r="AA153" s="101"/>
      <x:c r="AB153" s="101"/>
      <x:c r="AC153" s="101"/>
      <x:c r="AD153" s="101"/>
      <x:c r="AE153" s="101"/>
    </x:row>
    <x:row r="154">
      <x:c r="A154" s="101"/>
      <x:c r="B154" s="101"/>
      <x:c r="C154" s="101"/>
      <x:c r="D154" s="101"/>
      <x:c r="E154" s="101"/>
      <x:c r="F154" s="101"/>
      <x:c r="G154" s="101"/>
      <x:c r="H154" s="101"/>
      <x:c r="I154" s="101"/>
      <x:c r="J154" s="101"/>
      <x:c r="K154" s="101"/>
      <x:c r="L154" s="101"/>
      <x:c r="M154" s="101"/>
      <x:c r="N154" s="101"/>
      <x:c r="O154" s="101"/>
      <x:c r="P154" s="101"/>
      <x:c r="Q154" s="101"/>
      <x:c r="R154" s="101"/>
      <x:c r="S154" s="101"/>
      <x:c r="T154" s="101"/>
      <x:c r="U154" s="101"/>
      <x:c r="V154" s="101"/>
      <x:c r="W154" s="101"/>
      <x:c r="X154" s="101"/>
      <x:c r="Y154" s="101"/>
      <x:c r="Z154" s="101"/>
      <x:c r="AA154" s="101"/>
      <x:c r="AB154" s="101"/>
      <x:c r="AC154" s="101"/>
      <x:c r="AD154" s="101"/>
      <x:c r="AE154" s="101"/>
    </x:row>
    <x:row r="155">
      <x:c r="A155" s="101"/>
      <x:c r="B155" s="101"/>
      <x:c r="C155" s="101"/>
      <x:c r="D155" s="101"/>
      <x:c r="E155" s="101"/>
      <x:c r="F155" s="101"/>
      <x:c r="G155" s="101"/>
      <x:c r="H155" s="101"/>
      <x:c r="I155" s="101"/>
      <x:c r="J155" s="101"/>
      <x:c r="K155" s="101"/>
      <x:c r="L155" s="101"/>
      <x:c r="M155" s="101"/>
      <x:c r="N155" s="101"/>
      <x:c r="O155" s="101"/>
      <x:c r="P155" s="101"/>
      <x:c r="Q155" s="101"/>
      <x:c r="R155" s="101"/>
      <x:c r="S155" s="101"/>
      <x:c r="T155" s="101"/>
      <x:c r="U155" s="101"/>
      <x:c r="V155" s="101"/>
      <x:c r="W155" s="101"/>
      <x:c r="X155" s="101"/>
      <x:c r="Y155" s="101"/>
      <x:c r="Z155" s="101"/>
      <x:c r="AA155" s="101"/>
      <x:c r="AB155" s="101"/>
      <x:c r="AC155" s="101"/>
      <x:c r="AD155" s="101"/>
      <x:c r="AE155" s="101"/>
    </x:row>
    <x:row r="156">
      <x:c r="A156" s="101"/>
      <x:c r="B156" s="101"/>
      <x:c r="C156" s="101"/>
      <x:c r="D156" s="101"/>
      <x:c r="E156" s="101"/>
      <x:c r="F156" s="101"/>
      <x:c r="G156" s="101"/>
      <x:c r="H156" s="101"/>
      <x:c r="I156" s="101"/>
      <x:c r="J156" s="101"/>
      <x:c r="K156" s="101"/>
      <x:c r="L156" s="101"/>
      <x:c r="M156" s="101"/>
      <x:c r="N156" s="101"/>
      <x:c r="O156" s="101"/>
      <x:c r="P156" s="101"/>
      <x:c r="Q156" s="101"/>
      <x:c r="R156" s="101"/>
      <x:c r="S156" s="101"/>
      <x:c r="T156" s="101"/>
      <x:c r="U156" s="101"/>
      <x:c r="V156" s="101"/>
      <x:c r="W156" s="101"/>
      <x:c r="X156" s="101"/>
      <x:c r="Y156" s="101"/>
      <x:c r="Z156" s="101"/>
      <x:c r="AA156" s="101"/>
      <x:c r="AB156" s="101"/>
      <x:c r="AC156" s="101"/>
      <x:c r="AD156" s="101"/>
      <x:c r="AE156" s="101"/>
    </x:row>
    <x:row r="157">
      <x:c r="A157" s="101"/>
      <x:c r="B157" s="101"/>
      <x:c r="C157" s="101"/>
      <x:c r="D157" s="101"/>
      <x:c r="E157" s="101"/>
      <x:c r="F157" s="101"/>
      <x:c r="G157" s="101"/>
      <x:c r="H157" s="101"/>
      <x:c r="I157" s="101"/>
      <x:c r="J157" s="101"/>
      <x:c r="K157" s="101"/>
      <x:c r="L157" s="101"/>
      <x:c r="M157" s="101"/>
      <x:c r="N157" s="101"/>
      <x:c r="O157" s="101"/>
      <x:c r="P157" s="101"/>
      <x:c r="Q157" s="101"/>
      <x:c r="R157" s="101"/>
      <x:c r="S157" s="101"/>
      <x:c r="T157" s="101"/>
      <x:c r="U157" s="101"/>
      <x:c r="V157" s="101"/>
      <x:c r="W157" s="101"/>
      <x:c r="X157" s="101"/>
      <x:c r="Y157" s="101"/>
      <x:c r="Z157" s="101"/>
      <x:c r="AA157" s="101"/>
      <x:c r="AB157" s="101"/>
      <x:c r="AC157" s="101"/>
      <x:c r="AD157" s="101"/>
      <x:c r="AE157" s="101"/>
    </x:row>
    <x:row r="158">
      <x:c r="A158" s="101"/>
      <x:c r="B158" s="101"/>
      <x:c r="C158" s="101"/>
      <x:c r="D158" s="101"/>
      <x:c r="E158" s="101"/>
      <x:c r="F158" s="101"/>
      <x:c r="G158" s="101"/>
      <x:c r="H158" s="101"/>
      <x:c r="I158" s="101"/>
      <x:c r="J158" s="101"/>
      <x:c r="K158" s="101"/>
      <x:c r="L158" s="101"/>
      <x:c r="M158" s="101"/>
      <x:c r="N158" s="101"/>
      <x:c r="O158" s="101"/>
      <x:c r="P158" s="101"/>
      <x:c r="Q158" s="101"/>
      <x:c r="R158" s="101"/>
      <x:c r="S158" s="101"/>
      <x:c r="T158" s="101"/>
      <x:c r="U158" s="101"/>
      <x:c r="V158" s="101"/>
      <x:c r="W158" s="101"/>
      <x:c r="X158" s="101"/>
      <x:c r="Y158" s="101"/>
      <x:c r="Z158" s="101"/>
      <x:c r="AA158" s="101"/>
      <x:c r="AB158" s="101"/>
      <x:c r="AC158" s="101"/>
      <x:c r="AD158" s="101"/>
      <x:c r="AE158" s="101"/>
    </x:row>
    <x:row r="159">
      <x:c r="A159" s="101"/>
      <x:c r="B159" s="101"/>
      <x:c r="C159" s="101"/>
      <x:c r="D159" s="101"/>
      <x:c r="E159" s="101"/>
      <x:c r="F159" s="101"/>
      <x:c r="G159" s="101"/>
      <x:c r="H159" s="101"/>
      <x:c r="I159" s="101"/>
      <x:c r="J159" s="101"/>
      <x:c r="K159" s="101"/>
      <x:c r="L159" s="101"/>
      <x:c r="M159" s="101"/>
      <x:c r="N159" s="101"/>
      <x:c r="O159" s="101"/>
      <x:c r="P159" s="101"/>
      <x:c r="Q159" s="101"/>
      <x:c r="R159" s="101"/>
      <x:c r="S159" s="101"/>
      <x:c r="T159" s="101"/>
      <x:c r="U159" s="101"/>
      <x:c r="V159" s="101"/>
      <x:c r="W159" s="101"/>
      <x:c r="X159" s="101"/>
      <x:c r="Y159" s="101"/>
      <x:c r="Z159" s="101"/>
      <x:c r="AA159" s="101"/>
      <x:c r="AB159" s="101"/>
      <x:c r="AC159" s="101"/>
      <x:c r="AD159" s="101"/>
      <x:c r="AE159" s="101"/>
    </x:row>
    <x:row r="160">
      <x:c r="A160" s="101"/>
      <x:c r="B160" s="101"/>
      <x:c r="C160" s="101"/>
      <x:c r="D160" s="101"/>
      <x:c r="E160" s="101"/>
      <x:c r="F160" s="101"/>
      <x:c r="G160" s="101"/>
      <x:c r="H160" s="101"/>
      <x:c r="I160" s="101"/>
      <x:c r="J160" s="101"/>
      <x:c r="K160" s="101"/>
      <x:c r="L160" s="101"/>
      <x:c r="M160" s="101"/>
      <x:c r="N160" s="101"/>
      <x:c r="O160" s="101"/>
      <x:c r="P160" s="101"/>
      <x:c r="Q160" s="101"/>
      <x:c r="R160" s="101"/>
      <x:c r="S160" s="101"/>
      <x:c r="T160" s="101"/>
      <x:c r="U160" s="101"/>
      <x:c r="V160" s="101"/>
      <x:c r="W160" s="101"/>
      <x:c r="X160" s="101"/>
      <x:c r="Y160" s="101"/>
      <x:c r="Z160" s="101"/>
      <x:c r="AA160" s="101"/>
      <x:c r="AB160" s="101"/>
      <x:c r="AC160" s="101"/>
      <x:c r="AD160" s="101"/>
      <x:c r="AE160" s="101"/>
    </x:row>
    <x:row r="161">
      <x:c r="A161" s="101"/>
      <x:c r="B161" s="101"/>
      <x:c r="C161" s="101"/>
      <x:c r="D161" s="101"/>
      <x:c r="E161" s="101"/>
      <x:c r="F161" s="101"/>
      <x:c r="G161" s="101"/>
      <x:c r="H161" s="101"/>
      <x:c r="I161" s="101"/>
      <x:c r="J161" s="101"/>
      <x:c r="K161" s="101"/>
      <x:c r="L161" s="101"/>
      <x:c r="M161" s="101"/>
      <x:c r="N161" s="101"/>
      <x:c r="O161" s="101"/>
      <x:c r="P161" s="101"/>
      <x:c r="Q161" s="101"/>
      <x:c r="R161" s="101"/>
      <x:c r="S161" s="101"/>
      <x:c r="T161" s="101"/>
      <x:c r="U161" s="101"/>
      <x:c r="V161" s="101"/>
      <x:c r="W161" s="101"/>
      <x:c r="X161" s="101"/>
      <x:c r="Y161" s="101"/>
      <x:c r="Z161" s="101"/>
      <x:c r="AA161" s="101"/>
      <x:c r="AB161" s="101"/>
      <x:c r="AC161" s="101"/>
      <x:c r="AD161" s="101"/>
      <x:c r="AE161" s="101"/>
    </x:row>
    <x:row r="162">
      <x:c r="A162" s="101"/>
      <x:c r="B162" s="101"/>
      <x:c r="C162" s="101"/>
      <x:c r="D162" s="101"/>
      <x:c r="E162" s="101"/>
      <x:c r="F162" s="101"/>
      <x:c r="G162" s="101"/>
      <x:c r="H162" s="101"/>
      <x:c r="I162" s="101"/>
      <x:c r="J162" s="101"/>
      <x:c r="K162" s="101"/>
      <x:c r="L162" s="101"/>
      <x:c r="M162" s="101"/>
      <x:c r="N162" s="101"/>
      <x:c r="O162" s="101"/>
      <x:c r="P162" s="101"/>
      <x:c r="Q162" s="101"/>
      <x:c r="R162" s="101"/>
      <x:c r="S162" s="101"/>
      <x:c r="T162" s="101"/>
      <x:c r="U162" s="101"/>
      <x:c r="V162" s="101"/>
      <x:c r="W162" s="101"/>
      <x:c r="X162" s="101"/>
      <x:c r="Y162" s="101"/>
      <x:c r="Z162" s="101"/>
      <x:c r="AA162" s="101"/>
      <x:c r="AB162" s="101"/>
      <x:c r="AC162" s="101"/>
      <x:c r="AD162" s="101"/>
      <x:c r="AE162" s="101"/>
    </x:row>
    <x:row r="163">
      <x:c r="A163" s="101"/>
      <x:c r="B163" s="101"/>
      <x:c r="C163" s="101"/>
      <x:c r="D163" s="101"/>
      <x:c r="E163" s="101"/>
      <x:c r="F163" s="101"/>
      <x:c r="G163" s="101"/>
      <x:c r="H163" s="101"/>
      <x:c r="I163" s="101"/>
      <x:c r="J163" s="101"/>
      <x:c r="K163" s="101"/>
      <x:c r="L163" s="101"/>
      <x:c r="M163" s="101"/>
      <x:c r="N163" s="101"/>
      <x:c r="O163" s="101"/>
      <x:c r="P163" s="101"/>
      <x:c r="Q163" s="101"/>
      <x:c r="R163" s="101"/>
      <x:c r="S163" s="101"/>
      <x:c r="T163" s="101"/>
      <x:c r="U163" s="101"/>
      <x:c r="V163" s="101"/>
      <x:c r="W163" s="101"/>
      <x:c r="X163" s="101"/>
      <x:c r="Y163" s="101"/>
      <x:c r="Z163" s="101"/>
      <x:c r="AA163" s="101"/>
      <x:c r="AB163" s="101"/>
      <x:c r="AC163" s="101"/>
      <x:c r="AD163" s="101"/>
      <x:c r="AE163" s="101"/>
    </x:row>
    <x:row r="164">
      <x:c r="A164" s="101"/>
      <x:c r="B164" s="101"/>
      <x:c r="C164" s="101"/>
      <x:c r="D164" s="101"/>
      <x:c r="E164" s="101"/>
      <x:c r="F164" s="101"/>
      <x:c r="G164" s="101"/>
      <x:c r="H164" s="101"/>
      <x:c r="I164" s="101"/>
      <x:c r="J164" s="101"/>
      <x:c r="K164" s="101"/>
      <x:c r="L164" s="101"/>
      <x:c r="M164" s="101"/>
      <x:c r="N164" s="101"/>
      <x:c r="O164" s="101"/>
      <x:c r="P164" s="101"/>
      <x:c r="Q164" s="101"/>
      <x:c r="R164" s="101"/>
      <x:c r="S164" s="101"/>
      <x:c r="T164" s="101"/>
      <x:c r="U164" s="101"/>
      <x:c r="V164" s="101"/>
      <x:c r="W164" s="101"/>
      <x:c r="X164" s="101"/>
      <x:c r="Y164" s="101"/>
      <x:c r="Z164" s="101"/>
      <x:c r="AA164" s="101"/>
      <x:c r="AB164" s="101"/>
      <x:c r="AC164" s="101"/>
      <x:c r="AD164" s="101"/>
      <x:c r="AE164" s="101"/>
    </x:row>
    <x:row r="165">
      <x:c r="A165" s="101"/>
      <x:c r="B165" s="101"/>
      <x:c r="C165" s="101"/>
      <x:c r="D165" s="101"/>
      <x:c r="E165" s="101"/>
      <x:c r="F165" s="101"/>
      <x:c r="G165" s="101"/>
      <x:c r="H165" s="101"/>
      <x:c r="I165" s="101"/>
      <x:c r="J165" s="101"/>
      <x:c r="K165" s="101"/>
      <x:c r="L165" s="101"/>
      <x:c r="M165" s="101"/>
      <x:c r="N165" s="101"/>
      <x:c r="O165" s="101"/>
      <x:c r="P165" s="101"/>
      <x:c r="Q165" s="101"/>
      <x:c r="R165" s="101"/>
      <x:c r="S165" s="101"/>
      <x:c r="T165" s="101"/>
      <x:c r="U165" s="101"/>
      <x:c r="V165" s="101"/>
      <x:c r="W165" s="101"/>
      <x:c r="X165" s="101"/>
      <x:c r="Y165" s="101"/>
      <x:c r="Z165" s="101"/>
      <x:c r="AA165" s="101"/>
      <x:c r="AB165" s="101"/>
      <x:c r="AC165" s="101"/>
      <x:c r="AD165" s="101"/>
      <x:c r="AE165" s="101"/>
    </x:row>
    <x:row r="166">
      <x:c r="A166" s="101"/>
      <x:c r="B166" s="101"/>
      <x:c r="C166" s="101"/>
      <x:c r="D166" s="101"/>
      <x:c r="E166" s="101"/>
      <x:c r="F166" s="101"/>
      <x:c r="G166" s="101"/>
      <x:c r="H166" s="101"/>
      <x:c r="I166" s="101"/>
      <x:c r="J166" s="101"/>
      <x:c r="K166" s="101"/>
      <x:c r="L166" s="101"/>
      <x:c r="M166" s="101"/>
      <x:c r="N166" s="101"/>
      <x:c r="O166" s="101"/>
      <x:c r="P166" s="101"/>
      <x:c r="Q166" s="101"/>
      <x:c r="R166" s="101"/>
      <x:c r="S166" s="101"/>
      <x:c r="T166" s="101"/>
      <x:c r="U166" s="101"/>
      <x:c r="V166" s="101"/>
      <x:c r="W166" s="101"/>
      <x:c r="X166" s="101"/>
      <x:c r="Y166" s="101"/>
      <x:c r="Z166" s="101"/>
      <x:c r="AA166" s="101"/>
      <x:c r="AB166" s="101"/>
      <x:c r="AC166" s="101"/>
      <x:c r="AD166" s="101"/>
      <x:c r="AE166" s="101"/>
    </x:row>
    <x:row r="167">
      <x:c r="A167" s="101"/>
      <x:c r="B167" s="101"/>
      <x:c r="C167" s="101"/>
      <x:c r="D167" s="101"/>
      <x:c r="E167" s="101"/>
      <x:c r="F167" s="101"/>
      <x:c r="G167" s="101"/>
      <x:c r="H167" s="101"/>
      <x:c r="I167" s="101"/>
      <x:c r="J167" s="101"/>
      <x:c r="K167" s="101"/>
      <x:c r="L167" s="101"/>
      <x:c r="M167" s="101"/>
      <x:c r="N167" s="101"/>
      <x:c r="O167" s="101"/>
      <x:c r="P167" s="101"/>
      <x:c r="Q167" s="101"/>
      <x:c r="R167" s="101"/>
      <x:c r="S167" s="101"/>
      <x:c r="T167" s="101"/>
      <x:c r="U167" s="101"/>
      <x:c r="V167" s="101"/>
      <x:c r="W167" s="101"/>
      <x:c r="X167" s="101"/>
      <x:c r="Y167" s="101"/>
      <x:c r="Z167" s="101"/>
      <x:c r="AA167" s="101"/>
      <x:c r="AB167" s="101"/>
      <x:c r="AC167" s="101"/>
      <x:c r="AD167" s="101"/>
      <x:c r="AE167" s="101"/>
    </x:row>
    <x:row r="168">
      <x:c r="A168" s="101"/>
      <x:c r="B168" s="101"/>
      <x:c r="C168" s="101"/>
      <x:c r="D168" s="101"/>
      <x:c r="E168" s="101"/>
      <x:c r="F168" s="101"/>
      <x:c r="G168" s="101"/>
      <x:c r="H168" s="101"/>
      <x:c r="I168" s="101"/>
      <x:c r="J168" s="101"/>
      <x:c r="K168" s="101"/>
      <x:c r="L168" s="101"/>
      <x:c r="M168" s="101"/>
      <x:c r="N168" s="101"/>
      <x:c r="O168" s="101"/>
      <x:c r="P168" s="101"/>
      <x:c r="Q168" s="101"/>
      <x:c r="R168" s="101"/>
      <x:c r="S168" s="101"/>
      <x:c r="T168" s="101"/>
      <x:c r="U168" s="101"/>
      <x:c r="V168" s="101"/>
      <x:c r="W168" s="101"/>
      <x:c r="X168" s="101"/>
      <x:c r="Y168" s="101"/>
      <x:c r="Z168" s="101"/>
      <x:c r="AA168" s="101"/>
      <x:c r="AB168" s="101"/>
      <x:c r="AC168" s="101"/>
      <x:c r="AD168" s="101"/>
      <x:c r="AE168" s="101"/>
    </x:row>
    <x:row r="169">
      <x:c r="A169" s="101"/>
      <x:c r="B169" s="101"/>
      <x:c r="C169" s="101"/>
      <x:c r="D169" s="101"/>
      <x:c r="E169" s="101"/>
      <x:c r="F169" s="101"/>
      <x:c r="G169" s="101"/>
      <x:c r="H169" s="101"/>
      <x:c r="I169" s="101"/>
      <x:c r="J169" s="101"/>
      <x:c r="K169" s="101"/>
      <x:c r="L169" s="101"/>
      <x:c r="M169" s="101"/>
      <x:c r="N169" s="101"/>
      <x:c r="O169" s="101"/>
      <x:c r="P169" s="101"/>
      <x:c r="Q169" s="101"/>
      <x:c r="R169" s="101"/>
      <x:c r="S169" s="101"/>
      <x:c r="T169" s="101"/>
      <x:c r="U169" s="101"/>
      <x:c r="V169" s="101"/>
      <x:c r="W169" s="101"/>
      <x:c r="X169" s="101"/>
      <x:c r="Y169" s="101"/>
      <x:c r="Z169" s="101"/>
      <x:c r="AA169" s="101"/>
      <x:c r="AB169" s="101"/>
      <x:c r="AC169" s="101"/>
      <x:c r="AD169" s="101"/>
      <x:c r="AE169" s="101"/>
    </x:row>
    <x:row r="170">
      <x:c r="A170" s="101"/>
      <x:c r="B170" s="101"/>
      <x:c r="C170" s="101"/>
      <x:c r="D170" s="101"/>
      <x:c r="E170" s="101"/>
      <x:c r="F170" s="101"/>
      <x:c r="G170" s="101"/>
      <x:c r="H170" s="101"/>
      <x:c r="I170" s="101"/>
      <x:c r="J170" s="101"/>
      <x:c r="K170" s="101"/>
      <x:c r="L170" s="101"/>
      <x:c r="M170" s="101"/>
      <x:c r="N170" s="101"/>
      <x:c r="O170" s="101"/>
      <x:c r="P170" s="101"/>
      <x:c r="Q170" s="101"/>
      <x:c r="R170" s="101"/>
      <x:c r="S170" s="101"/>
      <x:c r="T170" s="101"/>
      <x:c r="U170" s="101"/>
      <x:c r="V170" s="101"/>
      <x:c r="W170" s="101"/>
      <x:c r="X170" s="101"/>
      <x:c r="Y170" s="101"/>
      <x:c r="Z170" s="101"/>
      <x:c r="AA170" s="101"/>
      <x:c r="AB170" s="101"/>
      <x:c r="AC170" s="101"/>
      <x:c r="AD170" s="101"/>
      <x:c r="AE170" s="101"/>
    </x:row>
    <x:row r="171">
      <x:c r="A171" s="101"/>
      <x:c r="B171" s="101"/>
      <x:c r="C171" s="101"/>
      <x:c r="D171" s="101"/>
      <x:c r="E171" s="101"/>
      <x:c r="F171" s="101"/>
      <x:c r="G171" s="101"/>
      <x:c r="H171" s="101"/>
      <x:c r="I171" s="101"/>
      <x:c r="J171" s="101"/>
      <x:c r="K171" s="101"/>
      <x:c r="L171" s="101"/>
      <x:c r="M171" s="101"/>
      <x:c r="N171" s="101"/>
      <x:c r="O171" s="101"/>
      <x:c r="P171" s="101"/>
      <x:c r="Q171" s="101"/>
      <x:c r="R171" s="101"/>
      <x:c r="S171" s="101"/>
      <x:c r="T171" s="101"/>
      <x:c r="U171" s="101"/>
      <x:c r="V171" s="101"/>
      <x:c r="W171" s="101"/>
      <x:c r="X171" s="101"/>
      <x:c r="Y171" s="101"/>
      <x:c r="Z171" s="101"/>
      <x:c r="AA171" s="101"/>
      <x:c r="AB171" s="101"/>
      <x:c r="AC171" s="101"/>
      <x:c r="AD171" s="101"/>
      <x:c r="AE171" s="101"/>
    </x:row>
    <x:row r="172">
      <x:c r="A172" s="101"/>
      <x:c r="B172" s="101"/>
      <x:c r="C172" s="101"/>
      <x:c r="D172" s="101"/>
      <x:c r="E172" s="101"/>
      <x:c r="F172" s="101"/>
      <x:c r="G172" s="101"/>
      <x:c r="H172" s="101"/>
      <x:c r="I172" s="101"/>
      <x:c r="J172" s="101"/>
      <x:c r="K172" s="101"/>
      <x:c r="L172" s="101"/>
      <x:c r="M172" s="101"/>
      <x:c r="N172" s="101"/>
      <x:c r="O172" s="101"/>
      <x:c r="P172" s="101"/>
      <x:c r="Q172" s="101"/>
      <x:c r="R172" s="101"/>
      <x:c r="S172" s="101"/>
      <x:c r="T172" s="101"/>
      <x:c r="U172" s="101"/>
      <x:c r="V172" s="101"/>
      <x:c r="W172" s="101"/>
      <x:c r="X172" s="101"/>
      <x:c r="Y172" s="101"/>
      <x:c r="Z172" s="101"/>
      <x:c r="AA172" s="101"/>
      <x:c r="AB172" s="101"/>
      <x:c r="AC172" s="101"/>
      <x:c r="AD172" s="101"/>
      <x:c r="AE172" s="101"/>
    </x:row>
    <x:row r="173">
      <x:c r="A173" s="101"/>
      <x:c r="B173" s="101"/>
      <x:c r="C173" s="101"/>
      <x:c r="D173" s="101"/>
      <x:c r="E173" s="101"/>
      <x:c r="F173" s="101"/>
      <x:c r="G173" s="101"/>
      <x:c r="H173" s="101"/>
      <x:c r="I173" s="101"/>
      <x:c r="J173" s="101"/>
      <x:c r="K173" s="101"/>
      <x:c r="L173" s="101"/>
      <x:c r="M173" s="101"/>
      <x:c r="N173" s="101"/>
      <x:c r="O173" s="101"/>
      <x:c r="P173" s="101"/>
      <x:c r="Q173" s="101"/>
      <x:c r="R173" s="101"/>
      <x:c r="S173" s="101"/>
      <x:c r="T173" s="101"/>
      <x:c r="U173" s="101"/>
      <x:c r="V173" s="101"/>
      <x:c r="W173" s="101"/>
      <x:c r="X173" s="101"/>
      <x:c r="Y173" s="101"/>
      <x:c r="Z173" s="101"/>
      <x:c r="AA173" s="101"/>
      <x:c r="AB173" s="101"/>
      <x:c r="AC173" s="101"/>
      <x:c r="AD173" s="101"/>
      <x:c r="AE173" s="101"/>
    </x:row>
    <x:row r="174">
      <x:c r="A174" s="101"/>
      <x:c r="B174" s="101"/>
      <x:c r="C174" s="101"/>
      <x:c r="D174" s="101"/>
      <x:c r="E174" s="101"/>
      <x:c r="F174" s="101"/>
      <x:c r="G174" s="101"/>
      <x:c r="H174" s="101"/>
      <x:c r="I174" s="101"/>
      <x:c r="J174" s="101"/>
      <x:c r="K174" s="101"/>
      <x:c r="L174" s="101"/>
      <x:c r="M174" s="101"/>
      <x:c r="N174" s="101"/>
      <x:c r="O174" s="101"/>
      <x:c r="P174" s="101"/>
      <x:c r="Q174" s="101"/>
      <x:c r="R174" s="101"/>
      <x:c r="S174" s="101"/>
      <x:c r="T174" s="101"/>
      <x:c r="U174" s="101"/>
      <x:c r="V174" s="101"/>
      <x:c r="W174" s="101"/>
      <x:c r="X174" s="101"/>
      <x:c r="Y174" s="101"/>
      <x:c r="Z174" s="101"/>
      <x:c r="AA174" s="101"/>
      <x:c r="AB174" s="101"/>
      <x:c r="AC174" s="101"/>
      <x:c r="AD174" s="101"/>
      <x:c r="AE174" s="101"/>
    </x:row>
    <x:row r="175">
      <x:c r="A175" s="101"/>
      <x:c r="B175" s="101"/>
      <x:c r="C175" s="101"/>
      <x:c r="D175" s="101"/>
      <x:c r="E175" s="101"/>
      <x:c r="F175" s="101"/>
      <x:c r="G175" s="101"/>
      <x:c r="H175" s="101"/>
      <x:c r="I175" s="101"/>
      <x:c r="J175" s="101"/>
      <x:c r="K175" s="101"/>
      <x:c r="L175" s="101"/>
      <x:c r="M175" s="101"/>
      <x:c r="N175" s="101"/>
      <x:c r="O175" s="101"/>
      <x:c r="P175" s="101"/>
      <x:c r="Q175" s="101"/>
      <x:c r="R175" s="101"/>
      <x:c r="S175" s="101"/>
      <x:c r="T175" s="101"/>
      <x:c r="U175" s="101"/>
      <x:c r="V175" s="101"/>
      <x:c r="W175" s="101"/>
      <x:c r="X175" s="101"/>
      <x:c r="Y175" s="101"/>
      <x:c r="Z175" s="101"/>
      <x:c r="AA175" s="101"/>
      <x:c r="AB175" s="101"/>
      <x:c r="AC175" s="101"/>
      <x:c r="AD175" s="101"/>
      <x:c r="AE175" s="101"/>
    </x:row>
    <x:row r="176">
      <x:c r="A176" s="101"/>
      <x:c r="B176" s="101"/>
      <x:c r="C176" s="101"/>
      <x:c r="D176" s="101"/>
      <x:c r="E176" s="101"/>
      <x:c r="F176" s="101"/>
      <x:c r="G176" s="101"/>
      <x:c r="H176" s="101"/>
      <x:c r="I176" s="101"/>
      <x:c r="J176" s="101"/>
      <x:c r="K176" s="101"/>
      <x:c r="L176" s="101"/>
      <x:c r="M176" s="101"/>
      <x:c r="N176" s="101"/>
      <x:c r="O176" s="101"/>
      <x:c r="P176" s="101"/>
      <x:c r="Q176" s="101"/>
      <x:c r="R176" s="101"/>
      <x:c r="S176" s="101"/>
      <x:c r="T176" s="101"/>
      <x:c r="U176" s="101"/>
      <x:c r="V176" s="101"/>
      <x:c r="W176" s="101"/>
      <x:c r="X176" s="101"/>
      <x:c r="Y176" s="101"/>
      <x:c r="Z176" s="101"/>
      <x:c r="AA176" s="101"/>
      <x:c r="AB176" s="101"/>
      <x:c r="AC176" s="101"/>
      <x:c r="AD176" s="101"/>
      <x:c r="AE176" s="101"/>
    </x:row>
    <x:row r="177">
      <x:c r="A177" s="101"/>
      <x:c r="B177" s="101"/>
      <x:c r="C177" s="101"/>
      <x:c r="D177" s="101"/>
      <x:c r="E177" s="101"/>
      <x:c r="F177" s="101"/>
      <x:c r="G177" s="101"/>
      <x:c r="H177" s="101"/>
      <x:c r="I177" s="101"/>
      <x:c r="J177" s="101"/>
      <x:c r="K177" s="101"/>
      <x:c r="L177" s="101"/>
      <x:c r="M177" s="101"/>
      <x:c r="N177" s="101"/>
      <x:c r="O177" s="101"/>
      <x:c r="P177" s="101"/>
      <x:c r="Q177" s="101"/>
      <x:c r="R177" s="101"/>
      <x:c r="S177" s="101"/>
      <x:c r="T177" s="101"/>
      <x:c r="U177" s="101"/>
      <x:c r="V177" s="101"/>
      <x:c r="W177" s="101"/>
      <x:c r="X177" s="101"/>
      <x:c r="Y177" s="101"/>
      <x:c r="Z177" s="101"/>
      <x:c r="AA177" s="101"/>
      <x:c r="AB177" s="101"/>
      <x:c r="AC177" s="101"/>
      <x:c r="AD177" s="101"/>
      <x:c r="AE177" s="101"/>
    </x:row>
    <x:row r="178">
      <x:c r="A178" s="101"/>
      <x:c r="B178" s="101"/>
      <x:c r="C178" s="101"/>
      <x:c r="D178" s="101"/>
      <x:c r="E178" s="101"/>
      <x:c r="F178" s="101"/>
      <x:c r="G178" s="101"/>
      <x:c r="H178" s="101"/>
      <x:c r="I178" s="101"/>
      <x:c r="J178" s="101"/>
      <x:c r="K178" s="101"/>
      <x:c r="L178" s="101"/>
      <x:c r="M178" s="101"/>
      <x:c r="N178" s="101"/>
      <x:c r="O178" s="101"/>
      <x:c r="P178" s="101"/>
      <x:c r="Q178" s="101"/>
      <x:c r="R178" s="101"/>
      <x:c r="S178" s="101"/>
      <x:c r="T178" s="101"/>
      <x:c r="U178" s="101"/>
      <x:c r="V178" s="101"/>
      <x:c r="W178" s="101"/>
      <x:c r="X178" s="101"/>
      <x:c r="Y178" s="101"/>
      <x:c r="Z178" s="101"/>
      <x:c r="AA178" s="101"/>
      <x:c r="AB178" s="101"/>
      <x:c r="AC178" s="101"/>
      <x:c r="AD178" s="101"/>
      <x:c r="AE178" s="101"/>
    </x:row>
    <x:row r="179">
      <x:c r="A179" s="101"/>
      <x:c r="B179" s="101"/>
      <x:c r="C179" s="101"/>
      <x:c r="D179" s="101"/>
      <x:c r="E179" s="101"/>
      <x:c r="F179" s="101"/>
      <x:c r="G179" s="101"/>
      <x:c r="H179" s="101"/>
      <x:c r="I179" s="101"/>
      <x:c r="J179" s="101"/>
      <x:c r="K179" s="101"/>
      <x:c r="L179" s="101"/>
      <x:c r="M179" s="101"/>
      <x:c r="N179" s="101"/>
      <x:c r="O179" s="101"/>
      <x:c r="P179" s="101"/>
      <x:c r="Q179" s="101"/>
      <x:c r="R179" s="101"/>
      <x:c r="S179" s="101"/>
      <x:c r="T179" s="101"/>
      <x:c r="U179" s="101"/>
      <x:c r="V179" s="101"/>
      <x:c r="W179" s="101"/>
      <x:c r="X179" s="101"/>
      <x:c r="Y179" s="101"/>
      <x:c r="Z179" s="101"/>
      <x:c r="AA179" s="101"/>
      <x:c r="AB179" s="101"/>
      <x:c r="AC179" s="101"/>
      <x:c r="AD179" s="101"/>
      <x:c r="AE179" s="101"/>
    </x:row>
    <x:row r="180">
      <x:c r="A180" s="101"/>
      <x:c r="B180" s="101"/>
      <x:c r="C180" s="101"/>
      <x:c r="D180" s="101"/>
      <x:c r="E180" s="101"/>
      <x:c r="F180" s="101"/>
      <x:c r="G180" s="101"/>
      <x:c r="H180" s="101"/>
      <x:c r="I180" s="101"/>
      <x:c r="J180" s="101"/>
      <x:c r="K180" s="101"/>
      <x:c r="L180" s="101"/>
      <x:c r="M180" s="101"/>
      <x:c r="N180" s="101"/>
      <x:c r="O180" s="101"/>
      <x:c r="P180" s="101"/>
      <x:c r="Q180" s="101"/>
      <x:c r="R180" s="101"/>
      <x:c r="S180" s="101"/>
      <x:c r="T180" s="101"/>
      <x:c r="U180" s="101"/>
      <x:c r="V180" s="101"/>
      <x:c r="W180" s="101"/>
      <x:c r="X180" s="101"/>
      <x:c r="Y180" s="101"/>
      <x:c r="Z180" s="101"/>
      <x:c r="AA180" s="101"/>
      <x:c r="AB180" s="101"/>
      <x:c r="AC180" s="101"/>
      <x:c r="AD180" s="101"/>
      <x:c r="AE180" s="101"/>
    </x:row>
    <x:row r="181">
      <x:c r="A181" s="101"/>
      <x:c r="B181" s="101"/>
      <x:c r="C181" s="101"/>
      <x:c r="D181" s="101"/>
      <x:c r="E181" s="101"/>
      <x:c r="F181" s="101"/>
      <x:c r="G181" s="101"/>
      <x:c r="H181" s="101"/>
      <x:c r="I181" s="101"/>
      <x:c r="J181" s="101"/>
      <x:c r="K181" s="101"/>
      <x:c r="L181" s="101"/>
      <x:c r="M181" s="101"/>
      <x:c r="N181" s="101"/>
      <x:c r="O181" s="101"/>
      <x:c r="P181" s="101"/>
      <x:c r="Q181" s="101"/>
      <x:c r="R181" s="101"/>
      <x:c r="S181" s="101"/>
      <x:c r="T181" s="101"/>
      <x:c r="U181" s="101"/>
      <x:c r="V181" s="101"/>
      <x:c r="W181" s="101"/>
      <x:c r="X181" s="101"/>
      <x:c r="Y181" s="101"/>
      <x:c r="Z181" s="101"/>
      <x:c r="AA181" s="101"/>
      <x:c r="AB181" s="101"/>
      <x:c r="AC181" s="101"/>
      <x:c r="AD181" s="101"/>
      <x:c r="AE181" s="101"/>
    </x:row>
    <x:row r="182">
      <x:c r="A182" s="101"/>
      <x:c r="B182" s="101"/>
      <x:c r="C182" s="101"/>
      <x:c r="D182" s="101"/>
      <x:c r="E182" s="101"/>
      <x:c r="F182" s="101"/>
      <x:c r="G182" s="101"/>
      <x:c r="H182" s="101"/>
      <x:c r="I182" s="101"/>
      <x:c r="J182" s="101"/>
      <x:c r="K182" s="101"/>
      <x:c r="L182" s="101"/>
      <x:c r="M182" s="101"/>
      <x:c r="N182" s="101"/>
      <x:c r="O182" s="101"/>
      <x:c r="P182" s="101"/>
      <x:c r="Q182" s="101"/>
      <x:c r="R182" s="101"/>
      <x:c r="S182" s="101"/>
      <x:c r="T182" s="101"/>
      <x:c r="U182" s="101"/>
      <x:c r="V182" s="101"/>
      <x:c r="W182" s="101"/>
      <x:c r="X182" s="101"/>
      <x:c r="Y182" s="101"/>
      <x:c r="Z182" s="101"/>
      <x:c r="AA182" s="101"/>
      <x:c r="AB182" s="101"/>
      <x:c r="AC182" s="101"/>
      <x:c r="AD182" s="101"/>
      <x:c r="AE182" s="101"/>
    </x:row>
    <x:row r="183">
      <x:c r="A183" s="101"/>
      <x:c r="B183" s="101"/>
      <x:c r="C183" s="101"/>
      <x:c r="D183" s="101"/>
      <x:c r="E183" s="101"/>
      <x:c r="F183" s="101"/>
      <x:c r="G183" s="101"/>
      <x:c r="H183" s="101"/>
      <x:c r="I183" s="101"/>
      <x:c r="J183" s="101"/>
      <x:c r="K183" s="101"/>
      <x:c r="L183" s="101"/>
      <x:c r="M183" s="101"/>
      <x:c r="N183" s="101"/>
      <x:c r="O183" s="101"/>
      <x:c r="P183" s="101"/>
      <x:c r="Q183" s="101"/>
      <x:c r="R183" s="101"/>
      <x:c r="S183" s="101"/>
      <x:c r="T183" s="101"/>
      <x:c r="U183" s="101"/>
      <x:c r="V183" s="101"/>
      <x:c r="W183" s="101"/>
      <x:c r="X183" s="101"/>
      <x:c r="Y183" s="101"/>
      <x:c r="Z183" s="101"/>
      <x:c r="AA183" s="101"/>
      <x:c r="AB183" s="101"/>
      <x:c r="AC183" s="101"/>
      <x:c r="AD183" s="101"/>
      <x:c r="AE183" s="101"/>
    </x:row>
    <x:row r="184">
      <x:c r="A184" s="101"/>
      <x:c r="B184" s="101"/>
      <x:c r="C184" s="101"/>
      <x:c r="D184" s="101"/>
      <x:c r="E184" s="101"/>
      <x:c r="F184" s="101"/>
      <x:c r="G184" s="101"/>
      <x:c r="H184" s="101"/>
      <x:c r="I184" s="101"/>
      <x:c r="J184" s="101"/>
      <x:c r="K184" s="101"/>
      <x:c r="L184" s="101"/>
      <x:c r="M184" s="101"/>
      <x:c r="N184" s="101"/>
      <x:c r="O184" s="101"/>
      <x:c r="P184" s="101"/>
      <x:c r="Q184" s="101"/>
      <x:c r="R184" s="101"/>
      <x:c r="S184" s="101"/>
      <x:c r="T184" s="101"/>
      <x:c r="U184" s="101"/>
      <x:c r="V184" s="101"/>
      <x:c r="W184" s="101"/>
      <x:c r="X184" s="101"/>
      <x:c r="Y184" s="101"/>
      <x:c r="Z184" s="101"/>
      <x:c r="AA184" s="101"/>
      <x:c r="AB184" s="101"/>
      <x:c r="AC184" s="101"/>
      <x:c r="AD184" s="101"/>
      <x:c r="AE184" s="101"/>
    </x:row>
    <x:row r="185">
      <x:c r="A185" s="101"/>
      <x:c r="B185" s="101"/>
      <x:c r="C185" s="101"/>
      <x:c r="D185" s="101"/>
      <x:c r="E185" s="101"/>
      <x:c r="F185" s="101"/>
      <x:c r="G185" s="101"/>
      <x:c r="H185" s="101"/>
      <x:c r="I185" s="101"/>
      <x:c r="J185" s="101"/>
      <x:c r="K185" s="101"/>
      <x:c r="L185" s="101"/>
      <x:c r="M185" s="101"/>
      <x:c r="N185" s="101"/>
      <x:c r="O185" s="101"/>
      <x:c r="P185" s="101"/>
      <x:c r="Q185" s="101"/>
      <x:c r="R185" s="101"/>
      <x:c r="S185" s="101"/>
      <x:c r="T185" s="101"/>
      <x:c r="U185" s="101"/>
      <x:c r="V185" s="101"/>
      <x:c r="W185" s="101"/>
      <x:c r="X185" s="101"/>
      <x:c r="Y185" s="101"/>
      <x:c r="Z185" s="101"/>
      <x:c r="AA185" s="101"/>
      <x:c r="AB185" s="101"/>
      <x:c r="AC185" s="101"/>
      <x:c r="AD185" s="101"/>
      <x:c r="AE185" s="101"/>
    </x:row>
    <x:row r="186">
      <x:c r="A186" s="101"/>
      <x:c r="B186" s="101"/>
      <x:c r="C186" s="101"/>
      <x:c r="D186" s="101"/>
      <x:c r="E186" s="101"/>
      <x:c r="F186" s="101"/>
      <x:c r="G186" s="101"/>
      <x:c r="H186" s="101"/>
      <x:c r="I186" s="101"/>
      <x:c r="J186" s="101"/>
      <x:c r="K186" s="101"/>
      <x:c r="L186" s="101"/>
      <x:c r="M186" s="101"/>
      <x:c r="N186" s="101"/>
      <x:c r="O186" s="101"/>
      <x:c r="P186" s="101"/>
      <x:c r="Q186" s="101"/>
      <x:c r="R186" s="101"/>
      <x:c r="S186" s="101"/>
      <x:c r="T186" s="101"/>
      <x:c r="U186" s="101"/>
      <x:c r="V186" s="101"/>
      <x:c r="W186" s="101"/>
      <x:c r="X186" s="101"/>
      <x:c r="Y186" s="101"/>
      <x:c r="Z186" s="101"/>
      <x:c r="AA186" s="101"/>
      <x:c r="AB186" s="101"/>
      <x:c r="AC186" s="101"/>
      <x:c r="AD186" s="101"/>
      <x:c r="AE186" s="101"/>
    </x:row>
    <x:row r="187">
      <x:c r="A187" s="101"/>
      <x:c r="B187" s="101"/>
      <x:c r="C187" s="101"/>
      <x:c r="D187" s="101"/>
      <x:c r="E187" s="101"/>
      <x:c r="F187" s="101"/>
      <x:c r="G187" s="101"/>
      <x:c r="H187" s="101"/>
      <x:c r="I187" s="101"/>
      <x:c r="J187" s="101"/>
      <x:c r="K187" s="101"/>
      <x:c r="L187" s="101"/>
      <x:c r="M187" s="101"/>
      <x:c r="N187" s="101"/>
      <x:c r="O187" s="101"/>
      <x:c r="P187" s="101"/>
      <x:c r="Q187" s="101"/>
      <x:c r="R187" s="101"/>
      <x:c r="S187" s="101"/>
      <x:c r="T187" s="101"/>
      <x:c r="U187" s="101"/>
      <x:c r="V187" s="101"/>
      <x:c r="W187" s="101"/>
      <x:c r="X187" s="101"/>
      <x:c r="Y187" s="101"/>
      <x:c r="Z187" s="101"/>
      <x:c r="AA187" s="101"/>
      <x:c r="AB187" s="101"/>
      <x:c r="AC187" s="101"/>
      <x:c r="AD187" s="101"/>
      <x:c r="AE187" s="101"/>
    </x:row>
    <x:row r="188">
      <x:c r="A188" s="101"/>
      <x:c r="B188" s="101"/>
      <x:c r="C188" s="101"/>
      <x:c r="D188" s="101"/>
      <x:c r="E188" s="101"/>
      <x:c r="F188" s="101"/>
      <x:c r="G188" s="101"/>
      <x:c r="H188" s="101"/>
      <x:c r="I188" s="101"/>
      <x:c r="J188" s="101"/>
      <x:c r="K188" s="101"/>
      <x:c r="L188" s="101"/>
      <x:c r="M188" s="101"/>
      <x:c r="N188" s="101"/>
      <x:c r="O188" s="101"/>
      <x:c r="P188" s="101"/>
      <x:c r="Q188" s="101"/>
      <x:c r="R188" s="101"/>
      <x:c r="S188" s="101"/>
      <x:c r="T188" s="101"/>
      <x:c r="U188" s="101"/>
      <x:c r="V188" s="101"/>
      <x:c r="W188" s="101"/>
      <x:c r="X188" s="101"/>
      <x:c r="Y188" s="101"/>
      <x:c r="Z188" s="101"/>
      <x:c r="AA188" s="101"/>
      <x:c r="AB188" s="101"/>
      <x:c r="AC188" s="101"/>
      <x:c r="AD188" s="101"/>
      <x:c r="AE188" s="101"/>
    </x:row>
    <x:row r="189">
      <x:c r="A189" s="101"/>
      <x:c r="B189" s="101"/>
      <x:c r="C189" s="101"/>
      <x:c r="D189" s="101"/>
      <x:c r="E189" s="101"/>
      <x:c r="F189" s="101"/>
      <x:c r="G189" s="101"/>
      <x:c r="H189" s="101"/>
      <x:c r="I189" s="101"/>
      <x:c r="J189" s="101"/>
      <x:c r="K189" s="101"/>
      <x:c r="L189" s="101"/>
      <x:c r="M189" s="101"/>
      <x:c r="N189" s="101"/>
      <x:c r="O189" s="101"/>
      <x:c r="P189" s="101"/>
      <x:c r="Q189" s="101"/>
      <x:c r="R189" s="101"/>
      <x:c r="S189" s="101"/>
      <x:c r="T189" s="101"/>
      <x:c r="U189" s="101"/>
      <x:c r="V189" s="101"/>
      <x:c r="W189" s="101"/>
      <x:c r="X189" s="101"/>
      <x:c r="Y189" s="101"/>
      <x:c r="Z189" s="101"/>
      <x:c r="AA189" s="101"/>
      <x:c r="AB189" s="101"/>
      <x:c r="AC189" s="101"/>
      <x:c r="AD189" s="101"/>
      <x:c r="AE189" s="101"/>
    </x:row>
    <x:row r="190">
      <x:c r="A190" s="101"/>
      <x:c r="B190" s="101"/>
      <x:c r="C190" s="101"/>
      <x:c r="D190" s="101"/>
      <x:c r="E190" s="101"/>
      <x:c r="F190" s="101"/>
      <x:c r="G190" s="101"/>
      <x:c r="H190" s="101"/>
      <x:c r="I190" s="101"/>
      <x:c r="J190" s="101"/>
      <x:c r="K190" s="101"/>
      <x:c r="L190" s="101"/>
      <x:c r="M190" s="101"/>
      <x:c r="N190" s="101"/>
      <x:c r="O190" s="101"/>
      <x:c r="P190" s="101"/>
      <x:c r="Q190" s="101"/>
      <x:c r="R190" s="101"/>
      <x:c r="S190" s="101"/>
      <x:c r="T190" s="101"/>
      <x:c r="U190" s="101"/>
      <x:c r="V190" s="101"/>
      <x:c r="W190" s="101"/>
      <x:c r="X190" s="101"/>
      <x:c r="Y190" s="101"/>
      <x:c r="Z190" s="101"/>
      <x:c r="AA190" s="101"/>
      <x:c r="AB190" s="101"/>
      <x:c r="AC190" s="101"/>
      <x:c r="AD190" s="101"/>
      <x:c r="AE190" s="101"/>
    </x:row>
    <x:row r="191">
      <x:c r="A191" s="101"/>
      <x:c r="B191" s="101"/>
      <x:c r="C191" s="101"/>
      <x:c r="D191" s="101"/>
      <x:c r="E191" s="101"/>
      <x:c r="F191" s="101"/>
      <x:c r="G191" s="101"/>
      <x:c r="H191" s="101"/>
      <x:c r="I191" s="101"/>
      <x:c r="J191" s="101"/>
      <x:c r="K191" s="101"/>
      <x:c r="L191" s="101"/>
      <x:c r="M191" s="101"/>
      <x:c r="N191" s="101"/>
      <x:c r="O191" s="101"/>
      <x:c r="P191" s="101"/>
      <x:c r="Q191" s="101"/>
      <x:c r="R191" s="101"/>
      <x:c r="S191" s="101"/>
      <x:c r="T191" s="101"/>
      <x:c r="U191" s="101"/>
      <x:c r="V191" s="101"/>
      <x:c r="W191" s="101"/>
      <x:c r="X191" s="101"/>
      <x:c r="Y191" s="101"/>
      <x:c r="Z191" s="101"/>
      <x:c r="AA191" s="101"/>
      <x:c r="AB191" s="101"/>
      <x:c r="AC191" s="101"/>
      <x:c r="AD191" s="101"/>
      <x:c r="AE191" s="101"/>
    </x:row>
    <x:row r="192">
      <x:c r="A192" s="101"/>
      <x:c r="B192" s="101"/>
      <x:c r="C192" s="101"/>
      <x:c r="D192" s="101"/>
      <x:c r="E192" s="101"/>
      <x:c r="F192" s="101"/>
      <x:c r="G192" s="101"/>
      <x:c r="H192" s="101"/>
      <x:c r="I192" s="101"/>
      <x:c r="J192" s="101"/>
      <x:c r="K192" s="101"/>
      <x:c r="L192" s="101"/>
      <x:c r="M192" s="101"/>
      <x:c r="N192" s="101"/>
      <x:c r="O192" s="101"/>
      <x:c r="P192" s="101"/>
      <x:c r="Q192" s="101"/>
      <x:c r="R192" s="101"/>
      <x:c r="S192" s="101"/>
      <x:c r="T192" s="101"/>
      <x:c r="U192" s="101"/>
      <x:c r="V192" s="101"/>
      <x:c r="W192" s="101"/>
      <x:c r="X192" s="101"/>
      <x:c r="Y192" s="101"/>
      <x:c r="Z192" s="101"/>
      <x:c r="AA192" s="101"/>
      <x:c r="AB192" s="101"/>
      <x:c r="AC192" s="101"/>
      <x:c r="AD192" s="101"/>
      <x:c r="AE192" s="101"/>
    </x:row>
    <x:row r="193">
      <x:c r="A193" s="101"/>
      <x:c r="B193" s="101"/>
      <x:c r="C193" s="101"/>
      <x:c r="D193" s="101"/>
      <x:c r="E193" s="101"/>
      <x:c r="F193" s="101"/>
      <x:c r="G193" s="101"/>
      <x:c r="H193" s="101"/>
      <x:c r="I193" s="101"/>
      <x:c r="J193" s="101"/>
      <x:c r="K193" s="101"/>
      <x:c r="L193" s="101"/>
      <x:c r="M193" s="101"/>
      <x:c r="N193" s="101"/>
      <x:c r="O193" s="101"/>
      <x:c r="P193" s="101"/>
      <x:c r="Q193" s="101"/>
      <x:c r="R193" s="101"/>
      <x:c r="S193" s="101"/>
      <x:c r="T193" s="101"/>
      <x:c r="U193" s="101"/>
      <x:c r="V193" s="101"/>
      <x:c r="W193" s="101"/>
      <x:c r="X193" s="101"/>
      <x:c r="Y193" s="101"/>
      <x:c r="Z193" s="101"/>
      <x:c r="AA193" s="101"/>
      <x:c r="AB193" s="101"/>
      <x:c r="AC193" s="101"/>
      <x:c r="AD193" s="101"/>
      <x:c r="AE193" s="101"/>
    </x:row>
    <x:row r="194">
      <x:c r="A194" s="101"/>
      <x:c r="B194" s="101"/>
      <x:c r="C194" s="101"/>
      <x:c r="D194" s="101"/>
      <x:c r="E194" s="101"/>
      <x:c r="F194" s="101"/>
      <x:c r="G194" s="101"/>
      <x:c r="H194" s="101"/>
      <x:c r="I194" s="101"/>
      <x:c r="J194" s="101"/>
      <x:c r="K194" s="101"/>
      <x:c r="L194" s="101"/>
      <x:c r="M194" s="101"/>
      <x:c r="N194" s="101"/>
      <x:c r="O194" s="101"/>
      <x:c r="P194" s="101"/>
      <x:c r="Q194" s="101"/>
      <x:c r="R194" s="101"/>
      <x:c r="S194" s="101"/>
      <x:c r="T194" s="101"/>
      <x:c r="U194" s="101"/>
      <x:c r="V194" s="101"/>
      <x:c r="W194" s="101"/>
      <x:c r="X194" s="101"/>
      <x:c r="Y194" s="101"/>
      <x:c r="Z194" s="101"/>
      <x:c r="AA194" s="101"/>
      <x:c r="AB194" s="101"/>
      <x:c r="AC194" s="101"/>
      <x:c r="AD194" s="101"/>
      <x:c r="AE194" s="101"/>
    </x:row>
    <x:row r="195">
      <x:c r="A195" s="101"/>
      <x:c r="B195" s="101"/>
      <x:c r="C195" s="101"/>
      <x:c r="D195" s="101"/>
      <x:c r="E195" s="101"/>
      <x:c r="F195" s="101"/>
      <x:c r="G195" s="101"/>
      <x:c r="H195" s="101"/>
      <x:c r="I195" s="101"/>
      <x:c r="J195" s="101"/>
      <x:c r="K195" s="101"/>
      <x:c r="L195" s="101"/>
      <x:c r="M195" s="101"/>
      <x:c r="N195" s="101"/>
      <x:c r="O195" s="101"/>
      <x:c r="P195" s="101"/>
      <x:c r="Q195" s="101"/>
      <x:c r="R195" s="101"/>
      <x:c r="S195" s="101"/>
      <x:c r="T195" s="101"/>
      <x:c r="U195" s="101"/>
      <x:c r="V195" s="101"/>
      <x:c r="W195" s="101"/>
      <x:c r="X195" s="101"/>
      <x:c r="Y195" s="101"/>
      <x:c r="Z195" s="101"/>
      <x:c r="AA195" s="101"/>
      <x:c r="AB195" s="101"/>
      <x:c r="AC195" s="101"/>
      <x:c r="AD195" s="101"/>
      <x:c r="AE195" s="101"/>
    </x:row>
    <x:row r="196">
      <x:c r="A196" s="101"/>
      <x:c r="B196" s="101"/>
      <x:c r="C196" s="101"/>
      <x:c r="D196" s="101"/>
      <x:c r="E196" s="101"/>
      <x:c r="F196" s="101"/>
      <x:c r="G196" s="101"/>
      <x:c r="H196" s="101"/>
      <x:c r="I196" s="101"/>
      <x:c r="J196" s="101"/>
      <x:c r="K196" s="101"/>
      <x:c r="L196" s="101"/>
      <x:c r="M196" s="101"/>
      <x:c r="N196" s="101"/>
      <x:c r="O196" s="101"/>
      <x:c r="P196" s="101"/>
      <x:c r="Q196" s="101"/>
      <x:c r="R196" s="101"/>
      <x:c r="S196" s="101"/>
      <x:c r="T196" s="101"/>
      <x:c r="U196" s="101"/>
      <x:c r="V196" s="101"/>
      <x:c r="W196" s="101"/>
      <x:c r="X196" s="101"/>
      <x:c r="Y196" s="101"/>
      <x:c r="Z196" s="101"/>
      <x:c r="AA196" s="101"/>
      <x:c r="AB196" s="101"/>
      <x:c r="AC196" s="101"/>
      <x:c r="AD196" s="101"/>
      <x:c r="AE196" s="101"/>
    </x:row>
    <x:row r="197">
      <x:c r="A197" s="101"/>
      <x:c r="B197" s="101"/>
      <x:c r="C197" s="101"/>
      <x:c r="D197" s="101"/>
      <x:c r="E197" s="101"/>
      <x:c r="F197" s="101"/>
      <x:c r="G197" s="101"/>
      <x:c r="H197" s="101"/>
      <x:c r="I197" s="101"/>
      <x:c r="J197" s="101"/>
      <x:c r="K197" s="101"/>
      <x:c r="L197" s="101"/>
      <x:c r="M197" s="101"/>
      <x:c r="N197" s="101"/>
      <x:c r="O197" s="101"/>
      <x:c r="P197" s="101"/>
      <x:c r="Q197" s="101"/>
      <x:c r="R197" s="101"/>
      <x:c r="S197" s="101"/>
      <x:c r="T197" s="101"/>
      <x:c r="U197" s="101"/>
      <x:c r="V197" s="101"/>
      <x:c r="W197" s="101"/>
      <x:c r="X197" s="101"/>
      <x:c r="Y197" s="101"/>
      <x:c r="Z197" s="101"/>
      <x:c r="AA197" s="101"/>
      <x:c r="AB197" s="101"/>
      <x:c r="AC197" s="101"/>
      <x:c r="AD197" s="101"/>
      <x:c r="AE197" s="101"/>
    </x:row>
    <x:row r="198">
      <x:c r="A198" s="101"/>
      <x:c r="B198" s="101"/>
      <x:c r="C198" s="101"/>
      <x:c r="D198" s="101"/>
      <x:c r="E198" s="101"/>
      <x:c r="F198" s="101"/>
      <x:c r="G198" s="101"/>
      <x:c r="H198" s="101"/>
      <x:c r="I198" s="101"/>
      <x:c r="J198" s="101"/>
      <x:c r="K198" s="101"/>
      <x:c r="L198" s="101"/>
      <x:c r="M198" s="101"/>
      <x:c r="N198" s="101"/>
      <x:c r="O198" s="101"/>
      <x:c r="P198" s="101"/>
      <x:c r="Q198" s="101"/>
      <x:c r="R198" s="101"/>
      <x:c r="S198" s="101"/>
      <x:c r="T198" s="101"/>
      <x:c r="U198" s="101"/>
      <x:c r="V198" s="101"/>
      <x:c r="W198" s="101"/>
      <x:c r="X198" s="101"/>
      <x:c r="Y198" s="101"/>
      <x:c r="Z198" s="101"/>
      <x:c r="AA198" s="101"/>
      <x:c r="AB198" s="101"/>
      <x:c r="AC198" s="101"/>
      <x:c r="AD198" s="101"/>
      <x:c r="AE198" s="101"/>
    </x:row>
    <x:row r="199">
      <x:c r="A199" s="101"/>
      <x:c r="B199" s="101"/>
      <x:c r="C199" s="101"/>
      <x:c r="D199" s="101"/>
      <x:c r="E199" s="101"/>
      <x:c r="F199" s="101"/>
      <x:c r="G199" s="101"/>
      <x:c r="H199" s="101"/>
      <x:c r="I199" s="101"/>
      <x:c r="J199" s="101"/>
      <x:c r="K199" s="101"/>
      <x:c r="L199" s="101"/>
      <x:c r="M199" s="101"/>
      <x:c r="N199" s="101"/>
      <x:c r="O199" s="101"/>
      <x:c r="P199" s="101"/>
      <x:c r="Q199" s="101"/>
      <x:c r="R199" s="101"/>
      <x:c r="S199" s="101"/>
      <x:c r="T199" s="101"/>
      <x:c r="U199" s="101"/>
      <x:c r="V199" s="101"/>
      <x:c r="W199" s="101"/>
      <x:c r="X199" s="101"/>
      <x:c r="Y199" s="101"/>
      <x:c r="Z199" s="101"/>
      <x:c r="AA199" s="101"/>
      <x:c r="AB199" s="101"/>
      <x:c r="AC199" s="101"/>
      <x:c r="AD199" s="101"/>
      <x:c r="AE199" s="101"/>
    </x:row>
    <x:row r="200">
      <x:c r="A200" s="101"/>
      <x:c r="B200" s="101"/>
      <x:c r="C200" s="101"/>
      <x:c r="D200" s="101"/>
      <x:c r="E200" s="101"/>
      <x:c r="F200" s="101"/>
      <x:c r="G200" s="101"/>
      <x:c r="H200" s="101"/>
      <x:c r="I200" s="101"/>
      <x:c r="J200" s="101"/>
      <x:c r="K200" s="101"/>
      <x:c r="L200" s="101"/>
      <x:c r="M200" s="101"/>
      <x:c r="N200" s="101"/>
      <x:c r="O200" s="101"/>
      <x:c r="P200" s="101"/>
      <x:c r="Q200" s="101"/>
      <x:c r="R200" s="101"/>
      <x:c r="S200" s="101"/>
      <x:c r="T200" s="101"/>
      <x:c r="U200" s="101"/>
      <x:c r="V200" s="101"/>
      <x:c r="W200" s="101"/>
      <x:c r="X200" s="101"/>
      <x:c r="Y200" s="101"/>
      <x:c r="Z200" s="101"/>
      <x:c r="AA200" s="101"/>
      <x:c r="AB200" s="101"/>
      <x:c r="AC200" s="101"/>
      <x:c r="AD200" s="101"/>
      <x:c r="AE200" s="101"/>
    </x:row>
  </x:sheetData>
  <x:mergeCells>
    <x:mergeCell ref="A1:H1"/>
    <x:mergeCell ref="A9:H9"/>
    <x:mergeCell ref="A23:E23"/>
    <x:mergeCell ref="A25:H27"/>
    <x:mergeCell ref="A29:D29"/>
    <x:mergeCell ref="E29:H2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8" hidden="0" customWidth="1"/>
    <x:col min="4" max="4" width="40" hidden="0" customWidth="1"/>
    <x:col min="5" max="5" width="22" hidden="0" customWidth="1"/>
    <x:col min="6" max="6" width="12" hidden="0" customWidth="1"/>
    <x:col min="7" max="7" width="15" hidden="0" customWidth="1"/>
    <x:col min="8" max="8" width="18" hidden="0" customWidth="1"/>
  </x:cols>
  <x:sheetData>
    <x:row r="1">
      <x:c r="A1" s="130" t="str">
        <x:v>PROOF OF DELIVERY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</x:row>
    <x:row r="2">
      <x:c r="A2" s="101"/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  <x:c r="AE2" s="101"/>
    </x:row>
    <x:row r="3">
      <x:c r="A3" s="103" t="str">
        <x:v>Customer / Contact Company</x:v>
      </x:c>
      <x:c r="B3" s="131" t="n">
        <x:f>'START HERE'!B5</x:f>
        <x:v>0</x:v>
      </x:c>
      <x:c r="C3" s="103" t="str">
        <x:v>Project</x:v>
      </x:c>
      <x:c r="D3" s="131" t="n">
        <x:f>'START HERE'!B6</x:f>
        <x:v>0</x:v>
      </x:c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  <x:c r="AA3" s="101"/>
      <x:c r="AB3" s="101"/>
      <x:c r="AC3" s="101"/>
      <x:c r="AD3" s="101"/>
      <x:c r="AE3" s="101"/>
    </x:row>
    <x:row r="4">
      <x:c r="A4" s="103" t="str">
        <x:v>Project / PO</x:v>
      </x:c>
      <x:c r="B4" s="131" t="n">
        <x:f>'START HERE'!B7</x:f>
        <x:v>0</x:v>
      </x:c>
      <x:c r="C4" s="103" t="str">
        <x:v>Order Ref</x:v>
      </x:c>
      <x:c r="D4" s="131" t="n">
        <x:f>'START HERE'!B8</x:f>
        <x:v>0</x:v>
      </x:c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  <x:c r="AA4" s="101"/>
      <x:c r="AB4" s="101"/>
      <x:c r="AC4" s="101"/>
      <x:c r="AD4" s="101"/>
      <x:c r="AE4" s="101"/>
    </x:row>
    <x:row r="5">
      <x:c r="A5" s="103" t="str">
        <x:v>Contact Name</x:v>
      </x:c>
      <x:c r="B5" s="131" t="n">
        <x:f>'START HERE'!B9</x:f>
        <x:v>0</x:v>
      </x:c>
      <x:c r="C5" s="103" t="str">
        <x:v>Contact Number</x:v>
      </x:c>
      <x:c r="D5" s="131" t="n">
        <x:f>'START HERE'!B10</x:f>
        <x:v>0</x:v>
      </x:c>
      <x:c r="E5" s="101"/>
      <x:c r="F5" s="101"/>
      <x:c r="G5" s="101"/>
      <x:c r="H5" s="101"/>
      <x:c r="I5" s="101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  <x:c r="AA5" s="101"/>
      <x:c r="AB5" s="101"/>
      <x:c r="AC5" s="101"/>
      <x:c r="AD5" s="101"/>
      <x:c r="AE5" s="101"/>
    </x:row>
    <x:row r="6">
      <x:c r="A6" s="103" t="str">
        <x:v>Address</x:v>
      </x:c>
      <x:c r="B6" s="131" t="n">
        <x:f>'START HERE'!B11</x:f>
        <x:v>0</x:v>
      </x:c>
      <x:c r="C6" s="103" t="str">
        <x:v>Date</x:v>
      </x:c>
      <x:c r="D6" s="131" t="n">
        <x:f>'START HERE'!B14</x:f>
        <x:v>0</x:v>
      </x:c>
      <x:c r="E6" s="101"/>
      <x:c r="F6" s="101"/>
      <x:c r="G6" s="101"/>
      <x:c r="H6" s="101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  <x:c r="AA6" s="101"/>
      <x:c r="AB6" s="101"/>
      <x:c r="AC6" s="101"/>
      <x:c r="AD6" s="101"/>
      <x:c r="AE6" s="101"/>
    </x:row>
    <x:row r="7">
      <x:c r="A7" s="103" t="str">
        <x:v>Dispatch Basis</x:v>
      </x:c>
      <x:c r="B7" s="131" t="str">
        <x:f>'START HERE'!B12</x:f>
        <x:v>Collection / EX Works Leicester</x:v>
      </x:c>
      <x:c r="C7" s="103" t="str">
        <x:v>Collection / Delivery</x:v>
      </x:c>
      <x:c r="D7" s="131" t="str">
        <x:f>'START HERE'!B15</x:f>
        <x:v>Collection</x:v>
      </x:c>
      <x:c r="E7" s="101"/>
      <x:c r="F7" s="101"/>
      <x:c r="G7" s="101"/>
      <x:c r="H7" s="101"/>
      <x:c r="I7" s="101"/>
      <x:c r="J7" s="101"/>
      <x:c r="K7" s="101"/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  <x:c r="AA7" s="101"/>
      <x:c r="AB7" s="101"/>
      <x:c r="AC7" s="101"/>
      <x:c r="AD7" s="101"/>
      <x:c r="AE7" s="101"/>
    </x:row>
    <x:row r="8">
      <x:c r="A8" s="101"/>
      <x:c r="B8" s="101"/>
      <x:c r="C8" s="101"/>
      <x:c r="D8" s="101"/>
      <x:c r="E8" s="101"/>
      <x:c r="F8" s="101"/>
      <x:c r="G8" s="101"/>
      <x:c r="H8" s="101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  <x:c r="AA8" s="101"/>
      <x:c r="AB8" s="101"/>
      <x:c r="AC8" s="101"/>
      <x:c r="AD8" s="101"/>
      <x:c r="AE8" s="101"/>
    </x:row>
    <x:row r="9">
      <x:c r="A9" s="142" t="str">
        <x:v>Goods Summary</x:v>
      </x:c>
      <x:c r="B9" s="101"/>
      <x:c r="C9" s="101"/>
      <x:c r="D9" s="101"/>
      <x:c r="E9" s="101"/>
      <x:c r="F9" s="101"/>
      <x:c r="G9" s="101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  <x:c r="AA9" s="101"/>
      <x:c r="AB9" s="101"/>
      <x:c r="AC9" s="101"/>
      <x:c r="AD9" s="101"/>
      <x:c r="AE9" s="101"/>
    </x:row>
    <x:row r="10">
      <x:c r="A10" s="96" t="str">
        <x:v>Pallet</x:v>
      </x:c>
      <x:c r="B10" s="96" t="str">
        <x:v>Curtains</x:v>
      </x:c>
      <x:c r="C10" s="96" t="str">
        <x:v>Kits</x:v>
      </x:c>
      <x:c r="D10" s="96" t="str">
        <x:v>Contents</x:v>
      </x:c>
      <x:c r="E10" s="96" t="str">
        <x:v>Dimensions L x W x H mm</x:v>
      </x:c>
      <x:c r="F10" s="96" t="str">
        <x:v>Gross kg</x:v>
      </x:c>
      <x:c r="G10" s="96" t="str">
        <x:v>Safe Booking kg</x:v>
      </x:c>
      <x:c r="H10" s="96" t="str">
        <x:v>Condition</x:v>
      </x:c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  <x:c r="AA10" s="101"/>
      <x:c r="AB10" s="101"/>
      <x:c r="AC10" s="101"/>
      <x:c r="AD10" s="101"/>
      <x:c r="AE10" s="101"/>
    </x:row>
    <x:row r="11">
      <x:c r="A11" s="100" t="str">
        <x:f>IF('Pallet Plan'!C3=0,"",'Pallet Plan'!A3)</x:f>
      </x:c>
      <x:c r="B11" s="100" t="str">
        <x:f>IF('Pallet Plan'!C3=0,"",'Pallet Plan'!B3)</x:f>
      </x:c>
      <x:c r="C11" s="100" t="str">
        <x:f>IF('Pallet Plan'!C3=0,"",'Pallet Plan'!C3)</x:f>
      </x:c>
      <x:c r="D11" s="100" t="str">
        <x:f>IF('Pallet Plan'!C3=0,"",'Pallet Plan'!L3)</x:f>
      </x:c>
      <x:c r="E11" s="100" t="str">
        <x:f>IF('Pallet Plan'!C3=0,"",'Pallet Plan'!I3&amp;" x "&amp;'Pallet Plan'!J3&amp;" x "&amp;'Pallet Plan'!K3)</x:f>
      </x:c>
      <x:c r="F11" s="100" t="str">
        <x:f>IF('Pallet Plan'!C3=0,"",ROUND('Pallet Plan'!G3,0))</x:f>
      </x:c>
      <x:c r="G11" s="100" t="str">
        <x:f>IF('Pallet Plan'!C3=0,"",ROUND('Pallet Plan'!H3,0))</x:f>
      </x:c>
      <x:c r="H11" s="100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  <x:c r="AA11" s="101"/>
      <x:c r="AB11" s="101"/>
      <x:c r="AC11" s="101"/>
      <x:c r="AD11" s="101"/>
      <x:c r="AE11" s="101"/>
    </x:row>
    <x:row r="12">
      <x:c r="A12" s="100" t="str">
        <x:f>IF('Pallet Plan'!C4=0,"",'Pallet Plan'!A4)</x:f>
      </x:c>
      <x:c r="B12" s="100" t="str">
        <x:f>IF('Pallet Plan'!C4=0,"",'Pallet Plan'!B4)</x:f>
      </x:c>
      <x:c r="C12" s="100" t="str">
        <x:f>IF('Pallet Plan'!C4=0,"",'Pallet Plan'!C4)</x:f>
      </x:c>
      <x:c r="D12" s="100" t="str">
        <x:f>IF('Pallet Plan'!C4=0,"",'Pallet Plan'!L4)</x:f>
      </x:c>
      <x:c r="E12" s="100" t="str">
        <x:f>IF('Pallet Plan'!C4=0,"",'Pallet Plan'!I4&amp;" x "&amp;'Pallet Plan'!J4&amp;" x "&amp;'Pallet Plan'!K4)</x:f>
      </x:c>
      <x:c r="F12" s="100" t="str">
        <x:f>IF('Pallet Plan'!C4=0,"",ROUND('Pallet Plan'!G4,0))</x:f>
      </x:c>
      <x:c r="G12" s="100" t="str">
        <x:f>IF('Pallet Plan'!C4=0,"",ROUND('Pallet Plan'!H4,0))</x:f>
      </x:c>
      <x:c r="H12" s="100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  <x:c r="AA12" s="101"/>
      <x:c r="AB12" s="101"/>
      <x:c r="AC12" s="101"/>
      <x:c r="AD12" s="101"/>
      <x:c r="AE12" s="101"/>
    </x:row>
    <x:row r="13">
      <x:c r="A13" s="100" t="str">
        <x:f>IF('Pallet Plan'!C5=0,"",'Pallet Plan'!A5)</x:f>
      </x:c>
      <x:c r="B13" s="100" t="str">
        <x:f>IF('Pallet Plan'!C5=0,"",'Pallet Plan'!B5)</x:f>
      </x:c>
      <x:c r="C13" s="100" t="str">
        <x:f>IF('Pallet Plan'!C5=0,"",'Pallet Plan'!C5)</x:f>
      </x:c>
      <x:c r="D13" s="100" t="str">
        <x:f>IF('Pallet Plan'!C5=0,"",'Pallet Plan'!L5)</x:f>
      </x:c>
      <x:c r="E13" s="100" t="str">
        <x:f>IF('Pallet Plan'!C5=0,"",'Pallet Plan'!I5&amp;" x "&amp;'Pallet Plan'!J5&amp;" x "&amp;'Pallet Plan'!K5)</x:f>
      </x:c>
      <x:c r="F13" s="100" t="str">
        <x:f>IF('Pallet Plan'!C5=0,"",ROUND('Pallet Plan'!G5,0))</x:f>
      </x:c>
      <x:c r="G13" s="100" t="str">
        <x:f>IF('Pallet Plan'!C5=0,"",ROUND('Pallet Plan'!H5,0))</x:f>
      </x:c>
      <x:c r="H13" s="100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  <x:c r="AA13" s="101"/>
      <x:c r="AB13" s="101"/>
      <x:c r="AC13" s="101"/>
      <x:c r="AD13" s="101"/>
      <x:c r="AE13" s="101"/>
    </x:row>
    <x:row r="14">
      <x:c r="A14" s="100" t="str">
        <x:f>IF('Pallet Plan'!C6=0,"",'Pallet Plan'!A6)</x:f>
      </x:c>
      <x:c r="B14" s="100" t="str">
        <x:f>IF('Pallet Plan'!C6=0,"",'Pallet Plan'!B6)</x:f>
      </x:c>
      <x:c r="C14" s="100" t="str">
        <x:f>IF('Pallet Plan'!C6=0,"",'Pallet Plan'!C6)</x:f>
      </x:c>
      <x:c r="D14" s="100" t="str">
        <x:f>IF('Pallet Plan'!C6=0,"",'Pallet Plan'!L6)</x:f>
      </x:c>
      <x:c r="E14" s="100" t="str">
        <x:f>IF('Pallet Plan'!C6=0,"",'Pallet Plan'!I6&amp;" x "&amp;'Pallet Plan'!J6&amp;" x "&amp;'Pallet Plan'!K6)</x:f>
      </x:c>
      <x:c r="F14" s="100" t="str">
        <x:f>IF('Pallet Plan'!C6=0,"",ROUND('Pallet Plan'!G6,0))</x:f>
      </x:c>
      <x:c r="G14" s="100" t="str">
        <x:f>IF('Pallet Plan'!C6=0,"",ROUND('Pallet Plan'!H6,0))</x:f>
      </x:c>
      <x:c r="H14" s="100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  <x:c r="AA14" s="101"/>
      <x:c r="AB14" s="101"/>
      <x:c r="AC14" s="101"/>
      <x:c r="AD14" s="101"/>
      <x:c r="AE14" s="101"/>
    </x:row>
    <x:row r="15">
      <x:c r="A15" s="100" t="str">
        <x:f>IF('Pallet Plan'!C7=0,"",'Pallet Plan'!A7)</x:f>
      </x:c>
      <x:c r="B15" s="100" t="str">
        <x:f>IF('Pallet Plan'!C7=0,"",'Pallet Plan'!B7)</x:f>
      </x:c>
      <x:c r="C15" s="100" t="str">
        <x:f>IF('Pallet Plan'!C7=0,"",'Pallet Plan'!C7)</x:f>
      </x:c>
      <x:c r="D15" s="100" t="str">
        <x:f>IF('Pallet Plan'!C7=0,"",'Pallet Plan'!L7)</x:f>
      </x:c>
      <x:c r="E15" s="100" t="str">
        <x:f>IF('Pallet Plan'!C7=0,"",'Pallet Plan'!I7&amp;" x "&amp;'Pallet Plan'!J7&amp;" x "&amp;'Pallet Plan'!K7)</x:f>
      </x:c>
      <x:c r="F15" s="100" t="str">
        <x:f>IF('Pallet Plan'!C7=0,"",ROUND('Pallet Plan'!G7,0))</x:f>
      </x:c>
      <x:c r="G15" s="100" t="str">
        <x:f>IF('Pallet Plan'!C7=0,"",ROUND('Pallet Plan'!H7,0))</x:f>
      </x:c>
      <x:c r="H15" s="100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  <x:c r="AA15" s="101"/>
      <x:c r="AB15" s="101"/>
      <x:c r="AC15" s="101"/>
      <x:c r="AD15" s="101"/>
      <x:c r="AE15" s="101"/>
    </x:row>
    <x:row r="16">
      <x:c r="A16" s="100" t="str">
        <x:f>IF('Pallet Plan'!C8=0,"",'Pallet Plan'!A8)</x:f>
      </x:c>
      <x:c r="B16" s="100" t="str">
        <x:f>IF('Pallet Plan'!C8=0,"",'Pallet Plan'!B8)</x:f>
      </x:c>
      <x:c r="C16" s="100" t="str">
        <x:f>IF('Pallet Plan'!C8=0,"",'Pallet Plan'!C8)</x:f>
      </x:c>
      <x:c r="D16" s="100" t="str">
        <x:f>IF('Pallet Plan'!C8=0,"",'Pallet Plan'!L8)</x:f>
      </x:c>
      <x:c r="E16" s="100" t="str">
        <x:f>IF('Pallet Plan'!C8=0,"",'Pallet Plan'!I8&amp;" x "&amp;'Pallet Plan'!J8&amp;" x "&amp;'Pallet Plan'!K8)</x:f>
      </x:c>
      <x:c r="F16" s="100" t="str">
        <x:f>IF('Pallet Plan'!C8=0,"",ROUND('Pallet Plan'!G8,0))</x:f>
      </x:c>
      <x:c r="G16" s="100" t="str">
        <x:f>IF('Pallet Plan'!C8=0,"",ROUND('Pallet Plan'!H8,0))</x:f>
      </x:c>
      <x:c r="H16" s="100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  <x:c r="AA16" s="101"/>
      <x:c r="AB16" s="101"/>
      <x:c r="AC16" s="101"/>
      <x:c r="AD16" s="101"/>
      <x:c r="AE16" s="101"/>
    </x:row>
    <x:row r="17">
      <x:c r="A17" s="100" t="str">
        <x:f>IF('Pallet Plan'!C9=0,"",'Pallet Plan'!A9)</x:f>
      </x:c>
      <x:c r="B17" s="100" t="str">
        <x:f>IF('Pallet Plan'!C9=0,"",'Pallet Plan'!B9)</x:f>
      </x:c>
      <x:c r="C17" s="100" t="str">
        <x:f>IF('Pallet Plan'!C9=0,"",'Pallet Plan'!C9)</x:f>
      </x:c>
      <x:c r="D17" s="100" t="str">
        <x:f>IF('Pallet Plan'!C9=0,"",'Pallet Plan'!L9)</x:f>
      </x:c>
      <x:c r="E17" s="100" t="str">
        <x:f>IF('Pallet Plan'!C9=0,"",'Pallet Plan'!I9&amp;" x "&amp;'Pallet Plan'!J9&amp;" x "&amp;'Pallet Plan'!K9)</x:f>
      </x:c>
      <x:c r="F17" s="100" t="str">
        <x:f>IF('Pallet Plan'!C9=0,"",ROUND('Pallet Plan'!G9,0))</x:f>
      </x:c>
      <x:c r="G17" s="100" t="str">
        <x:f>IF('Pallet Plan'!C9=0,"",ROUND('Pallet Plan'!H9,0))</x:f>
      </x:c>
      <x:c r="H17" s="100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  <x:c r="AA17" s="101"/>
      <x:c r="AB17" s="101"/>
      <x:c r="AC17" s="101"/>
      <x:c r="AD17" s="101"/>
      <x:c r="AE17" s="101"/>
    </x:row>
    <x:row r="18">
      <x:c r="A18" s="100" t="str">
        <x:f>IF('Pallet Plan'!C10=0,"",'Pallet Plan'!A10)</x:f>
      </x:c>
      <x:c r="B18" s="100" t="str">
        <x:f>IF('Pallet Plan'!C10=0,"",'Pallet Plan'!B10)</x:f>
      </x:c>
      <x:c r="C18" s="100" t="str">
        <x:f>IF('Pallet Plan'!C10=0,"",'Pallet Plan'!C10)</x:f>
      </x:c>
      <x:c r="D18" s="100" t="str">
        <x:f>IF('Pallet Plan'!C10=0,"",'Pallet Plan'!L10)</x:f>
      </x:c>
      <x:c r="E18" s="100" t="str">
        <x:f>IF('Pallet Plan'!C10=0,"",'Pallet Plan'!I10&amp;" x "&amp;'Pallet Plan'!J10&amp;" x "&amp;'Pallet Plan'!K10)</x:f>
      </x:c>
      <x:c r="F18" s="100" t="str">
        <x:f>IF('Pallet Plan'!C10=0,"",ROUND('Pallet Plan'!G10,0))</x:f>
      </x:c>
      <x:c r="G18" s="100" t="str">
        <x:f>IF('Pallet Plan'!C10=0,"",ROUND('Pallet Plan'!H10,0))</x:f>
      </x:c>
      <x:c r="H18" s="100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  <x:c r="AA18" s="101"/>
      <x:c r="AB18" s="101"/>
      <x:c r="AC18" s="101"/>
      <x:c r="AD18" s="101"/>
      <x:c r="AE18" s="101"/>
    </x:row>
    <x:row r="19">
      <x:c r="A19" s="100" t="str">
        <x:f>IF('Pallet Plan'!C11=0,"",'Pallet Plan'!A11)</x:f>
      </x:c>
      <x:c r="B19" s="100" t="str">
        <x:f>IF('Pallet Plan'!C11=0,"",'Pallet Plan'!B11)</x:f>
      </x:c>
      <x:c r="C19" s="100" t="str">
        <x:f>IF('Pallet Plan'!C11=0,"",'Pallet Plan'!C11)</x:f>
      </x:c>
      <x:c r="D19" s="100" t="str">
        <x:f>IF('Pallet Plan'!C11=0,"",'Pallet Plan'!L11)</x:f>
      </x:c>
      <x:c r="E19" s="100" t="str">
        <x:f>IF('Pallet Plan'!C11=0,"",'Pallet Plan'!I11&amp;" x "&amp;'Pallet Plan'!J11&amp;" x "&amp;'Pallet Plan'!K11)</x:f>
      </x:c>
      <x:c r="F19" s="100" t="str">
        <x:f>IF('Pallet Plan'!C11=0,"",ROUND('Pallet Plan'!G11,0))</x:f>
      </x:c>
      <x:c r="G19" s="100" t="str">
        <x:f>IF('Pallet Plan'!C11=0,"",ROUND('Pallet Plan'!H11,0))</x:f>
      </x:c>
      <x:c r="H19" s="100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  <x:c r="AA19" s="101"/>
      <x:c r="AB19" s="101"/>
      <x:c r="AC19" s="101"/>
      <x:c r="AD19" s="101"/>
      <x:c r="AE19" s="101"/>
    </x:row>
    <x:row r="20">
      <x:c r="A20" s="100" t="str">
        <x:f>IF('Pallet Plan'!C12=0,"",'Pallet Plan'!A12)</x:f>
      </x:c>
      <x:c r="B20" s="100" t="str">
        <x:f>IF('Pallet Plan'!C12=0,"",'Pallet Plan'!B12)</x:f>
      </x:c>
      <x:c r="C20" s="100" t="str">
        <x:f>IF('Pallet Plan'!C12=0,"",'Pallet Plan'!C12)</x:f>
      </x:c>
      <x:c r="D20" s="100" t="str">
        <x:f>IF('Pallet Plan'!C12=0,"",'Pallet Plan'!L12)</x:f>
      </x:c>
      <x:c r="E20" s="100" t="str">
        <x:f>IF('Pallet Plan'!C12=0,"",'Pallet Plan'!I12&amp;" x "&amp;'Pallet Plan'!J12&amp;" x "&amp;'Pallet Plan'!K12)</x:f>
      </x:c>
      <x:c r="F20" s="100" t="str">
        <x:f>IF('Pallet Plan'!C12=0,"",ROUND('Pallet Plan'!G12,0))</x:f>
      </x:c>
      <x:c r="G20" s="100" t="str">
        <x:f>IF('Pallet Plan'!C12=0,"",ROUND('Pallet Plan'!H12,0))</x:f>
      </x:c>
      <x:c r="H20" s="100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  <x:c r="AA20" s="101"/>
      <x:c r="AB20" s="101"/>
      <x:c r="AC20" s="101"/>
      <x:c r="AD20" s="101"/>
      <x:c r="AE20" s="101"/>
    </x:row>
    <x:row r="21">
      <x:c r="A21" s="100" t="str">
        <x:f>IF('Pallet Plan'!C13=0,"",'Pallet Plan'!A13)</x:f>
      </x:c>
      <x:c r="B21" s="100" t="str">
        <x:f>IF('Pallet Plan'!C13=0,"",'Pallet Plan'!B13)</x:f>
      </x:c>
      <x:c r="C21" s="100" t="str">
        <x:f>IF('Pallet Plan'!C13=0,"",'Pallet Plan'!C13)</x:f>
      </x:c>
      <x:c r="D21" s="100" t="str">
        <x:f>IF('Pallet Plan'!C13=0,"",'Pallet Plan'!L13)</x:f>
      </x:c>
      <x:c r="E21" s="100" t="str">
        <x:f>IF('Pallet Plan'!C13=0,"",'Pallet Plan'!I13&amp;" x "&amp;'Pallet Plan'!J13&amp;" x "&amp;'Pallet Plan'!K13)</x:f>
      </x:c>
      <x:c r="F21" s="100" t="str">
        <x:f>IF('Pallet Plan'!C13=0,"",ROUND('Pallet Plan'!G13,0))</x:f>
      </x:c>
      <x:c r="G21" s="100" t="str">
        <x:f>IF('Pallet Plan'!C13=0,"",ROUND('Pallet Plan'!H13,0))</x:f>
      </x:c>
      <x:c r="H21" s="100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  <x:c r="AA21" s="101"/>
      <x:c r="AB21" s="101"/>
      <x:c r="AC21" s="101"/>
      <x:c r="AD21" s="101"/>
      <x:c r="AE21" s="101"/>
    </x:row>
    <x:row r="22">
      <x:c r="A22" s="100" t="str">
        <x:f>IF('Pallet Plan'!C14=0,"",'Pallet Plan'!A14)</x:f>
      </x:c>
      <x:c r="B22" s="100" t="str">
        <x:f>IF('Pallet Plan'!C14=0,"",'Pallet Plan'!B14)</x:f>
      </x:c>
      <x:c r="C22" s="100" t="str">
        <x:f>IF('Pallet Plan'!C14=0,"",'Pallet Plan'!C14)</x:f>
      </x:c>
      <x:c r="D22" s="100" t="str">
        <x:f>IF('Pallet Plan'!C14=0,"",'Pallet Plan'!L14)</x:f>
      </x:c>
      <x:c r="E22" s="100" t="str">
        <x:f>IF('Pallet Plan'!C14=0,"",'Pallet Plan'!I14&amp;" x "&amp;'Pallet Plan'!J14&amp;" x "&amp;'Pallet Plan'!K14)</x:f>
      </x:c>
      <x:c r="F22" s="100" t="str">
        <x:f>IF('Pallet Plan'!C14=0,"",ROUND('Pallet Plan'!G14,0))</x:f>
      </x:c>
      <x:c r="G22" s="100" t="str">
        <x:f>IF('Pallet Plan'!C14=0,"",ROUND('Pallet Plan'!H14,0))</x:f>
      </x:c>
      <x:c r="H22" s="100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  <x:c r="AA22" s="101"/>
      <x:c r="AB22" s="101"/>
      <x:c r="AC22" s="101"/>
      <x:c r="AD22" s="101"/>
      <x:c r="AE22" s="101"/>
    </x:row>
    <x:row r="23">
      <x:c r="A23" s="133" t="str">
        <x:v>TOTAL</x:v>
      </x:c>
      <x:c r="B23" s="100"/>
      <x:c r="C23" s="100"/>
      <x:c r="D23" s="100"/>
      <x:c r="E23" s="100"/>
      <x:c r="F23" s="108" t="n">
        <x:f>ROUND(SUM('Pallet Plan'!G3:G14),0)</x:f>
        <x:v>0</x:v>
      </x:c>
      <x:c r="G23" s="108" t="n">
        <x:f>CEILING(MAX(0,SUM('Pallet Plan'!G3:G14)),'START HERE'!B18)</x:f>
        <x:v>0</x:v>
      </x:c>
      <x:c r="H23" s="100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  <x:c r="AA23" s="101"/>
      <x:c r="AB23" s="101"/>
      <x:c r="AC23" s="101"/>
      <x:c r="AD23" s="101"/>
      <x:c r="AE23" s="101"/>
    </x:row>
    <x:row r="24">
      <x:c r="A24" s="101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  <x:c r="AA24" s="101"/>
      <x:c r="AB24" s="101"/>
      <x:c r="AC24" s="101"/>
      <x:c r="AD24" s="101"/>
      <x:c r="AE24" s="101"/>
    </x:row>
    <x:row r="25">
      <x:c r="A25" s="134" t="str">
        <x:v>Declaration: Goods have been checked and released/received in the condition noted above. Final counts and weights should be verified at handover.</x:v>
      </x:c>
      <x:c r="B25" s="101"/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  <x:c r="AA25" s="101"/>
      <x:c r="AB25" s="101"/>
      <x:c r="AC25" s="101"/>
      <x:c r="AD25" s="101"/>
      <x:c r="AE25" s="101"/>
    </x:row>
    <x:row r="26">
      <x:c r="A26" s="101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  <x:c r="AA26" s="101"/>
      <x:c r="AB26" s="101"/>
      <x:c r="AC26" s="101"/>
      <x:c r="AD26" s="101"/>
      <x:c r="AE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  <x:c r="AA27" s="101"/>
      <x:c r="AB27" s="101"/>
      <x:c r="AC27" s="101"/>
      <x:c r="AD27" s="101"/>
      <x:c r="AE27" s="101"/>
    </x:row>
    <x:row r="28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  <x:c r="AA28" s="101"/>
      <x:c r="AB28" s="101"/>
      <x:c r="AC28" s="101"/>
      <x:c r="AD28" s="101"/>
      <x:c r="AE28" s="101"/>
    </x:row>
    <x:row r="29">
      <x:c r="A29" s="143" t="str">
        <x:v>Collected / Received by</x:v>
      </x:c>
      <x:c r="B29" s="143"/>
      <x:c r="C29" s="143"/>
      <x:c r="D29" s="143"/>
      <x:c r="E29" s="143" t="str">
        <x:v>Released / Delivered by</x:v>
      </x:c>
      <x:c r="F29" s="143"/>
      <x:c r="G29" s="143"/>
      <x:c r="H29" s="143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  <x:c r="AA29" s="101"/>
      <x:c r="AB29" s="101"/>
      <x:c r="AC29" s="101"/>
      <x:c r="AD29" s="101"/>
      <x:c r="AE29" s="101"/>
    </x:row>
    <x:row r="30">
      <x:c r="A30" s="144" t="str">
        <x:v>Name</x:v>
      </x:c>
      <x:c r="B30" s="145" t="str"/>
      <x:c r="C30" s="101"/>
      <x:c r="D30" s="101"/>
      <x:c r="E30" s="144" t="str">
        <x:v>Name</x:v>
      </x:c>
      <x:c r="F30" s="145" t="str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  <x:c r="AA30" s="101"/>
      <x:c r="AB30" s="101"/>
      <x:c r="AC30" s="101"/>
      <x:c r="AD30" s="101"/>
      <x:c r="AE30" s="101"/>
    </x:row>
    <x:row r="31">
      <x:c r="A31" s="144" t="str">
        <x:v>Company</x:v>
      </x:c>
      <x:c r="B31" s="145" t="str"/>
      <x:c r="C31" s="101"/>
      <x:c r="D31" s="101"/>
      <x:c r="E31" s="144" t="str">
        <x:v>Company</x:v>
      </x:c>
      <x:c r="F31" s="145" t="str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  <x:c r="AA31" s="101"/>
      <x:c r="AB31" s="101"/>
      <x:c r="AC31" s="101"/>
      <x:c r="AD31" s="101"/>
      <x:c r="AE31" s="101"/>
    </x:row>
    <x:row r="32">
      <x:c r="A32" s="144" t="str">
        <x:v>Vehicle Reg</x:v>
      </x:c>
      <x:c r="B32" s="145" t="str"/>
      <x:c r="C32" s="101"/>
      <x:c r="D32" s="101"/>
      <x:c r="E32" s="144" t="str">
        <x:v>Vehicle Reg</x:v>
      </x:c>
      <x:c r="F32" s="145" t="str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  <x:c r="AA32" s="101"/>
      <x:c r="AB32" s="101"/>
      <x:c r="AC32" s="101"/>
      <x:c r="AD32" s="101"/>
      <x:c r="AE32" s="101"/>
    </x:row>
    <x:row r="33">
      <x:c r="A33" s="144" t="str">
        <x:v>Signature</x:v>
      </x:c>
      <x:c r="B33" s="145" t="str"/>
      <x:c r="C33" s="101"/>
      <x:c r="D33" s="101"/>
      <x:c r="E33" s="144" t="str">
        <x:v>Signature</x:v>
      </x:c>
      <x:c r="F33" s="145" t="str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  <x:c r="AA33" s="101"/>
      <x:c r="AB33" s="101"/>
      <x:c r="AC33" s="101"/>
      <x:c r="AD33" s="101"/>
      <x:c r="AE33" s="101"/>
    </x:row>
    <x:row r="34">
      <x:c r="A34" s="144" t="str">
        <x:v>Date / Time</x:v>
      </x:c>
      <x:c r="B34" s="145" t="str"/>
      <x:c r="C34" s="101"/>
      <x:c r="D34" s="101"/>
      <x:c r="E34" s="144" t="str">
        <x:v>Date / Time</x:v>
      </x:c>
      <x:c r="F34" s="145" t="str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  <x:c r="AA34" s="101"/>
      <x:c r="AB34" s="101"/>
      <x:c r="AC34" s="101"/>
      <x:c r="AD34" s="101"/>
      <x:c r="AE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  <x:c r="AA35" s="101"/>
      <x:c r="AB35" s="101"/>
      <x:c r="AC35" s="101"/>
      <x:c r="AD35" s="101"/>
      <x:c r="AE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  <x:c r="AA36" s="101"/>
      <x:c r="AB36" s="101"/>
      <x:c r="AC36" s="101"/>
      <x:c r="AD36" s="101"/>
      <x:c r="AE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  <x:c r="AA37" s="101"/>
      <x:c r="AB37" s="101"/>
      <x:c r="AC37" s="101"/>
      <x:c r="AD37" s="101"/>
      <x:c r="AE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  <x:c r="AA38" s="101"/>
      <x:c r="AB38" s="101"/>
      <x:c r="AC38" s="101"/>
      <x:c r="AD38" s="101"/>
      <x:c r="AE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  <x:c r="AA39" s="101"/>
      <x:c r="AB39" s="101"/>
      <x:c r="AC39" s="101"/>
      <x:c r="AD39" s="101"/>
      <x:c r="AE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  <x:c r="AA40" s="101"/>
      <x:c r="AB40" s="101"/>
      <x:c r="AC40" s="101"/>
      <x:c r="AD40" s="101"/>
      <x:c r="AE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  <x:c r="AA41" s="101"/>
      <x:c r="AB41" s="101"/>
      <x:c r="AC41" s="101"/>
      <x:c r="AD41" s="101"/>
      <x:c r="AE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  <x:c r="AA42" s="101"/>
      <x:c r="AB42" s="101"/>
      <x:c r="AC42" s="101"/>
      <x:c r="AD42" s="101"/>
      <x:c r="AE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  <x:c r="AA43" s="101"/>
      <x:c r="AB43" s="101"/>
      <x:c r="AC43" s="101"/>
      <x:c r="AD43" s="101"/>
      <x:c r="AE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  <x:c r="AA44" s="101"/>
      <x:c r="AB44" s="101"/>
      <x:c r="AC44" s="101"/>
      <x:c r="AD44" s="101"/>
      <x:c r="AE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  <x:c r="AA45" s="101"/>
      <x:c r="AB45" s="101"/>
      <x:c r="AC45" s="101"/>
      <x:c r="AD45" s="101"/>
      <x:c r="AE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  <x:c r="AA46" s="101"/>
      <x:c r="AB46" s="101"/>
      <x:c r="AC46" s="101"/>
      <x:c r="AD46" s="101"/>
      <x:c r="AE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  <x:c r="AA47" s="101"/>
      <x:c r="AB47" s="101"/>
      <x:c r="AC47" s="101"/>
      <x:c r="AD47" s="101"/>
      <x:c r="AE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  <x:c r="AA48" s="101"/>
      <x:c r="AB48" s="101"/>
      <x:c r="AC48" s="101"/>
      <x:c r="AD48" s="101"/>
      <x:c r="AE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  <x:c r="AA49" s="101"/>
      <x:c r="AB49" s="101"/>
      <x:c r="AC49" s="101"/>
      <x:c r="AD49" s="101"/>
      <x:c r="AE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  <x:c r="AA50" s="101"/>
      <x:c r="AB50" s="101"/>
      <x:c r="AC50" s="101"/>
      <x:c r="AD50" s="101"/>
      <x:c r="AE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  <x:c r="AA51" s="101"/>
      <x:c r="AB51" s="101"/>
      <x:c r="AC51" s="101"/>
      <x:c r="AD51" s="101"/>
      <x:c r="AE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  <x:c r="AA52" s="101"/>
      <x:c r="AB52" s="101"/>
      <x:c r="AC52" s="101"/>
      <x:c r="AD52" s="101"/>
      <x:c r="AE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  <x:c r="AA53" s="101"/>
      <x:c r="AB53" s="101"/>
      <x:c r="AC53" s="101"/>
      <x:c r="AD53" s="101"/>
      <x:c r="AE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  <x:c r="AA54" s="101"/>
      <x:c r="AB54" s="101"/>
      <x:c r="AC54" s="101"/>
      <x:c r="AD54" s="101"/>
      <x:c r="AE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  <x:c r="AA55" s="101"/>
      <x:c r="AB55" s="101"/>
      <x:c r="AC55" s="101"/>
      <x:c r="AD55" s="101"/>
      <x:c r="AE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  <x:c r="AA56" s="101"/>
      <x:c r="AB56" s="101"/>
      <x:c r="AC56" s="101"/>
      <x:c r="AD56" s="101"/>
      <x:c r="AE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  <x:c r="AA57" s="101"/>
      <x:c r="AB57" s="101"/>
      <x:c r="AC57" s="101"/>
      <x:c r="AD57" s="101"/>
      <x:c r="AE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  <x:c r="AA58" s="101"/>
      <x:c r="AB58" s="101"/>
      <x:c r="AC58" s="101"/>
      <x:c r="AD58" s="101"/>
      <x:c r="AE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  <x:c r="AA59" s="101"/>
      <x:c r="AB59" s="101"/>
      <x:c r="AC59" s="101"/>
      <x:c r="AD59" s="101"/>
      <x:c r="AE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  <x:c r="AA60" s="101"/>
      <x:c r="AB60" s="101"/>
      <x:c r="AC60" s="101"/>
      <x:c r="AD60" s="101"/>
      <x:c r="AE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  <x:c r="AA61" s="101"/>
      <x:c r="AB61" s="101"/>
      <x:c r="AC61" s="101"/>
      <x:c r="AD61" s="101"/>
      <x:c r="AE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  <x:c r="AA62" s="101"/>
      <x:c r="AB62" s="101"/>
      <x:c r="AC62" s="101"/>
      <x:c r="AD62" s="101"/>
      <x:c r="AE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  <x:c r="AA63" s="101"/>
      <x:c r="AB63" s="101"/>
      <x:c r="AC63" s="101"/>
      <x:c r="AD63" s="101"/>
      <x:c r="AE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  <x:c r="AA64" s="101"/>
      <x:c r="AB64" s="101"/>
      <x:c r="AC64" s="101"/>
      <x:c r="AD64" s="101"/>
      <x:c r="AE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  <x:c r="AA65" s="101"/>
      <x:c r="AB65" s="101"/>
      <x:c r="AC65" s="101"/>
      <x:c r="AD65" s="101"/>
      <x:c r="AE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  <x:c r="AA66" s="101"/>
      <x:c r="AB66" s="101"/>
      <x:c r="AC66" s="101"/>
      <x:c r="AD66" s="101"/>
      <x:c r="AE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  <x:c r="AA67" s="101"/>
      <x:c r="AB67" s="101"/>
      <x:c r="AC67" s="101"/>
      <x:c r="AD67" s="101"/>
      <x:c r="AE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  <x:c r="AA68" s="101"/>
      <x:c r="AB68" s="101"/>
      <x:c r="AC68" s="101"/>
      <x:c r="AD68" s="101"/>
      <x:c r="AE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  <x:c r="AA69" s="101"/>
      <x:c r="AB69" s="101"/>
      <x:c r="AC69" s="101"/>
      <x:c r="AD69" s="101"/>
      <x:c r="AE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  <x:c r="AA70" s="101"/>
      <x:c r="AB70" s="101"/>
      <x:c r="AC70" s="101"/>
      <x:c r="AD70" s="101"/>
      <x:c r="AE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  <x:c r="AA71" s="101"/>
      <x:c r="AB71" s="101"/>
      <x:c r="AC71" s="101"/>
      <x:c r="AD71" s="101"/>
      <x:c r="AE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  <x:c r="AA72" s="101"/>
      <x:c r="AB72" s="101"/>
      <x:c r="AC72" s="101"/>
      <x:c r="AD72" s="101"/>
      <x:c r="AE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  <x:c r="AA73" s="101"/>
      <x:c r="AB73" s="101"/>
      <x:c r="AC73" s="101"/>
      <x:c r="AD73" s="101"/>
      <x:c r="AE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  <x:c r="AA74" s="101"/>
      <x:c r="AB74" s="101"/>
      <x:c r="AC74" s="101"/>
      <x:c r="AD74" s="101"/>
      <x:c r="AE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  <x:c r="AA75" s="101"/>
      <x:c r="AB75" s="101"/>
      <x:c r="AC75" s="101"/>
      <x:c r="AD75" s="101"/>
      <x:c r="AE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  <x:c r="AA76" s="101"/>
      <x:c r="AB76" s="101"/>
      <x:c r="AC76" s="101"/>
      <x:c r="AD76" s="101"/>
      <x:c r="AE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  <x:c r="AA77" s="101"/>
      <x:c r="AB77" s="101"/>
      <x:c r="AC77" s="101"/>
      <x:c r="AD77" s="101"/>
      <x:c r="AE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  <x:c r="AA78" s="101"/>
      <x:c r="AB78" s="101"/>
      <x:c r="AC78" s="101"/>
      <x:c r="AD78" s="101"/>
      <x:c r="AE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  <x:c r="AA79" s="101"/>
      <x:c r="AB79" s="101"/>
      <x:c r="AC79" s="101"/>
      <x:c r="AD79" s="101"/>
      <x:c r="AE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  <x:c r="AA80" s="101"/>
      <x:c r="AB80" s="101"/>
      <x:c r="AC80" s="101"/>
      <x:c r="AD80" s="101"/>
      <x:c r="AE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  <x:c r="AA81" s="101"/>
      <x:c r="AB81" s="101"/>
      <x:c r="AC81" s="101"/>
      <x:c r="AD81" s="101"/>
      <x:c r="AE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  <x:c r="AA82" s="101"/>
      <x:c r="AB82" s="101"/>
      <x:c r="AC82" s="101"/>
      <x:c r="AD82" s="101"/>
      <x:c r="AE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  <x:c r="AA83" s="101"/>
      <x:c r="AB83" s="101"/>
      <x:c r="AC83" s="101"/>
      <x:c r="AD83" s="101"/>
      <x:c r="AE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  <x:c r="AA84" s="101"/>
      <x:c r="AB84" s="101"/>
      <x:c r="AC84" s="101"/>
      <x:c r="AD84" s="101"/>
      <x:c r="AE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  <x:c r="AA85" s="101"/>
      <x:c r="AB85" s="101"/>
      <x:c r="AC85" s="101"/>
      <x:c r="AD85" s="101"/>
      <x:c r="AE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  <x:c r="AA86" s="101"/>
      <x:c r="AB86" s="101"/>
      <x:c r="AC86" s="101"/>
      <x:c r="AD86" s="101"/>
      <x:c r="AE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  <x:c r="AA87" s="101"/>
      <x:c r="AB87" s="101"/>
      <x:c r="AC87" s="101"/>
      <x:c r="AD87" s="101"/>
      <x:c r="AE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  <x:c r="AA88" s="101"/>
      <x:c r="AB88" s="101"/>
      <x:c r="AC88" s="101"/>
      <x:c r="AD88" s="101"/>
      <x:c r="AE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  <x:c r="AA89" s="101"/>
      <x:c r="AB89" s="101"/>
      <x:c r="AC89" s="101"/>
      <x:c r="AD89" s="101"/>
      <x:c r="AE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  <x:c r="AA90" s="101"/>
      <x:c r="AB90" s="101"/>
      <x:c r="AC90" s="101"/>
      <x:c r="AD90" s="101"/>
      <x:c r="AE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  <x:c r="AA91" s="101"/>
      <x:c r="AB91" s="101"/>
      <x:c r="AC91" s="101"/>
      <x:c r="AD91" s="101"/>
      <x:c r="AE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  <x:c r="AA92" s="101"/>
      <x:c r="AB92" s="101"/>
      <x:c r="AC92" s="101"/>
      <x:c r="AD92" s="101"/>
      <x:c r="AE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  <x:c r="AA93" s="101"/>
      <x:c r="AB93" s="101"/>
      <x:c r="AC93" s="101"/>
      <x:c r="AD93" s="101"/>
      <x:c r="AE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  <x:c r="AA94" s="101"/>
      <x:c r="AB94" s="101"/>
      <x:c r="AC94" s="101"/>
      <x:c r="AD94" s="101"/>
      <x:c r="AE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  <x:c r="AA95" s="101"/>
      <x:c r="AB95" s="101"/>
      <x:c r="AC95" s="101"/>
      <x:c r="AD95" s="101"/>
      <x:c r="AE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  <x:c r="AA96" s="101"/>
      <x:c r="AB96" s="101"/>
      <x:c r="AC96" s="101"/>
      <x:c r="AD96" s="101"/>
      <x:c r="AE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  <x:c r="AA97" s="101"/>
      <x:c r="AB97" s="101"/>
      <x:c r="AC97" s="101"/>
      <x:c r="AD97" s="101"/>
      <x:c r="AE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  <x:c r="AA98" s="101"/>
      <x:c r="AB98" s="101"/>
      <x:c r="AC98" s="101"/>
      <x:c r="AD98" s="101"/>
      <x:c r="AE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  <x:c r="AA99" s="101"/>
      <x:c r="AB99" s="101"/>
      <x:c r="AC99" s="101"/>
      <x:c r="AD99" s="101"/>
      <x:c r="AE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  <x:c r="AA100" s="101"/>
      <x:c r="AB100" s="101"/>
      <x:c r="AC100" s="101"/>
      <x:c r="AD100" s="101"/>
      <x:c r="AE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  <x:c r="AA101" s="101"/>
      <x:c r="AB101" s="101"/>
      <x:c r="AC101" s="101"/>
      <x:c r="AD101" s="101"/>
      <x:c r="AE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  <x:c r="AA102" s="101"/>
      <x:c r="AB102" s="101"/>
      <x:c r="AC102" s="101"/>
      <x:c r="AD102" s="101"/>
      <x:c r="AE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  <x:c r="AA103" s="101"/>
      <x:c r="AB103" s="101"/>
      <x:c r="AC103" s="101"/>
      <x:c r="AD103" s="101"/>
      <x:c r="AE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  <x:c r="AA104" s="101"/>
      <x:c r="AB104" s="101"/>
      <x:c r="AC104" s="101"/>
      <x:c r="AD104" s="101"/>
      <x:c r="AE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  <x:c r="AA105" s="101"/>
      <x:c r="AB105" s="101"/>
      <x:c r="AC105" s="101"/>
      <x:c r="AD105" s="101"/>
      <x:c r="AE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  <x:c r="AA106" s="101"/>
      <x:c r="AB106" s="101"/>
      <x:c r="AC106" s="101"/>
      <x:c r="AD106" s="101"/>
      <x:c r="AE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  <x:c r="AA107" s="101"/>
      <x:c r="AB107" s="101"/>
      <x:c r="AC107" s="101"/>
      <x:c r="AD107" s="101"/>
      <x:c r="AE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  <x:c r="AA108" s="101"/>
      <x:c r="AB108" s="101"/>
      <x:c r="AC108" s="101"/>
      <x:c r="AD108" s="101"/>
      <x:c r="AE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  <x:c r="AA109" s="101"/>
      <x:c r="AB109" s="101"/>
      <x:c r="AC109" s="101"/>
      <x:c r="AD109" s="101"/>
      <x:c r="AE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  <x:c r="AA110" s="101"/>
      <x:c r="AB110" s="101"/>
      <x:c r="AC110" s="101"/>
      <x:c r="AD110" s="101"/>
      <x:c r="AE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  <x:c r="AA111" s="101"/>
      <x:c r="AB111" s="101"/>
      <x:c r="AC111" s="101"/>
      <x:c r="AD111" s="101"/>
      <x:c r="AE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  <x:c r="AA112" s="101"/>
      <x:c r="AB112" s="101"/>
      <x:c r="AC112" s="101"/>
      <x:c r="AD112" s="101"/>
      <x:c r="AE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  <x:c r="AA113" s="101"/>
      <x:c r="AB113" s="101"/>
      <x:c r="AC113" s="101"/>
      <x:c r="AD113" s="101"/>
      <x:c r="AE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  <x:c r="AA114" s="101"/>
      <x:c r="AB114" s="101"/>
      <x:c r="AC114" s="101"/>
      <x:c r="AD114" s="101"/>
      <x:c r="AE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  <x:c r="AA115" s="101"/>
      <x:c r="AB115" s="101"/>
      <x:c r="AC115" s="101"/>
      <x:c r="AD115" s="101"/>
      <x:c r="AE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  <x:c r="AA116" s="101"/>
      <x:c r="AB116" s="101"/>
      <x:c r="AC116" s="101"/>
      <x:c r="AD116" s="101"/>
      <x:c r="AE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  <x:c r="AA117" s="101"/>
      <x:c r="AB117" s="101"/>
      <x:c r="AC117" s="101"/>
      <x:c r="AD117" s="101"/>
      <x:c r="AE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  <x:c r="AA118" s="101"/>
      <x:c r="AB118" s="101"/>
      <x:c r="AC118" s="101"/>
      <x:c r="AD118" s="101"/>
      <x:c r="AE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  <x:c r="AA119" s="101"/>
      <x:c r="AB119" s="101"/>
      <x:c r="AC119" s="101"/>
      <x:c r="AD119" s="101"/>
      <x:c r="AE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  <x:c r="AA120" s="101"/>
      <x:c r="AB120" s="101"/>
      <x:c r="AC120" s="101"/>
      <x:c r="AD120" s="101"/>
      <x:c r="AE120" s="101"/>
    </x:row>
    <x:row r="121">
      <x:c r="A121" s="101"/>
      <x:c r="B121" s="101"/>
      <x:c r="C121" s="101"/>
      <x:c r="D121" s="101"/>
      <x:c r="E121" s="101"/>
      <x:c r="F121" s="101"/>
      <x:c r="G121" s="101"/>
      <x:c r="H121" s="101"/>
      <x:c r="I121" s="101"/>
      <x:c r="J121" s="101"/>
      <x:c r="K121" s="101"/>
      <x:c r="L121" s="101"/>
      <x:c r="M121" s="101"/>
      <x:c r="N121" s="101"/>
      <x:c r="O121" s="101"/>
      <x:c r="P121" s="101"/>
      <x:c r="Q121" s="101"/>
      <x:c r="R121" s="101"/>
      <x:c r="S121" s="101"/>
      <x:c r="T121" s="101"/>
      <x:c r="U121" s="101"/>
      <x:c r="V121" s="101"/>
      <x:c r="W121" s="101"/>
      <x:c r="X121" s="101"/>
      <x:c r="Y121" s="101"/>
      <x:c r="Z121" s="101"/>
      <x:c r="AA121" s="101"/>
      <x:c r="AB121" s="101"/>
      <x:c r="AC121" s="101"/>
      <x:c r="AD121" s="101"/>
      <x:c r="AE121" s="101"/>
    </x:row>
    <x:row r="122">
      <x:c r="A122" s="101"/>
      <x:c r="B122" s="101"/>
      <x:c r="C122" s="101"/>
      <x:c r="D122" s="101"/>
      <x:c r="E122" s="101"/>
      <x:c r="F122" s="101"/>
      <x:c r="G122" s="101"/>
      <x:c r="H122" s="101"/>
      <x:c r="I122" s="101"/>
      <x:c r="J122" s="101"/>
      <x:c r="K122" s="101"/>
      <x:c r="L122" s="101"/>
      <x:c r="M122" s="101"/>
      <x:c r="N122" s="101"/>
      <x:c r="O122" s="101"/>
      <x:c r="P122" s="101"/>
      <x:c r="Q122" s="101"/>
      <x:c r="R122" s="101"/>
      <x:c r="S122" s="101"/>
      <x:c r="T122" s="101"/>
      <x:c r="U122" s="101"/>
      <x:c r="V122" s="101"/>
      <x:c r="W122" s="101"/>
      <x:c r="X122" s="101"/>
      <x:c r="Y122" s="101"/>
      <x:c r="Z122" s="101"/>
      <x:c r="AA122" s="101"/>
      <x:c r="AB122" s="101"/>
      <x:c r="AC122" s="101"/>
      <x:c r="AD122" s="101"/>
      <x:c r="AE122" s="101"/>
    </x:row>
    <x:row r="123">
      <x:c r="A123" s="101"/>
      <x:c r="B123" s="101"/>
      <x:c r="C123" s="101"/>
      <x:c r="D123" s="101"/>
      <x:c r="E123" s="101"/>
      <x:c r="F123" s="101"/>
      <x:c r="G123" s="101"/>
      <x:c r="H123" s="101"/>
      <x:c r="I123" s="101"/>
      <x:c r="J123" s="101"/>
      <x:c r="K123" s="101"/>
      <x:c r="L123" s="101"/>
      <x:c r="M123" s="101"/>
      <x:c r="N123" s="101"/>
      <x:c r="O123" s="101"/>
      <x:c r="P123" s="101"/>
      <x:c r="Q123" s="101"/>
      <x:c r="R123" s="101"/>
      <x:c r="S123" s="101"/>
      <x:c r="T123" s="101"/>
      <x:c r="U123" s="101"/>
      <x:c r="V123" s="101"/>
      <x:c r="W123" s="101"/>
      <x:c r="X123" s="101"/>
      <x:c r="Y123" s="101"/>
      <x:c r="Z123" s="101"/>
      <x:c r="AA123" s="101"/>
      <x:c r="AB123" s="101"/>
      <x:c r="AC123" s="101"/>
      <x:c r="AD123" s="101"/>
      <x:c r="AE123" s="101"/>
    </x:row>
    <x:row r="124">
      <x:c r="A124" s="101"/>
      <x:c r="B124" s="101"/>
      <x:c r="C124" s="101"/>
      <x:c r="D124" s="101"/>
      <x:c r="E124" s="101"/>
      <x:c r="F124" s="101"/>
      <x:c r="G124" s="101"/>
      <x:c r="H124" s="101"/>
      <x:c r="I124" s="101"/>
      <x:c r="J124" s="101"/>
      <x:c r="K124" s="101"/>
      <x:c r="L124" s="101"/>
      <x:c r="M124" s="101"/>
      <x:c r="N124" s="101"/>
      <x:c r="O124" s="101"/>
      <x:c r="P124" s="101"/>
      <x:c r="Q124" s="101"/>
      <x:c r="R124" s="101"/>
      <x:c r="S124" s="101"/>
      <x:c r="T124" s="101"/>
      <x:c r="U124" s="101"/>
      <x:c r="V124" s="101"/>
      <x:c r="W124" s="101"/>
      <x:c r="X124" s="101"/>
      <x:c r="Y124" s="101"/>
      <x:c r="Z124" s="101"/>
      <x:c r="AA124" s="101"/>
      <x:c r="AB124" s="101"/>
      <x:c r="AC124" s="101"/>
      <x:c r="AD124" s="101"/>
      <x:c r="AE124" s="101"/>
    </x:row>
    <x:row r="125">
      <x:c r="A125" s="101"/>
      <x:c r="B125" s="101"/>
      <x:c r="C125" s="101"/>
      <x:c r="D125" s="101"/>
      <x:c r="E125" s="101"/>
      <x:c r="F125" s="101"/>
      <x:c r="G125" s="101"/>
      <x:c r="H125" s="101"/>
      <x:c r="I125" s="101"/>
      <x:c r="J125" s="101"/>
      <x:c r="K125" s="101"/>
      <x:c r="L125" s="101"/>
      <x:c r="M125" s="101"/>
      <x:c r="N125" s="101"/>
      <x:c r="O125" s="101"/>
      <x:c r="P125" s="101"/>
      <x:c r="Q125" s="101"/>
      <x:c r="R125" s="101"/>
      <x:c r="S125" s="101"/>
      <x:c r="T125" s="101"/>
      <x:c r="U125" s="101"/>
      <x:c r="V125" s="101"/>
      <x:c r="W125" s="101"/>
      <x:c r="X125" s="101"/>
      <x:c r="Y125" s="101"/>
      <x:c r="Z125" s="101"/>
      <x:c r="AA125" s="101"/>
      <x:c r="AB125" s="101"/>
      <x:c r="AC125" s="101"/>
      <x:c r="AD125" s="101"/>
      <x:c r="AE125" s="101"/>
    </x:row>
    <x:row r="126">
      <x:c r="A126" s="101"/>
      <x:c r="B126" s="101"/>
      <x:c r="C126" s="101"/>
      <x:c r="D126" s="101"/>
      <x:c r="E126" s="101"/>
      <x:c r="F126" s="101"/>
      <x:c r="G126" s="101"/>
      <x:c r="H126" s="101"/>
      <x:c r="I126" s="101"/>
      <x:c r="J126" s="101"/>
      <x:c r="K126" s="101"/>
      <x:c r="L126" s="101"/>
      <x:c r="M126" s="101"/>
      <x:c r="N126" s="101"/>
      <x:c r="O126" s="101"/>
      <x:c r="P126" s="101"/>
      <x:c r="Q126" s="101"/>
      <x:c r="R126" s="101"/>
      <x:c r="S126" s="101"/>
      <x:c r="T126" s="101"/>
      <x:c r="U126" s="101"/>
      <x:c r="V126" s="101"/>
      <x:c r="W126" s="101"/>
      <x:c r="X126" s="101"/>
      <x:c r="Y126" s="101"/>
      <x:c r="Z126" s="101"/>
      <x:c r="AA126" s="101"/>
      <x:c r="AB126" s="101"/>
      <x:c r="AC126" s="101"/>
      <x:c r="AD126" s="101"/>
      <x:c r="AE126" s="101"/>
    </x:row>
    <x:row r="127">
      <x:c r="A127" s="101"/>
      <x:c r="B127" s="101"/>
      <x:c r="C127" s="101"/>
      <x:c r="D127" s="101"/>
      <x:c r="E127" s="101"/>
      <x:c r="F127" s="101"/>
      <x:c r="G127" s="101"/>
      <x:c r="H127" s="101"/>
      <x:c r="I127" s="101"/>
      <x:c r="J127" s="101"/>
      <x:c r="K127" s="101"/>
      <x:c r="L127" s="101"/>
      <x:c r="M127" s="101"/>
      <x:c r="N127" s="101"/>
      <x:c r="O127" s="101"/>
      <x:c r="P127" s="101"/>
      <x:c r="Q127" s="101"/>
      <x:c r="R127" s="101"/>
      <x:c r="S127" s="101"/>
      <x:c r="T127" s="101"/>
      <x:c r="U127" s="101"/>
      <x:c r="V127" s="101"/>
      <x:c r="W127" s="101"/>
      <x:c r="X127" s="101"/>
      <x:c r="Y127" s="101"/>
      <x:c r="Z127" s="101"/>
      <x:c r="AA127" s="101"/>
      <x:c r="AB127" s="101"/>
      <x:c r="AC127" s="101"/>
      <x:c r="AD127" s="101"/>
      <x:c r="AE127" s="101"/>
    </x:row>
    <x:row r="128">
      <x:c r="A128" s="101"/>
      <x:c r="B128" s="101"/>
      <x:c r="C128" s="101"/>
      <x:c r="D128" s="101"/>
      <x:c r="E128" s="101"/>
      <x:c r="F128" s="101"/>
      <x:c r="G128" s="101"/>
      <x:c r="H128" s="101"/>
      <x:c r="I128" s="101"/>
      <x:c r="J128" s="101"/>
      <x:c r="K128" s="101"/>
      <x:c r="L128" s="101"/>
      <x:c r="M128" s="101"/>
      <x:c r="N128" s="101"/>
      <x:c r="O128" s="101"/>
      <x:c r="P128" s="101"/>
      <x:c r="Q128" s="101"/>
      <x:c r="R128" s="101"/>
      <x:c r="S128" s="101"/>
      <x:c r="T128" s="101"/>
      <x:c r="U128" s="101"/>
      <x:c r="V128" s="101"/>
      <x:c r="W128" s="101"/>
      <x:c r="X128" s="101"/>
      <x:c r="Y128" s="101"/>
      <x:c r="Z128" s="101"/>
      <x:c r="AA128" s="101"/>
      <x:c r="AB128" s="101"/>
      <x:c r="AC128" s="101"/>
      <x:c r="AD128" s="101"/>
      <x:c r="AE128" s="101"/>
    </x:row>
    <x:row r="129">
      <x:c r="A129" s="101"/>
      <x:c r="B129" s="101"/>
      <x:c r="C129" s="101"/>
      <x:c r="D129" s="101"/>
      <x:c r="E129" s="101"/>
      <x:c r="F129" s="101"/>
      <x:c r="G129" s="101"/>
      <x:c r="H129" s="101"/>
      <x:c r="I129" s="101"/>
      <x:c r="J129" s="101"/>
      <x:c r="K129" s="101"/>
      <x:c r="L129" s="101"/>
      <x:c r="M129" s="101"/>
      <x:c r="N129" s="101"/>
      <x:c r="O129" s="101"/>
      <x:c r="P129" s="101"/>
      <x:c r="Q129" s="101"/>
      <x:c r="R129" s="101"/>
      <x:c r="S129" s="101"/>
      <x:c r="T129" s="101"/>
      <x:c r="U129" s="101"/>
      <x:c r="V129" s="101"/>
      <x:c r="W129" s="101"/>
      <x:c r="X129" s="101"/>
      <x:c r="Y129" s="101"/>
      <x:c r="Z129" s="101"/>
      <x:c r="AA129" s="101"/>
      <x:c r="AB129" s="101"/>
      <x:c r="AC129" s="101"/>
      <x:c r="AD129" s="101"/>
      <x:c r="AE129" s="101"/>
    </x:row>
    <x:row r="130">
      <x:c r="A130" s="101"/>
      <x:c r="B130" s="101"/>
      <x:c r="C130" s="101"/>
      <x:c r="D130" s="101"/>
      <x:c r="E130" s="101"/>
      <x:c r="F130" s="101"/>
      <x:c r="G130" s="101"/>
      <x:c r="H130" s="101"/>
      <x:c r="I130" s="101"/>
      <x:c r="J130" s="101"/>
      <x:c r="K130" s="101"/>
      <x:c r="L130" s="101"/>
      <x:c r="M130" s="101"/>
      <x:c r="N130" s="101"/>
      <x:c r="O130" s="101"/>
      <x:c r="P130" s="101"/>
      <x:c r="Q130" s="101"/>
      <x:c r="R130" s="101"/>
      <x:c r="S130" s="101"/>
      <x:c r="T130" s="101"/>
      <x:c r="U130" s="101"/>
      <x:c r="V130" s="101"/>
      <x:c r="W130" s="101"/>
      <x:c r="X130" s="101"/>
      <x:c r="Y130" s="101"/>
      <x:c r="Z130" s="101"/>
      <x:c r="AA130" s="101"/>
      <x:c r="AB130" s="101"/>
      <x:c r="AC130" s="101"/>
      <x:c r="AD130" s="101"/>
      <x:c r="AE130" s="101"/>
    </x:row>
    <x:row r="131">
      <x:c r="A131" s="101"/>
      <x:c r="B131" s="101"/>
      <x:c r="C131" s="101"/>
      <x:c r="D131" s="101"/>
      <x:c r="E131" s="101"/>
      <x:c r="F131" s="101"/>
      <x:c r="G131" s="101"/>
      <x:c r="H131" s="101"/>
      <x:c r="I131" s="101"/>
      <x:c r="J131" s="101"/>
      <x:c r="K131" s="101"/>
      <x:c r="L131" s="101"/>
      <x:c r="M131" s="101"/>
      <x:c r="N131" s="101"/>
      <x:c r="O131" s="101"/>
      <x:c r="P131" s="101"/>
      <x:c r="Q131" s="101"/>
      <x:c r="R131" s="101"/>
      <x:c r="S131" s="101"/>
      <x:c r="T131" s="101"/>
      <x:c r="U131" s="101"/>
      <x:c r="V131" s="101"/>
      <x:c r="W131" s="101"/>
      <x:c r="X131" s="101"/>
      <x:c r="Y131" s="101"/>
      <x:c r="Z131" s="101"/>
      <x:c r="AA131" s="101"/>
      <x:c r="AB131" s="101"/>
      <x:c r="AC131" s="101"/>
      <x:c r="AD131" s="101"/>
      <x:c r="AE131" s="101"/>
    </x:row>
    <x:row r="132">
      <x:c r="A132" s="101"/>
      <x:c r="B132" s="101"/>
      <x:c r="C132" s="101"/>
      <x:c r="D132" s="101"/>
      <x:c r="E132" s="101"/>
      <x:c r="F132" s="101"/>
      <x:c r="G132" s="101"/>
      <x:c r="H132" s="101"/>
      <x:c r="I132" s="101"/>
      <x:c r="J132" s="101"/>
      <x:c r="K132" s="101"/>
      <x:c r="L132" s="101"/>
      <x:c r="M132" s="101"/>
      <x:c r="N132" s="101"/>
      <x:c r="O132" s="101"/>
      <x:c r="P132" s="101"/>
      <x:c r="Q132" s="101"/>
      <x:c r="R132" s="101"/>
      <x:c r="S132" s="101"/>
      <x:c r="T132" s="101"/>
      <x:c r="U132" s="101"/>
      <x:c r="V132" s="101"/>
      <x:c r="W132" s="101"/>
      <x:c r="X132" s="101"/>
      <x:c r="Y132" s="101"/>
      <x:c r="Z132" s="101"/>
      <x:c r="AA132" s="101"/>
      <x:c r="AB132" s="101"/>
      <x:c r="AC132" s="101"/>
      <x:c r="AD132" s="101"/>
      <x:c r="AE132" s="101"/>
    </x:row>
    <x:row r="133">
      <x:c r="A133" s="101"/>
      <x:c r="B133" s="101"/>
      <x:c r="C133" s="101"/>
      <x:c r="D133" s="101"/>
      <x:c r="E133" s="101"/>
      <x:c r="F133" s="101"/>
      <x:c r="G133" s="101"/>
      <x:c r="H133" s="101"/>
      <x:c r="I133" s="101"/>
      <x:c r="J133" s="101"/>
      <x:c r="K133" s="101"/>
      <x:c r="L133" s="101"/>
      <x:c r="M133" s="101"/>
      <x:c r="N133" s="101"/>
      <x:c r="O133" s="101"/>
      <x:c r="P133" s="101"/>
      <x:c r="Q133" s="101"/>
      <x:c r="R133" s="101"/>
      <x:c r="S133" s="101"/>
      <x:c r="T133" s="101"/>
      <x:c r="U133" s="101"/>
      <x:c r="V133" s="101"/>
      <x:c r="W133" s="101"/>
      <x:c r="X133" s="101"/>
      <x:c r="Y133" s="101"/>
      <x:c r="Z133" s="101"/>
      <x:c r="AA133" s="101"/>
      <x:c r="AB133" s="101"/>
      <x:c r="AC133" s="101"/>
      <x:c r="AD133" s="101"/>
      <x:c r="AE133" s="101"/>
    </x:row>
    <x:row r="134">
      <x:c r="A134" s="101"/>
      <x:c r="B134" s="101"/>
      <x:c r="C134" s="101"/>
      <x:c r="D134" s="101"/>
      <x:c r="E134" s="101"/>
      <x:c r="F134" s="101"/>
      <x:c r="G134" s="101"/>
      <x:c r="H134" s="101"/>
      <x:c r="I134" s="101"/>
      <x:c r="J134" s="101"/>
      <x:c r="K134" s="101"/>
      <x:c r="L134" s="101"/>
      <x:c r="M134" s="101"/>
      <x:c r="N134" s="101"/>
      <x:c r="O134" s="101"/>
      <x:c r="P134" s="101"/>
      <x:c r="Q134" s="101"/>
      <x:c r="R134" s="101"/>
      <x:c r="S134" s="101"/>
      <x:c r="T134" s="101"/>
      <x:c r="U134" s="101"/>
      <x:c r="V134" s="101"/>
      <x:c r="W134" s="101"/>
      <x:c r="X134" s="101"/>
      <x:c r="Y134" s="101"/>
      <x:c r="Z134" s="101"/>
      <x:c r="AA134" s="101"/>
      <x:c r="AB134" s="101"/>
      <x:c r="AC134" s="101"/>
      <x:c r="AD134" s="101"/>
      <x:c r="AE134" s="101"/>
    </x:row>
    <x:row r="135">
      <x:c r="A135" s="101"/>
      <x:c r="B135" s="101"/>
      <x:c r="C135" s="101"/>
      <x:c r="D135" s="101"/>
      <x:c r="E135" s="101"/>
      <x:c r="F135" s="101"/>
      <x:c r="G135" s="101"/>
      <x:c r="H135" s="101"/>
      <x:c r="I135" s="101"/>
      <x:c r="J135" s="101"/>
      <x:c r="K135" s="101"/>
      <x:c r="L135" s="101"/>
      <x:c r="M135" s="101"/>
      <x:c r="N135" s="101"/>
      <x:c r="O135" s="101"/>
      <x:c r="P135" s="101"/>
      <x:c r="Q135" s="101"/>
      <x:c r="R135" s="101"/>
      <x:c r="S135" s="101"/>
      <x:c r="T135" s="101"/>
      <x:c r="U135" s="101"/>
      <x:c r="V135" s="101"/>
      <x:c r="W135" s="101"/>
      <x:c r="X135" s="101"/>
      <x:c r="Y135" s="101"/>
      <x:c r="Z135" s="101"/>
      <x:c r="AA135" s="101"/>
      <x:c r="AB135" s="101"/>
      <x:c r="AC135" s="101"/>
      <x:c r="AD135" s="101"/>
      <x:c r="AE135" s="101"/>
    </x:row>
    <x:row r="136">
      <x:c r="A136" s="101"/>
      <x:c r="B136" s="101"/>
      <x:c r="C136" s="101"/>
      <x:c r="D136" s="101"/>
      <x:c r="E136" s="101"/>
      <x:c r="F136" s="101"/>
      <x:c r="G136" s="101"/>
      <x:c r="H136" s="101"/>
      <x:c r="I136" s="101"/>
      <x:c r="J136" s="101"/>
      <x:c r="K136" s="101"/>
      <x:c r="L136" s="101"/>
      <x:c r="M136" s="101"/>
      <x:c r="N136" s="101"/>
      <x:c r="O136" s="101"/>
      <x:c r="P136" s="101"/>
      <x:c r="Q136" s="101"/>
      <x:c r="R136" s="101"/>
      <x:c r="S136" s="101"/>
      <x:c r="T136" s="101"/>
      <x:c r="U136" s="101"/>
      <x:c r="V136" s="101"/>
      <x:c r="W136" s="101"/>
      <x:c r="X136" s="101"/>
      <x:c r="Y136" s="101"/>
      <x:c r="Z136" s="101"/>
      <x:c r="AA136" s="101"/>
      <x:c r="AB136" s="101"/>
      <x:c r="AC136" s="101"/>
      <x:c r="AD136" s="101"/>
      <x:c r="AE136" s="101"/>
    </x:row>
    <x:row r="137">
      <x:c r="A137" s="101"/>
      <x:c r="B137" s="101"/>
      <x:c r="C137" s="101"/>
      <x:c r="D137" s="101"/>
      <x:c r="E137" s="101"/>
      <x:c r="F137" s="101"/>
      <x:c r="G137" s="101"/>
      <x:c r="H137" s="101"/>
      <x:c r="I137" s="101"/>
      <x:c r="J137" s="101"/>
      <x:c r="K137" s="101"/>
      <x:c r="L137" s="101"/>
      <x:c r="M137" s="101"/>
      <x:c r="N137" s="101"/>
      <x:c r="O137" s="101"/>
      <x:c r="P137" s="101"/>
      <x:c r="Q137" s="101"/>
      <x:c r="R137" s="101"/>
      <x:c r="S137" s="101"/>
      <x:c r="T137" s="101"/>
      <x:c r="U137" s="101"/>
      <x:c r="V137" s="101"/>
      <x:c r="W137" s="101"/>
      <x:c r="X137" s="101"/>
      <x:c r="Y137" s="101"/>
      <x:c r="Z137" s="101"/>
      <x:c r="AA137" s="101"/>
      <x:c r="AB137" s="101"/>
      <x:c r="AC137" s="101"/>
      <x:c r="AD137" s="101"/>
      <x:c r="AE137" s="101"/>
    </x:row>
    <x:row r="138">
      <x:c r="A138" s="101"/>
      <x:c r="B138" s="101"/>
      <x:c r="C138" s="101"/>
      <x:c r="D138" s="101"/>
      <x:c r="E138" s="101"/>
      <x:c r="F138" s="101"/>
      <x:c r="G138" s="101"/>
      <x:c r="H138" s="101"/>
      <x:c r="I138" s="101"/>
      <x:c r="J138" s="101"/>
      <x:c r="K138" s="101"/>
      <x:c r="L138" s="101"/>
      <x:c r="M138" s="101"/>
      <x:c r="N138" s="101"/>
      <x:c r="O138" s="101"/>
      <x:c r="P138" s="101"/>
      <x:c r="Q138" s="101"/>
      <x:c r="R138" s="101"/>
      <x:c r="S138" s="101"/>
      <x:c r="T138" s="101"/>
      <x:c r="U138" s="101"/>
      <x:c r="V138" s="101"/>
      <x:c r="W138" s="101"/>
      <x:c r="X138" s="101"/>
      <x:c r="Y138" s="101"/>
      <x:c r="Z138" s="101"/>
      <x:c r="AA138" s="101"/>
      <x:c r="AB138" s="101"/>
      <x:c r="AC138" s="101"/>
      <x:c r="AD138" s="101"/>
      <x:c r="AE138" s="101"/>
    </x:row>
    <x:row r="139">
      <x:c r="A139" s="101"/>
      <x:c r="B139" s="101"/>
      <x:c r="C139" s="101"/>
      <x:c r="D139" s="101"/>
      <x:c r="E139" s="101"/>
      <x:c r="F139" s="101"/>
      <x:c r="G139" s="101"/>
      <x:c r="H139" s="101"/>
      <x:c r="I139" s="101"/>
      <x:c r="J139" s="101"/>
      <x:c r="K139" s="101"/>
      <x:c r="L139" s="101"/>
      <x:c r="M139" s="101"/>
      <x:c r="N139" s="101"/>
      <x:c r="O139" s="101"/>
      <x:c r="P139" s="101"/>
      <x:c r="Q139" s="101"/>
      <x:c r="R139" s="101"/>
      <x:c r="S139" s="101"/>
      <x:c r="T139" s="101"/>
      <x:c r="U139" s="101"/>
      <x:c r="V139" s="101"/>
      <x:c r="W139" s="101"/>
      <x:c r="X139" s="101"/>
      <x:c r="Y139" s="101"/>
      <x:c r="Z139" s="101"/>
      <x:c r="AA139" s="101"/>
      <x:c r="AB139" s="101"/>
      <x:c r="AC139" s="101"/>
      <x:c r="AD139" s="101"/>
      <x:c r="AE139" s="101"/>
    </x:row>
    <x:row r="140">
      <x:c r="A140" s="101"/>
      <x:c r="B140" s="101"/>
      <x:c r="C140" s="101"/>
      <x:c r="D140" s="101"/>
      <x:c r="E140" s="101"/>
      <x:c r="F140" s="101"/>
      <x:c r="G140" s="101"/>
      <x:c r="H140" s="101"/>
      <x:c r="I140" s="101"/>
      <x:c r="J140" s="101"/>
      <x:c r="K140" s="101"/>
      <x:c r="L140" s="101"/>
      <x:c r="M140" s="101"/>
      <x:c r="N140" s="101"/>
      <x:c r="O140" s="101"/>
      <x:c r="P140" s="101"/>
      <x:c r="Q140" s="101"/>
      <x:c r="R140" s="101"/>
      <x:c r="S140" s="101"/>
      <x:c r="T140" s="101"/>
      <x:c r="U140" s="101"/>
      <x:c r="V140" s="101"/>
      <x:c r="W140" s="101"/>
      <x:c r="X140" s="101"/>
      <x:c r="Y140" s="101"/>
      <x:c r="Z140" s="101"/>
      <x:c r="AA140" s="101"/>
      <x:c r="AB140" s="101"/>
      <x:c r="AC140" s="101"/>
      <x:c r="AD140" s="101"/>
      <x:c r="AE140" s="101"/>
    </x:row>
    <x:row r="141">
      <x:c r="A141" s="101"/>
      <x:c r="B141" s="101"/>
      <x:c r="C141" s="101"/>
      <x:c r="D141" s="101"/>
      <x:c r="E141" s="101"/>
      <x:c r="F141" s="101"/>
      <x:c r="G141" s="101"/>
      <x:c r="H141" s="101"/>
      <x:c r="I141" s="101"/>
      <x:c r="J141" s="101"/>
      <x:c r="K141" s="101"/>
      <x:c r="L141" s="101"/>
      <x:c r="M141" s="101"/>
      <x:c r="N141" s="101"/>
      <x:c r="O141" s="101"/>
      <x:c r="P141" s="101"/>
      <x:c r="Q141" s="101"/>
      <x:c r="R141" s="101"/>
      <x:c r="S141" s="101"/>
      <x:c r="T141" s="101"/>
      <x:c r="U141" s="101"/>
      <x:c r="V141" s="101"/>
      <x:c r="W141" s="101"/>
      <x:c r="X141" s="101"/>
      <x:c r="Y141" s="101"/>
      <x:c r="Z141" s="101"/>
      <x:c r="AA141" s="101"/>
      <x:c r="AB141" s="101"/>
      <x:c r="AC141" s="101"/>
      <x:c r="AD141" s="101"/>
      <x:c r="AE141" s="101"/>
    </x:row>
    <x:row r="142">
      <x:c r="A142" s="101"/>
      <x:c r="B142" s="101"/>
      <x:c r="C142" s="101"/>
      <x:c r="D142" s="101"/>
      <x:c r="E142" s="101"/>
      <x:c r="F142" s="101"/>
      <x:c r="G142" s="101"/>
      <x:c r="H142" s="101"/>
      <x:c r="I142" s="101"/>
      <x:c r="J142" s="101"/>
      <x:c r="K142" s="101"/>
      <x:c r="L142" s="101"/>
      <x:c r="M142" s="101"/>
      <x:c r="N142" s="101"/>
      <x:c r="O142" s="101"/>
      <x:c r="P142" s="101"/>
      <x:c r="Q142" s="101"/>
      <x:c r="R142" s="101"/>
      <x:c r="S142" s="101"/>
      <x:c r="T142" s="101"/>
      <x:c r="U142" s="101"/>
      <x:c r="V142" s="101"/>
      <x:c r="W142" s="101"/>
      <x:c r="X142" s="101"/>
      <x:c r="Y142" s="101"/>
      <x:c r="Z142" s="101"/>
      <x:c r="AA142" s="101"/>
      <x:c r="AB142" s="101"/>
      <x:c r="AC142" s="101"/>
      <x:c r="AD142" s="101"/>
      <x:c r="AE142" s="101"/>
    </x:row>
    <x:row r="143">
      <x:c r="A143" s="101"/>
      <x:c r="B143" s="101"/>
      <x:c r="C143" s="101"/>
      <x:c r="D143" s="101"/>
      <x:c r="E143" s="101"/>
      <x:c r="F143" s="101"/>
      <x:c r="G143" s="101"/>
      <x:c r="H143" s="101"/>
      <x:c r="I143" s="101"/>
      <x:c r="J143" s="101"/>
      <x:c r="K143" s="101"/>
      <x:c r="L143" s="101"/>
      <x:c r="M143" s="101"/>
      <x:c r="N143" s="101"/>
      <x:c r="O143" s="101"/>
      <x:c r="P143" s="101"/>
      <x:c r="Q143" s="101"/>
      <x:c r="R143" s="101"/>
      <x:c r="S143" s="101"/>
      <x:c r="T143" s="101"/>
      <x:c r="U143" s="101"/>
      <x:c r="V143" s="101"/>
      <x:c r="W143" s="101"/>
      <x:c r="X143" s="101"/>
      <x:c r="Y143" s="101"/>
      <x:c r="Z143" s="101"/>
      <x:c r="AA143" s="101"/>
      <x:c r="AB143" s="101"/>
      <x:c r="AC143" s="101"/>
      <x:c r="AD143" s="101"/>
      <x:c r="AE143" s="101"/>
    </x:row>
    <x:row r="144">
      <x:c r="A144" s="101"/>
      <x:c r="B144" s="101"/>
      <x:c r="C144" s="101"/>
      <x:c r="D144" s="101"/>
      <x:c r="E144" s="101"/>
      <x:c r="F144" s="101"/>
      <x:c r="G144" s="101"/>
      <x:c r="H144" s="101"/>
      <x:c r="I144" s="101"/>
      <x:c r="J144" s="101"/>
      <x:c r="K144" s="101"/>
      <x:c r="L144" s="101"/>
      <x:c r="M144" s="101"/>
      <x:c r="N144" s="101"/>
      <x:c r="O144" s="101"/>
      <x:c r="P144" s="101"/>
      <x:c r="Q144" s="101"/>
      <x:c r="R144" s="101"/>
      <x:c r="S144" s="101"/>
      <x:c r="T144" s="101"/>
      <x:c r="U144" s="101"/>
      <x:c r="V144" s="101"/>
      <x:c r="W144" s="101"/>
      <x:c r="X144" s="101"/>
      <x:c r="Y144" s="101"/>
      <x:c r="Z144" s="101"/>
      <x:c r="AA144" s="101"/>
      <x:c r="AB144" s="101"/>
      <x:c r="AC144" s="101"/>
      <x:c r="AD144" s="101"/>
      <x:c r="AE144" s="101"/>
    </x:row>
    <x:row r="145">
      <x:c r="A145" s="101"/>
      <x:c r="B145" s="101"/>
      <x:c r="C145" s="101"/>
      <x:c r="D145" s="101"/>
      <x:c r="E145" s="101"/>
      <x:c r="F145" s="101"/>
      <x:c r="G145" s="101"/>
      <x:c r="H145" s="101"/>
      <x:c r="I145" s="101"/>
      <x:c r="J145" s="101"/>
      <x:c r="K145" s="101"/>
      <x:c r="L145" s="101"/>
      <x:c r="M145" s="101"/>
      <x:c r="N145" s="101"/>
      <x:c r="O145" s="101"/>
      <x:c r="P145" s="101"/>
      <x:c r="Q145" s="101"/>
      <x:c r="R145" s="101"/>
      <x:c r="S145" s="101"/>
      <x:c r="T145" s="101"/>
      <x:c r="U145" s="101"/>
      <x:c r="V145" s="101"/>
      <x:c r="W145" s="101"/>
      <x:c r="X145" s="101"/>
      <x:c r="Y145" s="101"/>
      <x:c r="Z145" s="101"/>
      <x:c r="AA145" s="101"/>
      <x:c r="AB145" s="101"/>
      <x:c r="AC145" s="101"/>
      <x:c r="AD145" s="101"/>
      <x:c r="AE145" s="101"/>
    </x:row>
    <x:row r="146">
      <x:c r="A146" s="101"/>
      <x:c r="B146" s="101"/>
      <x:c r="C146" s="101"/>
      <x:c r="D146" s="101"/>
      <x:c r="E146" s="101"/>
      <x:c r="F146" s="101"/>
      <x:c r="G146" s="101"/>
      <x:c r="H146" s="101"/>
      <x:c r="I146" s="101"/>
      <x:c r="J146" s="101"/>
      <x:c r="K146" s="101"/>
      <x:c r="L146" s="101"/>
      <x:c r="M146" s="101"/>
      <x:c r="N146" s="101"/>
      <x:c r="O146" s="101"/>
      <x:c r="P146" s="101"/>
      <x:c r="Q146" s="101"/>
      <x:c r="R146" s="101"/>
      <x:c r="S146" s="101"/>
      <x:c r="T146" s="101"/>
      <x:c r="U146" s="101"/>
      <x:c r="V146" s="101"/>
      <x:c r="W146" s="101"/>
      <x:c r="X146" s="101"/>
      <x:c r="Y146" s="101"/>
      <x:c r="Z146" s="101"/>
      <x:c r="AA146" s="101"/>
      <x:c r="AB146" s="101"/>
      <x:c r="AC146" s="101"/>
      <x:c r="AD146" s="101"/>
      <x:c r="AE146" s="101"/>
    </x:row>
    <x:row r="147">
      <x:c r="A147" s="101"/>
      <x:c r="B147" s="101"/>
      <x:c r="C147" s="101"/>
      <x:c r="D147" s="101"/>
      <x:c r="E147" s="101"/>
      <x:c r="F147" s="101"/>
      <x:c r="G147" s="101"/>
      <x:c r="H147" s="101"/>
      <x:c r="I147" s="101"/>
      <x:c r="J147" s="101"/>
      <x:c r="K147" s="101"/>
      <x:c r="L147" s="101"/>
      <x:c r="M147" s="101"/>
      <x:c r="N147" s="101"/>
      <x:c r="O147" s="101"/>
      <x:c r="P147" s="101"/>
      <x:c r="Q147" s="101"/>
      <x:c r="R147" s="101"/>
      <x:c r="S147" s="101"/>
      <x:c r="T147" s="101"/>
      <x:c r="U147" s="101"/>
      <x:c r="V147" s="101"/>
      <x:c r="W147" s="101"/>
      <x:c r="X147" s="101"/>
      <x:c r="Y147" s="101"/>
      <x:c r="Z147" s="101"/>
      <x:c r="AA147" s="101"/>
      <x:c r="AB147" s="101"/>
      <x:c r="AC147" s="101"/>
      <x:c r="AD147" s="101"/>
      <x:c r="AE147" s="101"/>
    </x:row>
    <x:row r="148">
      <x:c r="A148" s="101"/>
      <x:c r="B148" s="101"/>
      <x:c r="C148" s="101"/>
      <x:c r="D148" s="101"/>
      <x:c r="E148" s="101"/>
      <x:c r="F148" s="101"/>
      <x:c r="G148" s="101"/>
      <x:c r="H148" s="101"/>
      <x:c r="I148" s="101"/>
      <x:c r="J148" s="101"/>
      <x:c r="K148" s="101"/>
      <x:c r="L148" s="101"/>
      <x:c r="M148" s="101"/>
      <x:c r="N148" s="101"/>
      <x:c r="O148" s="101"/>
      <x:c r="P148" s="101"/>
      <x:c r="Q148" s="101"/>
      <x:c r="R148" s="101"/>
      <x:c r="S148" s="101"/>
      <x:c r="T148" s="101"/>
      <x:c r="U148" s="101"/>
      <x:c r="V148" s="101"/>
      <x:c r="W148" s="101"/>
      <x:c r="X148" s="101"/>
      <x:c r="Y148" s="101"/>
      <x:c r="Z148" s="101"/>
      <x:c r="AA148" s="101"/>
      <x:c r="AB148" s="101"/>
      <x:c r="AC148" s="101"/>
      <x:c r="AD148" s="101"/>
      <x:c r="AE148" s="101"/>
    </x:row>
    <x:row r="149">
      <x:c r="A149" s="101"/>
      <x:c r="B149" s="101"/>
      <x:c r="C149" s="101"/>
      <x:c r="D149" s="101"/>
      <x:c r="E149" s="101"/>
      <x:c r="F149" s="101"/>
      <x:c r="G149" s="101"/>
      <x:c r="H149" s="101"/>
      <x:c r="I149" s="101"/>
      <x:c r="J149" s="101"/>
      <x:c r="K149" s="101"/>
      <x:c r="L149" s="101"/>
      <x:c r="M149" s="101"/>
      <x:c r="N149" s="101"/>
      <x:c r="O149" s="101"/>
      <x:c r="P149" s="101"/>
      <x:c r="Q149" s="101"/>
      <x:c r="R149" s="101"/>
      <x:c r="S149" s="101"/>
      <x:c r="T149" s="101"/>
      <x:c r="U149" s="101"/>
      <x:c r="V149" s="101"/>
      <x:c r="W149" s="101"/>
      <x:c r="X149" s="101"/>
      <x:c r="Y149" s="101"/>
      <x:c r="Z149" s="101"/>
      <x:c r="AA149" s="101"/>
      <x:c r="AB149" s="101"/>
      <x:c r="AC149" s="101"/>
      <x:c r="AD149" s="101"/>
      <x:c r="AE149" s="101"/>
    </x:row>
    <x:row r="150">
      <x:c r="A150" s="101"/>
      <x:c r="B150" s="101"/>
      <x:c r="C150" s="101"/>
      <x:c r="D150" s="101"/>
      <x:c r="E150" s="101"/>
      <x:c r="F150" s="101"/>
      <x:c r="G150" s="101"/>
      <x:c r="H150" s="101"/>
      <x:c r="I150" s="101"/>
      <x:c r="J150" s="101"/>
      <x:c r="K150" s="101"/>
      <x:c r="L150" s="101"/>
      <x:c r="M150" s="101"/>
      <x:c r="N150" s="101"/>
      <x:c r="O150" s="101"/>
      <x:c r="P150" s="101"/>
      <x:c r="Q150" s="101"/>
      <x:c r="R150" s="101"/>
      <x:c r="S150" s="101"/>
      <x:c r="T150" s="101"/>
      <x:c r="U150" s="101"/>
      <x:c r="V150" s="101"/>
      <x:c r="W150" s="101"/>
      <x:c r="X150" s="101"/>
      <x:c r="Y150" s="101"/>
      <x:c r="Z150" s="101"/>
      <x:c r="AA150" s="101"/>
      <x:c r="AB150" s="101"/>
      <x:c r="AC150" s="101"/>
      <x:c r="AD150" s="101"/>
      <x:c r="AE150" s="101"/>
    </x:row>
    <x:row r="151">
      <x:c r="A151" s="101"/>
      <x:c r="B151" s="101"/>
      <x:c r="C151" s="101"/>
      <x:c r="D151" s="101"/>
      <x:c r="E151" s="101"/>
      <x:c r="F151" s="101"/>
      <x:c r="G151" s="101"/>
      <x:c r="H151" s="101"/>
      <x:c r="I151" s="101"/>
      <x:c r="J151" s="101"/>
      <x:c r="K151" s="101"/>
      <x:c r="L151" s="101"/>
      <x:c r="M151" s="101"/>
      <x:c r="N151" s="101"/>
      <x:c r="O151" s="101"/>
      <x:c r="P151" s="101"/>
      <x:c r="Q151" s="101"/>
      <x:c r="R151" s="101"/>
      <x:c r="S151" s="101"/>
      <x:c r="T151" s="101"/>
      <x:c r="U151" s="101"/>
      <x:c r="V151" s="101"/>
      <x:c r="W151" s="101"/>
      <x:c r="X151" s="101"/>
      <x:c r="Y151" s="101"/>
      <x:c r="Z151" s="101"/>
      <x:c r="AA151" s="101"/>
      <x:c r="AB151" s="101"/>
      <x:c r="AC151" s="101"/>
      <x:c r="AD151" s="101"/>
      <x:c r="AE151" s="101"/>
    </x:row>
    <x:row r="152">
      <x:c r="A152" s="101"/>
      <x:c r="B152" s="101"/>
      <x:c r="C152" s="101"/>
      <x:c r="D152" s="101"/>
      <x:c r="E152" s="101"/>
      <x:c r="F152" s="101"/>
      <x:c r="G152" s="101"/>
      <x:c r="H152" s="101"/>
      <x:c r="I152" s="101"/>
      <x:c r="J152" s="101"/>
      <x:c r="K152" s="101"/>
      <x:c r="L152" s="101"/>
      <x:c r="M152" s="101"/>
      <x:c r="N152" s="101"/>
      <x:c r="O152" s="101"/>
      <x:c r="P152" s="101"/>
      <x:c r="Q152" s="101"/>
      <x:c r="R152" s="101"/>
      <x:c r="S152" s="101"/>
      <x:c r="T152" s="101"/>
      <x:c r="U152" s="101"/>
      <x:c r="V152" s="101"/>
      <x:c r="W152" s="101"/>
      <x:c r="X152" s="101"/>
      <x:c r="Y152" s="101"/>
      <x:c r="Z152" s="101"/>
      <x:c r="AA152" s="101"/>
      <x:c r="AB152" s="101"/>
      <x:c r="AC152" s="101"/>
      <x:c r="AD152" s="101"/>
      <x:c r="AE152" s="101"/>
    </x:row>
    <x:row r="153">
      <x:c r="A153" s="101"/>
      <x:c r="B153" s="101"/>
      <x:c r="C153" s="101"/>
      <x:c r="D153" s="101"/>
      <x:c r="E153" s="101"/>
      <x:c r="F153" s="101"/>
      <x:c r="G153" s="101"/>
      <x:c r="H153" s="101"/>
      <x:c r="I153" s="101"/>
      <x:c r="J153" s="101"/>
      <x:c r="K153" s="101"/>
      <x:c r="L153" s="101"/>
      <x:c r="M153" s="101"/>
      <x:c r="N153" s="101"/>
      <x:c r="O153" s="101"/>
      <x:c r="P153" s="101"/>
      <x:c r="Q153" s="101"/>
      <x:c r="R153" s="101"/>
      <x:c r="S153" s="101"/>
      <x:c r="T153" s="101"/>
      <x:c r="U153" s="101"/>
      <x:c r="V153" s="101"/>
      <x:c r="W153" s="101"/>
      <x:c r="X153" s="101"/>
      <x:c r="Y153" s="101"/>
      <x:c r="Z153" s="101"/>
      <x:c r="AA153" s="101"/>
      <x:c r="AB153" s="101"/>
      <x:c r="AC153" s="101"/>
      <x:c r="AD153" s="101"/>
      <x:c r="AE153" s="101"/>
    </x:row>
    <x:row r="154">
      <x:c r="A154" s="101"/>
      <x:c r="B154" s="101"/>
      <x:c r="C154" s="101"/>
      <x:c r="D154" s="101"/>
      <x:c r="E154" s="101"/>
      <x:c r="F154" s="101"/>
      <x:c r="G154" s="101"/>
      <x:c r="H154" s="101"/>
      <x:c r="I154" s="101"/>
      <x:c r="J154" s="101"/>
      <x:c r="K154" s="101"/>
      <x:c r="L154" s="101"/>
      <x:c r="M154" s="101"/>
      <x:c r="N154" s="101"/>
      <x:c r="O154" s="101"/>
      <x:c r="P154" s="101"/>
      <x:c r="Q154" s="101"/>
      <x:c r="R154" s="101"/>
      <x:c r="S154" s="101"/>
      <x:c r="T154" s="101"/>
      <x:c r="U154" s="101"/>
      <x:c r="V154" s="101"/>
      <x:c r="W154" s="101"/>
      <x:c r="X154" s="101"/>
      <x:c r="Y154" s="101"/>
      <x:c r="Z154" s="101"/>
      <x:c r="AA154" s="101"/>
      <x:c r="AB154" s="101"/>
      <x:c r="AC154" s="101"/>
      <x:c r="AD154" s="101"/>
      <x:c r="AE154" s="101"/>
    </x:row>
    <x:row r="155">
      <x:c r="A155" s="101"/>
      <x:c r="B155" s="101"/>
      <x:c r="C155" s="101"/>
      <x:c r="D155" s="101"/>
      <x:c r="E155" s="101"/>
      <x:c r="F155" s="101"/>
      <x:c r="G155" s="101"/>
      <x:c r="H155" s="101"/>
      <x:c r="I155" s="101"/>
      <x:c r="J155" s="101"/>
      <x:c r="K155" s="101"/>
      <x:c r="L155" s="101"/>
      <x:c r="M155" s="101"/>
      <x:c r="N155" s="101"/>
      <x:c r="O155" s="101"/>
      <x:c r="P155" s="101"/>
      <x:c r="Q155" s="101"/>
      <x:c r="R155" s="101"/>
      <x:c r="S155" s="101"/>
      <x:c r="T155" s="101"/>
      <x:c r="U155" s="101"/>
      <x:c r="V155" s="101"/>
      <x:c r="W155" s="101"/>
      <x:c r="X155" s="101"/>
      <x:c r="Y155" s="101"/>
      <x:c r="Z155" s="101"/>
      <x:c r="AA155" s="101"/>
      <x:c r="AB155" s="101"/>
      <x:c r="AC155" s="101"/>
      <x:c r="AD155" s="101"/>
      <x:c r="AE155" s="101"/>
    </x:row>
    <x:row r="156">
      <x:c r="A156" s="101"/>
      <x:c r="B156" s="101"/>
      <x:c r="C156" s="101"/>
      <x:c r="D156" s="101"/>
      <x:c r="E156" s="101"/>
      <x:c r="F156" s="101"/>
      <x:c r="G156" s="101"/>
      <x:c r="H156" s="101"/>
      <x:c r="I156" s="101"/>
      <x:c r="J156" s="101"/>
      <x:c r="K156" s="101"/>
      <x:c r="L156" s="101"/>
      <x:c r="M156" s="101"/>
      <x:c r="N156" s="101"/>
      <x:c r="O156" s="101"/>
      <x:c r="P156" s="101"/>
      <x:c r="Q156" s="101"/>
      <x:c r="R156" s="101"/>
      <x:c r="S156" s="101"/>
      <x:c r="T156" s="101"/>
      <x:c r="U156" s="101"/>
      <x:c r="V156" s="101"/>
      <x:c r="W156" s="101"/>
      <x:c r="X156" s="101"/>
      <x:c r="Y156" s="101"/>
      <x:c r="Z156" s="101"/>
      <x:c r="AA156" s="101"/>
      <x:c r="AB156" s="101"/>
      <x:c r="AC156" s="101"/>
      <x:c r="AD156" s="101"/>
      <x:c r="AE156" s="101"/>
    </x:row>
    <x:row r="157">
      <x:c r="A157" s="101"/>
      <x:c r="B157" s="101"/>
      <x:c r="C157" s="101"/>
      <x:c r="D157" s="101"/>
      <x:c r="E157" s="101"/>
      <x:c r="F157" s="101"/>
      <x:c r="G157" s="101"/>
      <x:c r="H157" s="101"/>
      <x:c r="I157" s="101"/>
      <x:c r="J157" s="101"/>
      <x:c r="K157" s="101"/>
      <x:c r="L157" s="101"/>
      <x:c r="M157" s="101"/>
      <x:c r="N157" s="101"/>
      <x:c r="O157" s="101"/>
      <x:c r="P157" s="101"/>
      <x:c r="Q157" s="101"/>
      <x:c r="R157" s="101"/>
      <x:c r="S157" s="101"/>
      <x:c r="T157" s="101"/>
      <x:c r="U157" s="101"/>
      <x:c r="V157" s="101"/>
      <x:c r="W157" s="101"/>
      <x:c r="X157" s="101"/>
      <x:c r="Y157" s="101"/>
      <x:c r="Z157" s="101"/>
      <x:c r="AA157" s="101"/>
      <x:c r="AB157" s="101"/>
      <x:c r="AC157" s="101"/>
      <x:c r="AD157" s="101"/>
      <x:c r="AE157" s="101"/>
    </x:row>
    <x:row r="158">
      <x:c r="A158" s="101"/>
      <x:c r="B158" s="101"/>
      <x:c r="C158" s="101"/>
      <x:c r="D158" s="101"/>
      <x:c r="E158" s="101"/>
      <x:c r="F158" s="101"/>
      <x:c r="G158" s="101"/>
      <x:c r="H158" s="101"/>
      <x:c r="I158" s="101"/>
      <x:c r="J158" s="101"/>
      <x:c r="K158" s="101"/>
      <x:c r="L158" s="101"/>
      <x:c r="M158" s="101"/>
      <x:c r="N158" s="101"/>
      <x:c r="O158" s="101"/>
      <x:c r="P158" s="101"/>
      <x:c r="Q158" s="101"/>
      <x:c r="R158" s="101"/>
      <x:c r="S158" s="101"/>
      <x:c r="T158" s="101"/>
      <x:c r="U158" s="101"/>
      <x:c r="V158" s="101"/>
      <x:c r="W158" s="101"/>
      <x:c r="X158" s="101"/>
      <x:c r="Y158" s="101"/>
      <x:c r="Z158" s="101"/>
      <x:c r="AA158" s="101"/>
      <x:c r="AB158" s="101"/>
      <x:c r="AC158" s="101"/>
      <x:c r="AD158" s="101"/>
      <x:c r="AE158" s="101"/>
    </x:row>
    <x:row r="159">
      <x:c r="A159" s="101"/>
      <x:c r="B159" s="101"/>
      <x:c r="C159" s="101"/>
      <x:c r="D159" s="101"/>
      <x:c r="E159" s="101"/>
      <x:c r="F159" s="101"/>
      <x:c r="G159" s="101"/>
      <x:c r="H159" s="101"/>
      <x:c r="I159" s="101"/>
      <x:c r="J159" s="101"/>
      <x:c r="K159" s="101"/>
      <x:c r="L159" s="101"/>
      <x:c r="M159" s="101"/>
      <x:c r="N159" s="101"/>
      <x:c r="O159" s="101"/>
      <x:c r="P159" s="101"/>
      <x:c r="Q159" s="101"/>
      <x:c r="R159" s="101"/>
      <x:c r="S159" s="101"/>
      <x:c r="T159" s="101"/>
      <x:c r="U159" s="101"/>
      <x:c r="V159" s="101"/>
      <x:c r="W159" s="101"/>
      <x:c r="X159" s="101"/>
      <x:c r="Y159" s="101"/>
      <x:c r="Z159" s="101"/>
      <x:c r="AA159" s="101"/>
      <x:c r="AB159" s="101"/>
      <x:c r="AC159" s="101"/>
      <x:c r="AD159" s="101"/>
      <x:c r="AE159" s="101"/>
    </x:row>
    <x:row r="160">
      <x:c r="A160" s="101"/>
      <x:c r="B160" s="101"/>
      <x:c r="C160" s="101"/>
      <x:c r="D160" s="101"/>
      <x:c r="E160" s="101"/>
      <x:c r="F160" s="101"/>
      <x:c r="G160" s="101"/>
      <x:c r="H160" s="101"/>
      <x:c r="I160" s="101"/>
      <x:c r="J160" s="101"/>
      <x:c r="K160" s="101"/>
      <x:c r="L160" s="101"/>
      <x:c r="M160" s="101"/>
      <x:c r="N160" s="101"/>
      <x:c r="O160" s="101"/>
      <x:c r="P160" s="101"/>
      <x:c r="Q160" s="101"/>
      <x:c r="R160" s="101"/>
      <x:c r="S160" s="101"/>
      <x:c r="T160" s="101"/>
      <x:c r="U160" s="101"/>
      <x:c r="V160" s="101"/>
      <x:c r="W160" s="101"/>
      <x:c r="X160" s="101"/>
      <x:c r="Y160" s="101"/>
      <x:c r="Z160" s="101"/>
      <x:c r="AA160" s="101"/>
      <x:c r="AB160" s="101"/>
      <x:c r="AC160" s="101"/>
      <x:c r="AD160" s="101"/>
      <x:c r="AE160" s="101"/>
    </x:row>
    <x:row r="161">
      <x:c r="A161" s="101"/>
      <x:c r="B161" s="101"/>
      <x:c r="C161" s="101"/>
      <x:c r="D161" s="101"/>
      <x:c r="E161" s="101"/>
      <x:c r="F161" s="101"/>
      <x:c r="G161" s="101"/>
      <x:c r="H161" s="101"/>
      <x:c r="I161" s="101"/>
      <x:c r="J161" s="101"/>
      <x:c r="K161" s="101"/>
      <x:c r="L161" s="101"/>
      <x:c r="M161" s="101"/>
      <x:c r="N161" s="101"/>
      <x:c r="O161" s="101"/>
      <x:c r="P161" s="101"/>
      <x:c r="Q161" s="101"/>
      <x:c r="R161" s="101"/>
      <x:c r="S161" s="101"/>
      <x:c r="T161" s="101"/>
      <x:c r="U161" s="101"/>
      <x:c r="V161" s="101"/>
      <x:c r="W161" s="101"/>
      <x:c r="X161" s="101"/>
      <x:c r="Y161" s="101"/>
      <x:c r="Z161" s="101"/>
      <x:c r="AA161" s="101"/>
      <x:c r="AB161" s="101"/>
      <x:c r="AC161" s="101"/>
      <x:c r="AD161" s="101"/>
      <x:c r="AE161" s="101"/>
    </x:row>
    <x:row r="162">
      <x:c r="A162" s="101"/>
      <x:c r="B162" s="101"/>
      <x:c r="C162" s="101"/>
      <x:c r="D162" s="101"/>
      <x:c r="E162" s="101"/>
      <x:c r="F162" s="101"/>
      <x:c r="G162" s="101"/>
      <x:c r="H162" s="101"/>
      <x:c r="I162" s="101"/>
      <x:c r="J162" s="101"/>
      <x:c r="K162" s="101"/>
      <x:c r="L162" s="101"/>
      <x:c r="M162" s="101"/>
      <x:c r="N162" s="101"/>
      <x:c r="O162" s="101"/>
      <x:c r="P162" s="101"/>
      <x:c r="Q162" s="101"/>
      <x:c r="R162" s="101"/>
      <x:c r="S162" s="101"/>
      <x:c r="T162" s="101"/>
      <x:c r="U162" s="101"/>
      <x:c r="V162" s="101"/>
      <x:c r="W162" s="101"/>
      <x:c r="X162" s="101"/>
      <x:c r="Y162" s="101"/>
      <x:c r="Z162" s="101"/>
      <x:c r="AA162" s="101"/>
      <x:c r="AB162" s="101"/>
      <x:c r="AC162" s="101"/>
      <x:c r="AD162" s="101"/>
      <x:c r="AE162" s="101"/>
    </x:row>
    <x:row r="163">
      <x:c r="A163" s="101"/>
      <x:c r="B163" s="101"/>
      <x:c r="C163" s="101"/>
      <x:c r="D163" s="101"/>
      <x:c r="E163" s="101"/>
      <x:c r="F163" s="101"/>
      <x:c r="G163" s="101"/>
      <x:c r="H163" s="101"/>
      <x:c r="I163" s="101"/>
      <x:c r="J163" s="101"/>
      <x:c r="K163" s="101"/>
      <x:c r="L163" s="101"/>
      <x:c r="M163" s="101"/>
      <x:c r="N163" s="101"/>
      <x:c r="O163" s="101"/>
      <x:c r="P163" s="101"/>
      <x:c r="Q163" s="101"/>
      <x:c r="R163" s="101"/>
      <x:c r="S163" s="101"/>
      <x:c r="T163" s="101"/>
      <x:c r="U163" s="101"/>
      <x:c r="V163" s="101"/>
      <x:c r="W163" s="101"/>
      <x:c r="X163" s="101"/>
      <x:c r="Y163" s="101"/>
      <x:c r="Z163" s="101"/>
      <x:c r="AA163" s="101"/>
      <x:c r="AB163" s="101"/>
      <x:c r="AC163" s="101"/>
      <x:c r="AD163" s="101"/>
      <x:c r="AE163" s="101"/>
    </x:row>
    <x:row r="164">
      <x:c r="A164" s="101"/>
      <x:c r="B164" s="101"/>
      <x:c r="C164" s="101"/>
      <x:c r="D164" s="101"/>
      <x:c r="E164" s="101"/>
      <x:c r="F164" s="101"/>
      <x:c r="G164" s="101"/>
      <x:c r="H164" s="101"/>
      <x:c r="I164" s="101"/>
      <x:c r="J164" s="101"/>
      <x:c r="K164" s="101"/>
      <x:c r="L164" s="101"/>
      <x:c r="M164" s="101"/>
      <x:c r="N164" s="101"/>
      <x:c r="O164" s="101"/>
      <x:c r="P164" s="101"/>
      <x:c r="Q164" s="101"/>
      <x:c r="R164" s="101"/>
      <x:c r="S164" s="101"/>
      <x:c r="T164" s="101"/>
      <x:c r="U164" s="101"/>
      <x:c r="V164" s="101"/>
      <x:c r="W164" s="101"/>
      <x:c r="X164" s="101"/>
      <x:c r="Y164" s="101"/>
      <x:c r="Z164" s="101"/>
      <x:c r="AA164" s="101"/>
      <x:c r="AB164" s="101"/>
      <x:c r="AC164" s="101"/>
      <x:c r="AD164" s="101"/>
      <x:c r="AE164" s="101"/>
    </x:row>
    <x:row r="165">
      <x:c r="A165" s="101"/>
      <x:c r="B165" s="101"/>
      <x:c r="C165" s="101"/>
      <x:c r="D165" s="101"/>
      <x:c r="E165" s="101"/>
      <x:c r="F165" s="101"/>
      <x:c r="G165" s="101"/>
      <x:c r="H165" s="101"/>
      <x:c r="I165" s="101"/>
      <x:c r="J165" s="101"/>
      <x:c r="K165" s="101"/>
      <x:c r="L165" s="101"/>
      <x:c r="M165" s="101"/>
      <x:c r="N165" s="101"/>
      <x:c r="O165" s="101"/>
      <x:c r="P165" s="101"/>
      <x:c r="Q165" s="101"/>
      <x:c r="R165" s="101"/>
      <x:c r="S165" s="101"/>
      <x:c r="T165" s="101"/>
      <x:c r="U165" s="101"/>
      <x:c r="V165" s="101"/>
      <x:c r="W165" s="101"/>
      <x:c r="X165" s="101"/>
      <x:c r="Y165" s="101"/>
      <x:c r="Z165" s="101"/>
      <x:c r="AA165" s="101"/>
      <x:c r="AB165" s="101"/>
      <x:c r="AC165" s="101"/>
      <x:c r="AD165" s="101"/>
      <x:c r="AE165" s="101"/>
    </x:row>
    <x:row r="166">
      <x:c r="A166" s="101"/>
      <x:c r="B166" s="101"/>
      <x:c r="C166" s="101"/>
      <x:c r="D166" s="101"/>
      <x:c r="E166" s="101"/>
      <x:c r="F166" s="101"/>
      <x:c r="G166" s="101"/>
      <x:c r="H166" s="101"/>
      <x:c r="I166" s="101"/>
      <x:c r="J166" s="101"/>
      <x:c r="K166" s="101"/>
      <x:c r="L166" s="101"/>
      <x:c r="M166" s="101"/>
      <x:c r="N166" s="101"/>
      <x:c r="O166" s="101"/>
      <x:c r="P166" s="101"/>
      <x:c r="Q166" s="101"/>
      <x:c r="R166" s="101"/>
      <x:c r="S166" s="101"/>
      <x:c r="T166" s="101"/>
      <x:c r="U166" s="101"/>
      <x:c r="V166" s="101"/>
      <x:c r="W166" s="101"/>
      <x:c r="X166" s="101"/>
      <x:c r="Y166" s="101"/>
      <x:c r="Z166" s="101"/>
      <x:c r="AA166" s="101"/>
      <x:c r="AB166" s="101"/>
      <x:c r="AC166" s="101"/>
      <x:c r="AD166" s="101"/>
      <x:c r="AE166" s="101"/>
    </x:row>
    <x:row r="167">
      <x:c r="A167" s="101"/>
      <x:c r="B167" s="101"/>
      <x:c r="C167" s="101"/>
      <x:c r="D167" s="101"/>
      <x:c r="E167" s="101"/>
      <x:c r="F167" s="101"/>
      <x:c r="G167" s="101"/>
      <x:c r="H167" s="101"/>
      <x:c r="I167" s="101"/>
      <x:c r="J167" s="101"/>
      <x:c r="K167" s="101"/>
      <x:c r="L167" s="101"/>
      <x:c r="M167" s="101"/>
      <x:c r="N167" s="101"/>
      <x:c r="O167" s="101"/>
      <x:c r="P167" s="101"/>
      <x:c r="Q167" s="101"/>
      <x:c r="R167" s="101"/>
      <x:c r="S167" s="101"/>
      <x:c r="T167" s="101"/>
      <x:c r="U167" s="101"/>
      <x:c r="V167" s="101"/>
      <x:c r="W167" s="101"/>
      <x:c r="X167" s="101"/>
      <x:c r="Y167" s="101"/>
      <x:c r="Z167" s="101"/>
      <x:c r="AA167" s="101"/>
      <x:c r="AB167" s="101"/>
      <x:c r="AC167" s="101"/>
      <x:c r="AD167" s="101"/>
      <x:c r="AE167" s="101"/>
    </x:row>
    <x:row r="168">
      <x:c r="A168" s="101"/>
      <x:c r="B168" s="101"/>
      <x:c r="C168" s="101"/>
      <x:c r="D168" s="101"/>
      <x:c r="E168" s="101"/>
      <x:c r="F168" s="101"/>
      <x:c r="G168" s="101"/>
      <x:c r="H168" s="101"/>
      <x:c r="I168" s="101"/>
      <x:c r="J168" s="101"/>
      <x:c r="K168" s="101"/>
      <x:c r="L168" s="101"/>
      <x:c r="M168" s="101"/>
      <x:c r="N168" s="101"/>
      <x:c r="O168" s="101"/>
      <x:c r="P168" s="101"/>
      <x:c r="Q168" s="101"/>
      <x:c r="R168" s="101"/>
      <x:c r="S168" s="101"/>
      <x:c r="T168" s="101"/>
      <x:c r="U168" s="101"/>
      <x:c r="V168" s="101"/>
      <x:c r="W168" s="101"/>
      <x:c r="X168" s="101"/>
      <x:c r="Y168" s="101"/>
      <x:c r="Z168" s="101"/>
      <x:c r="AA168" s="101"/>
      <x:c r="AB168" s="101"/>
      <x:c r="AC168" s="101"/>
      <x:c r="AD168" s="101"/>
      <x:c r="AE168" s="101"/>
    </x:row>
    <x:row r="169">
      <x:c r="A169" s="101"/>
      <x:c r="B169" s="101"/>
      <x:c r="C169" s="101"/>
      <x:c r="D169" s="101"/>
      <x:c r="E169" s="101"/>
      <x:c r="F169" s="101"/>
      <x:c r="G169" s="101"/>
      <x:c r="H169" s="101"/>
      <x:c r="I169" s="101"/>
      <x:c r="J169" s="101"/>
      <x:c r="K169" s="101"/>
      <x:c r="L169" s="101"/>
      <x:c r="M169" s="101"/>
      <x:c r="N169" s="101"/>
      <x:c r="O169" s="101"/>
      <x:c r="P169" s="101"/>
      <x:c r="Q169" s="101"/>
      <x:c r="R169" s="101"/>
      <x:c r="S169" s="101"/>
      <x:c r="T169" s="101"/>
      <x:c r="U169" s="101"/>
      <x:c r="V169" s="101"/>
      <x:c r="W169" s="101"/>
      <x:c r="X169" s="101"/>
      <x:c r="Y169" s="101"/>
      <x:c r="Z169" s="101"/>
      <x:c r="AA169" s="101"/>
      <x:c r="AB169" s="101"/>
      <x:c r="AC169" s="101"/>
      <x:c r="AD169" s="101"/>
      <x:c r="AE169" s="101"/>
    </x:row>
    <x:row r="170">
      <x:c r="A170" s="101"/>
      <x:c r="B170" s="101"/>
      <x:c r="C170" s="101"/>
      <x:c r="D170" s="101"/>
      <x:c r="E170" s="101"/>
      <x:c r="F170" s="101"/>
      <x:c r="G170" s="101"/>
      <x:c r="H170" s="101"/>
      <x:c r="I170" s="101"/>
      <x:c r="J170" s="101"/>
      <x:c r="K170" s="101"/>
      <x:c r="L170" s="101"/>
      <x:c r="M170" s="101"/>
      <x:c r="N170" s="101"/>
      <x:c r="O170" s="101"/>
      <x:c r="P170" s="101"/>
      <x:c r="Q170" s="101"/>
      <x:c r="R170" s="101"/>
      <x:c r="S170" s="101"/>
      <x:c r="T170" s="101"/>
      <x:c r="U170" s="101"/>
      <x:c r="V170" s="101"/>
      <x:c r="W170" s="101"/>
      <x:c r="X170" s="101"/>
      <x:c r="Y170" s="101"/>
      <x:c r="Z170" s="101"/>
      <x:c r="AA170" s="101"/>
      <x:c r="AB170" s="101"/>
      <x:c r="AC170" s="101"/>
      <x:c r="AD170" s="101"/>
      <x:c r="AE170" s="101"/>
    </x:row>
    <x:row r="171">
      <x:c r="A171" s="101"/>
      <x:c r="B171" s="101"/>
      <x:c r="C171" s="101"/>
      <x:c r="D171" s="101"/>
      <x:c r="E171" s="101"/>
      <x:c r="F171" s="101"/>
      <x:c r="G171" s="101"/>
      <x:c r="H171" s="101"/>
      <x:c r="I171" s="101"/>
      <x:c r="J171" s="101"/>
      <x:c r="K171" s="101"/>
      <x:c r="L171" s="101"/>
      <x:c r="M171" s="101"/>
      <x:c r="N171" s="101"/>
      <x:c r="O171" s="101"/>
      <x:c r="P171" s="101"/>
      <x:c r="Q171" s="101"/>
      <x:c r="R171" s="101"/>
      <x:c r="S171" s="101"/>
      <x:c r="T171" s="101"/>
      <x:c r="U171" s="101"/>
      <x:c r="V171" s="101"/>
      <x:c r="W171" s="101"/>
      <x:c r="X171" s="101"/>
      <x:c r="Y171" s="101"/>
      <x:c r="Z171" s="101"/>
      <x:c r="AA171" s="101"/>
      <x:c r="AB171" s="101"/>
      <x:c r="AC171" s="101"/>
      <x:c r="AD171" s="101"/>
      <x:c r="AE171" s="101"/>
    </x:row>
    <x:row r="172">
      <x:c r="A172" s="101"/>
      <x:c r="B172" s="101"/>
      <x:c r="C172" s="101"/>
      <x:c r="D172" s="101"/>
      <x:c r="E172" s="101"/>
      <x:c r="F172" s="101"/>
      <x:c r="G172" s="101"/>
      <x:c r="H172" s="101"/>
      <x:c r="I172" s="101"/>
      <x:c r="J172" s="101"/>
      <x:c r="K172" s="101"/>
      <x:c r="L172" s="101"/>
      <x:c r="M172" s="101"/>
      <x:c r="N172" s="101"/>
      <x:c r="O172" s="101"/>
      <x:c r="P172" s="101"/>
      <x:c r="Q172" s="101"/>
      <x:c r="R172" s="101"/>
      <x:c r="S172" s="101"/>
      <x:c r="T172" s="101"/>
      <x:c r="U172" s="101"/>
      <x:c r="V172" s="101"/>
      <x:c r="W172" s="101"/>
      <x:c r="X172" s="101"/>
      <x:c r="Y172" s="101"/>
      <x:c r="Z172" s="101"/>
      <x:c r="AA172" s="101"/>
      <x:c r="AB172" s="101"/>
      <x:c r="AC172" s="101"/>
      <x:c r="AD172" s="101"/>
      <x:c r="AE172" s="101"/>
    </x:row>
    <x:row r="173">
      <x:c r="A173" s="101"/>
      <x:c r="B173" s="101"/>
      <x:c r="C173" s="101"/>
      <x:c r="D173" s="101"/>
      <x:c r="E173" s="101"/>
      <x:c r="F173" s="101"/>
      <x:c r="G173" s="101"/>
      <x:c r="H173" s="101"/>
      <x:c r="I173" s="101"/>
      <x:c r="J173" s="101"/>
      <x:c r="K173" s="101"/>
      <x:c r="L173" s="101"/>
      <x:c r="M173" s="101"/>
      <x:c r="N173" s="101"/>
      <x:c r="O173" s="101"/>
      <x:c r="P173" s="101"/>
      <x:c r="Q173" s="101"/>
      <x:c r="R173" s="101"/>
      <x:c r="S173" s="101"/>
      <x:c r="T173" s="101"/>
      <x:c r="U173" s="101"/>
      <x:c r="V173" s="101"/>
      <x:c r="W173" s="101"/>
      <x:c r="X173" s="101"/>
      <x:c r="Y173" s="101"/>
      <x:c r="Z173" s="101"/>
      <x:c r="AA173" s="101"/>
      <x:c r="AB173" s="101"/>
      <x:c r="AC173" s="101"/>
      <x:c r="AD173" s="101"/>
      <x:c r="AE173" s="101"/>
    </x:row>
    <x:row r="174">
      <x:c r="A174" s="101"/>
      <x:c r="B174" s="101"/>
      <x:c r="C174" s="101"/>
      <x:c r="D174" s="101"/>
      <x:c r="E174" s="101"/>
      <x:c r="F174" s="101"/>
      <x:c r="G174" s="101"/>
      <x:c r="H174" s="101"/>
      <x:c r="I174" s="101"/>
      <x:c r="J174" s="101"/>
      <x:c r="K174" s="101"/>
      <x:c r="L174" s="101"/>
      <x:c r="M174" s="101"/>
      <x:c r="N174" s="101"/>
      <x:c r="O174" s="101"/>
      <x:c r="P174" s="101"/>
      <x:c r="Q174" s="101"/>
      <x:c r="R174" s="101"/>
      <x:c r="S174" s="101"/>
      <x:c r="T174" s="101"/>
      <x:c r="U174" s="101"/>
      <x:c r="V174" s="101"/>
      <x:c r="W174" s="101"/>
      <x:c r="X174" s="101"/>
      <x:c r="Y174" s="101"/>
      <x:c r="Z174" s="101"/>
      <x:c r="AA174" s="101"/>
      <x:c r="AB174" s="101"/>
      <x:c r="AC174" s="101"/>
      <x:c r="AD174" s="101"/>
      <x:c r="AE174" s="101"/>
    </x:row>
    <x:row r="175">
      <x:c r="A175" s="101"/>
      <x:c r="B175" s="101"/>
      <x:c r="C175" s="101"/>
      <x:c r="D175" s="101"/>
      <x:c r="E175" s="101"/>
      <x:c r="F175" s="101"/>
      <x:c r="G175" s="101"/>
      <x:c r="H175" s="101"/>
      <x:c r="I175" s="101"/>
      <x:c r="J175" s="101"/>
      <x:c r="K175" s="101"/>
      <x:c r="L175" s="101"/>
      <x:c r="M175" s="101"/>
      <x:c r="N175" s="101"/>
      <x:c r="O175" s="101"/>
      <x:c r="P175" s="101"/>
      <x:c r="Q175" s="101"/>
      <x:c r="R175" s="101"/>
      <x:c r="S175" s="101"/>
      <x:c r="T175" s="101"/>
      <x:c r="U175" s="101"/>
      <x:c r="V175" s="101"/>
      <x:c r="W175" s="101"/>
      <x:c r="X175" s="101"/>
      <x:c r="Y175" s="101"/>
      <x:c r="Z175" s="101"/>
      <x:c r="AA175" s="101"/>
      <x:c r="AB175" s="101"/>
      <x:c r="AC175" s="101"/>
      <x:c r="AD175" s="101"/>
      <x:c r="AE175" s="101"/>
    </x:row>
    <x:row r="176">
      <x:c r="A176" s="101"/>
      <x:c r="B176" s="101"/>
      <x:c r="C176" s="101"/>
      <x:c r="D176" s="101"/>
      <x:c r="E176" s="101"/>
      <x:c r="F176" s="101"/>
      <x:c r="G176" s="101"/>
      <x:c r="H176" s="101"/>
      <x:c r="I176" s="101"/>
      <x:c r="J176" s="101"/>
      <x:c r="K176" s="101"/>
      <x:c r="L176" s="101"/>
      <x:c r="M176" s="101"/>
      <x:c r="N176" s="101"/>
      <x:c r="O176" s="101"/>
      <x:c r="P176" s="101"/>
      <x:c r="Q176" s="101"/>
      <x:c r="R176" s="101"/>
      <x:c r="S176" s="101"/>
      <x:c r="T176" s="101"/>
      <x:c r="U176" s="101"/>
      <x:c r="V176" s="101"/>
      <x:c r="W176" s="101"/>
      <x:c r="X176" s="101"/>
      <x:c r="Y176" s="101"/>
      <x:c r="Z176" s="101"/>
      <x:c r="AA176" s="101"/>
      <x:c r="AB176" s="101"/>
      <x:c r="AC176" s="101"/>
      <x:c r="AD176" s="101"/>
      <x:c r="AE176" s="101"/>
    </x:row>
    <x:row r="177">
      <x:c r="A177" s="101"/>
      <x:c r="B177" s="101"/>
      <x:c r="C177" s="101"/>
      <x:c r="D177" s="101"/>
      <x:c r="E177" s="101"/>
      <x:c r="F177" s="101"/>
      <x:c r="G177" s="101"/>
      <x:c r="H177" s="101"/>
      <x:c r="I177" s="101"/>
      <x:c r="J177" s="101"/>
      <x:c r="K177" s="101"/>
      <x:c r="L177" s="101"/>
      <x:c r="M177" s="101"/>
      <x:c r="N177" s="101"/>
      <x:c r="O177" s="101"/>
      <x:c r="P177" s="101"/>
      <x:c r="Q177" s="101"/>
      <x:c r="R177" s="101"/>
      <x:c r="S177" s="101"/>
      <x:c r="T177" s="101"/>
      <x:c r="U177" s="101"/>
      <x:c r="V177" s="101"/>
      <x:c r="W177" s="101"/>
      <x:c r="X177" s="101"/>
      <x:c r="Y177" s="101"/>
      <x:c r="Z177" s="101"/>
      <x:c r="AA177" s="101"/>
      <x:c r="AB177" s="101"/>
      <x:c r="AC177" s="101"/>
      <x:c r="AD177" s="101"/>
      <x:c r="AE177" s="101"/>
    </x:row>
    <x:row r="178">
      <x:c r="A178" s="101"/>
      <x:c r="B178" s="101"/>
      <x:c r="C178" s="101"/>
      <x:c r="D178" s="101"/>
      <x:c r="E178" s="101"/>
      <x:c r="F178" s="101"/>
      <x:c r="G178" s="101"/>
      <x:c r="H178" s="101"/>
      <x:c r="I178" s="101"/>
      <x:c r="J178" s="101"/>
      <x:c r="K178" s="101"/>
      <x:c r="L178" s="101"/>
      <x:c r="M178" s="101"/>
      <x:c r="N178" s="101"/>
      <x:c r="O178" s="101"/>
      <x:c r="P178" s="101"/>
      <x:c r="Q178" s="101"/>
      <x:c r="R178" s="101"/>
      <x:c r="S178" s="101"/>
      <x:c r="T178" s="101"/>
      <x:c r="U178" s="101"/>
      <x:c r="V178" s="101"/>
      <x:c r="W178" s="101"/>
      <x:c r="X178" s="101"/>
      <x:c r="Y178" s="101"/>
      <x:c r="Z178" s="101"/>
      <x:c r="AA178" s="101"/>
      <x:c r="AB178" s="101"/>
      <x:c r="AC178" s="101"/>
      <x:c r="AD178" s="101"/>
      <x:c r="AE178" s="101"/>
    </x:row>
    <x:row r="179">
      <x:c r="A179" s="101"/>
      <x:c r="B179" s="101"/>
      <x:c r="C179" s="101"/>
      <x:c r="D179" s="101"/>
      <x:c r="E179" s="101"/>
      <x:c r="F179" s="101"/>
      <x:c r="G179" s="101"/>
      <x:c r="H179" s="101"/>
      <x:c r="I179" s="101"/>
      <x:c r="J179" s="101"/>
      <x:c r="K179" s="101"/>
      <x:c r="L179" s="101"/>
      <x:c r="M179" s="101"/>
      <x:c r="N179" s="101"/>
      <x:c r="O179" s="101"/>
      <x:c r="P179" s="101"/>
      <x:c r="Q179" s="101"/>
      <x:c r="R179" s="101"/>
      <x:c r="S179" s="101"/>
      <x:c r="T179" s="101"/>
      <x:c r="U179" s="101"/>
      <x:c r="V179" s="101"/>
      <x:c r="W179" s="101"/>
      <x:c r="X179" s="101"/>
      <x:c r="Y179" s="101"/>
      <x:c r="Z179" s="101"/>
      <x:c r="AA179" s="101"/>
      <x:c r="AB179" s="101"/>
      <x:c r="AC179" s="101"/>
      <x:c r="AD179" s="101"/>
      <x:c r="AE179" s="101"/>
    </x:row>
    <x:row r="180">
      <x:c r="A180" s="101"/>
      <x:c r="B180" s="101"/>
      <x:c r="C180" s="101"/>
      <x:c r="D180" s="101"/>
      <x:c r="E180" s="101"/>
      <x:c r="F180" s="101"/>
      <x:c r="G180" s="101"/>
      <x:c r="H180" s="101"/>
      <x:c r="I180" s="101"/>
      <x:c r="J180" s="101"/>
      <x:c r="K180" s="101"/>
      <x:c r="L180" s="101"/>
      <x:c r="M180" s="101"/>
      <x:c r="N180" s="101"/>
      <x:c r="O180" s="101"/>
      <x:c r="P180" s="101"/>
      <x:c r="Q180" s="101"/>
      <x:c r="R180" s="101"/>
      <x:c r="S180" s="101"/>
      <x:c r="T180" s="101"/>
      <x:c r="U180" s="101"/>
      <x:c r="V180" s="101"/>
      <x:c r="W180" s="101"/>
      <x:c r="X180" s="101"/>
      <x:c r="Y180" s="101"/>
      <x:c r="Z180" s="101"/>
      <x:c r="AA180" s="101"/>
      <x:c r="AB180" s="101"/>
      <x:c r="AC180" s="101"/>
      <x:c r="AD180" s="101"/>
      <x:c r="AE180" s="101"/>
    </x:row>
    <x:row r="181">
      <x:c r="A181" s="101"/>
      <x:c r="B181" s="101"/>
      <x:c r="C181" s="101"/>
      <x:c r="D181" s="101"/>
      <x:c r="E181" s="101"/>
      <x:c r="F181" s="101"/>
      <x:c r="G181" s="101"/>
      <x:c r="H181" s="101"/>
      <x:c r="I181" s="101"/>
      <x:c r="J181" s="101"/>
      <x:c r="K181" s="101"/>
      <x:c r="L181" s="101"/>
      <x:c r="M181" s="101"/>
      <x:c r="N181" s="101"/>
      <x:c r="O181" s="101"/>
      <x:c r="P181" s="101"/>
      <x:c r="Q181" s="101"/>
      <x:c r="R181" s="101"/>
      <x:c r="S181" s="101"/>
      <x:c r="T181" s="101"/>
      <x:c r="U181" s="101"/>
      <x:c r="V181" s="101"/>
      <x:c r="W181" s="101"/>
      <x:c r="X181" s="101"/>
      <x:c r="Y181" s="101"/>
      <x:c r="Z181" s="101"/>
      <x:c r="AA181" s="101"/>
      <x:c r="AB181" s="101"/>
      <x:c r="AC181" s="101"/>
      <x:c r="AD181" s="101"/>
      <x:c r="AE181" s="101"/>
    </x:row>
    <x:row r="182">
      <x:c r="A182" s="101"/>
      <x:c r="B182" s="101"/>
      <x:c r="C182" s="101"/>
      <x:c r="D182" s="101"/>
      <x:c r="E182" s="101"/>
      <x:c r="F182" s="101"/>
      <x:c r="G182" s="101"/>
      <x:c r="H182" s="101"/>
      <x:c r="I182" s="101"/>
      <x:c r="J182" s="101"/>
      <x:c r="K182" s="101"/>
      <x:c r="L182" s="101"/>
      <x:c r="M182" s="101"/>
      <x:c r="N182" s="101"/>
      <x:c r="O182" s="101"/>
      <x:c r="P182" s="101"/>
      <x:c r="Q182" s="101"/>
      <x:c r="R182" s="101"/>
      <x:c r="S182" s="101"/>
      <x:c r="T182" s="101"/>
      <x:c r="U182" s="101"/>
      <x:c r="V182" s="101"/>
      <x:c r="W182" s="101"/>
      <x:c r="X182" s="101"/>
      <x:c r="Y182" s="101"/>
      <x:c r="Z182" s="101"/>
      <x:c r="AA182" s="101"/>
      <x:c r="AB182" s="101"/>
      <x:c r="AC182" s="101"/>
      <x:c r="AD182" s="101"/>
      <x:c r="AE182" s="101"/>
    </x:row>
    <x:row r="183">
      <x:c r="A183" s="101"/>
      <x:c r="B183" s="101"/>
      <x:c r="C183" s="101"/>
      <x:c r="D183" s="101"/>
      <x:c r="E183" s="101"/>
      <x:c r="F183" s="101"/>
      <x:c r="G183" s="101"/>
      <x:c r="H183" s="101"/>
      <x:c r="I183" s="101"/>
      <x:c r="J183" s="101"/>
      <x:c r="K183" s="101"/>
      <x:c r="L183" s="101"/>
      <x:c r="M183" s="101"/>
      <x:c r="N183" s="101"/>
      <x:c r="O183" s="101"/>
      <x:c r="P183" s="101"/>
      <x:c r="Q183" s="101"/>
      <x:c r="R183" s="101"/>
      <x:c r="S183" s="101"/>
      <x:c r="T183" s="101"/>
      <x:c r="U183" s="101"/>
      <x:c r="V183" s="101"/>
      <x:c r="W183" s="101"/>
      <x:c r="X183" s="101"/>
      <x:c r="Y183" s="101"/>
      <x:c r="Z183" s="101"/>
      <x:c r="AA183" s="101"/>
      <x:c r="AB183" s="101"/>
      <x:c r="AC183" s="101"/>
      <x:c r="AD183" s="101"/>
      <x:c r="AE183" s="101"/>
    </x:row>
    <x:row r="184">
      <x:c r="A184" s="101"/>
      <x:c r="B184" s="101"/>
      <x:c r="C184" s="101"/>
      <x:c r="D184" s="101"/>
      <x:c r="E184" s="101"/>
      <x:c r="F184" s="101"/>
      <x:c r="G184" s="101"/>
      <x:c r="H184" s="101"/>
      <x:c r="I184" s="101"/>
      <x:c r="J184" s="101"/>
      <x:c r="K184" s="101"/>
      <x:c r="L184" s="101"/>
      <x:c r="M184" s="101"/>
      <x:c r="N184" s="101"/>
      <x:c r="O184" s="101"/>
      <x:c r="P184" s="101"/>
      <x:c r="Q184" s="101"/>
      <x:c r="R184" s="101"/>
      <x:c r="S184" s="101"/>
      <x:c r="T184" s="101"/>
      <x:c r="U184" s="101"/>
      <x:c r="V184" s="101"/>
      <x:c r="W184" s="101"/>
      <x:c r="X184" s="101"/>
      <x:c r="Y184" s="101"/>
      <x:c r="Z184" s="101"/>
      <x:c r="AA184" s="101"/>
      <x:c r="AB184" s="101"/>
      <x:c r="AC184" s="101"/>
      <x:c r="AD184" s="101"/>
      <x:c r="AE184" s="101"/>
    </x:row>
    <x:row r="185">
      <x:c r="A185" s="101"/>
      <x:c r="B185" s="101"/>
      <x:c r="C185" s="101"/>
      <x:c r="D185" s="101"/>
      <x:c r="E185" s="101"/>
      <x:c r="F185" s="101"/>
      <x:c r="G185" s="101"/>
      <x:c r="H185" s="101"/>
      <x:c r="I185" s="101"/>
      <x:c r="J185" s="101"/>
      <x:c r="K185" s="101"/>
      <x:c r="L185" s="101"/>
      <x:c r="M185" s="101"/>
      <x:c r="N185" s="101"/>
      <x:c r="O185" s="101"/>
      <x:c r="P185" s="101"/>
      <x:c r="Q185" s="101"/>
      <x:c r="R185" s="101"/>
      <x:c r="S185" s="101"/>
      <x:c r="T185" s="101"/>
      <x:c r="U185" s="101"/>
      <x:c r="V185" s="101"/>
      <x:c r="W185" s="101"/>
      <x:c r="X185" s="101"/>
      <x:c r="Y185" s="101"/>
      <x:c r="Z185" s="101"/>
      <x:c r="AA185" s="101"/>
      <x:c r="AB185" s="101"/>
      <x:c r="AC185" s="101"/>
      <x:c r="AD185" s="101"/>
      <x:c r="AE185" s="101"/>
    </x:row>
    <x:row r="186">
      <x:c r="A186" s="101"/>
      <x:c r="B186" s="101"/>
      <x:c r="C186" s="101"/>
      <x:c r="D186" s="101"/>
      <x:c r="E186" s="101"/>
      <x:c r="F186" s="101"/>
      <x:c r="G186" s="101"/>
      <x:c r="H186" s="101"/>
      <x:c r="I186" s="101"/>
      <x:c r="J186" s="101"/>
      <x:c r="K186" s="101"/>
      <x:c r="L186" s="101"/>
      <x:c r="M186" s="101"/>
      <x:c r="N186" s="101"/>
      <x:c r="O186" s="101"/>
      <x:c r="P186" s="101"/>
      <x:c r="Q186" s="101"/>
      <x:c r="R186" s="101"/>
      <x:c r="S186" s="101"/>
      <x:c r="T186" s="101"/>
      <x:c r="U186" s="101"/>
      <x:c r="V186" s="101"/>
      <x:c r="W186" s="101"/>
      <x:c r="X186" s="101"/>
      <x:c r="Y186" s="101"/>
      <x:c r="Z186" s="101"/>
      <x:c r="AA186" s="101"/>
      <x:c r="AB186" s="101"/>
      <x:c r="AC186" s="101"/>
      <x:c r="AD186" s="101"/>
      <x:c r="AE186" s="101"/>
    </x:row>
    <x:row r="187">
      <x:c r="A187" s="101"/>
      <x:c r="B187" s="101"/>
      <x:c r="C187" s="101"/>
      <x:c r="D187" s="101"/>
      <x:c r="E187" s="101"/>
      <x:c r="F187" s="101"/>
      <x:c r="G187" s="101"/>
      <x:c r="H187" s="101"/>
      <x:c r="I187" s="101"/>
      <x:c r="J187" s="101"/>
      <x:c r="K187" s="101"/>
      <x:c r="L187" s="101"/>
      <x:c r="M187" s="101"/>
      <x:c r="N187" s="101"/>
      <x:c r="O187" s="101"/>
      <x:c r="P187" s="101"/>
      <x:c r="Q187" s="101"/>
      <x:c r="R187" s="101"/>
      <x:c r="S187" s="101"/>
      <x:c r="T187" s="101"/>
      <x:c r="U187" s="101"/>
      <x:c r="V187" s="101"/>
      <x:c r="W187" s="101"/>
      <x:c r="X187" s="101"/>
      <x:c r="Y187" s="101"/>
      <x:c r="Z187" s="101"/>
      <x:c r="AA187" s="101"/>
      <x:c r="AB187" s="101"/>
      <x:c r="AC187" s="101"/>
      <x:c r="AD187" s="101"/>
      <x:c r="AE187" s="101"/>
    </x:row>
    <x:row r="188">
      <x:c r="A188" s="101"/>
      <x:c r="B188" s="101"/>
      <x:c r="C188" s="101"/>
      <x:c r="D188" s="101"/>
      <x:c r="E188" s="101"/>
      <x:c r="F188" s="101"/>
      <x:c r="G188" s="101"/>
      <x:c r="H188" s="101"/>
      <x:c r="I188" s="101"/>
      <x:c r="J188" s="101"/>
      <x:c r="K188" s="101"/>
      <x:c r="L188" s="101"/>
      <x:c r="M188" s="101"/>
      <x:c r="N188" s="101"/>
      <x:c r="O188" s="101"/>
      <x:c r="P188" s="101"/>
      <x:c r="Q188" s="101"/>
      <x:c r="R188" s="101"/>
      <x:c r="S188" s="101"/>
      <x:c r="T188" s="101"/>
      <x:c r="U188" s="101"/>
      <x:c r="V188" s="101"/>
      <x:c r="W188" s="101"/>
      <x:c r="X188" s="101"/>
      <x:c r="Y188" s="101"/>
      <x:c r="Z188" s="101"/>
      <x:c r="AA188" s="101"/>
      <x:c r="AB188" s="101"/>
      <x:c r="AC188" s="101"/>
      <x:c r="AD188" s="101"/>
      <x:c r="AE188" s="101"/>
    </x:row>
    <x:row r="189">
      <x:c r="A189" s="101"/>
      <x:c r="B189" s="101"/>
      <x:c r="C189" s="101"/>
      <x:c r="D189" s="101"/>
      <x:c r="E189" s="101"/>
      <x:c r="F189" s="101"/>
      <x:c r="G189" s="101"/>
      <x:c r="H189" s="101"/>
      <x:c r="I189" s="101"/>
      <x:c r="J189" s="101"/>
      <x:c r="K189" s="101"/>
      <x:c r="L189" s="101"/>
      <x:c r="M189" s="101"/>
      <x:c r="N189" s="101"/>
      <x:c r="O189" s="101"/>
      <x:c r="P189" s="101"/>
      <x:c r="Q189" s="101"/>
      <x:c r="R189" s="101"/>
      <x:c r="S189" s="101"/>
      <x:c r="T189" s="101"/>
      <x:c r="U189" s="101"/>
      <x:c r="V189" s="101"/>
      <x:c r="W189" s="101"/>
      <x:c r="X189" s="101"/>
      <x:c r="Y189" s="101"/>
      <x:c r="Z189" s="101"/>
      <x:c r="AA189" s="101"/>
      <x:c r="AB189" s="101"/>
      <x:c r="AC189" s="101"/>
      <x:c r="AD189" s="101"/>
      <x:c r="AE189" s="101"/>
    </x:row>
    <x:row r="190">
      <x:c r="A190" s="101"/>
      <x:c r="B190" s="101"/>
      <x:c r="C190" s="101"/>
      <x:c r="D190" s="101"/>
      <x:c r="E190" s="101"/>
      <x:c r="F190" s="101"/>
      <x:c r="G190" s="101"/>
      <x:c r="H190" s="101"/>
      <x:c r="I190" s="101"/>
      <x:c r="J190" s="101"/>
      <x:c r="K190" s="101"/>
      <x:c r="L190" s="101"/>
      <x:c r="M190" s="101"/>
      <x:c r="N190" s="101"/>
      <x:c r="O190" s="101"/>
      <x:c r="P190" s="101"/>
      <x:c r="Q190" s="101"/>
      <x:c r="R190" s="101"/>
      <x:c r="S190" s="101"/>
      <x:c r="T190" s="101"/>
      <x:c r="U190" s="101"/>
      <x:c r="V190" s="101"/>
      <x:c r="W190" s="101"/>
      <x:c r="X190" s="101"/>
      <x:c r="Y190" s="101"/>
      <x:c r="Z190" s="101"/>
      <x:c r="AA190" s="101"/>
      <x:c r="AB190" s="101"/>
      <x:c r="AC190" s="101"/>
      <x:c r="AD190" s="101"/>
      <x:c r="AE190" s="101"/>
    </x:row>
    <x:row r="191">
      <x:c r="A191" s="101"/>
      <x:c r="B191" s="101"/>
      <x:c r="C191" s="101"/>
      <x:c r="D191" s="101"/>
      <x:c r="E191" s="101"/>
      <x:c r="F191" s="101"/>
      <x:c r="G191" s="101"/>
      <x:c r="H191" s="101"/>
      <x:c r="I191" s="101"/>
      <x:c r="J191" s="101"/>
      <x:c r="K191" s="101"/>
      <x:c r="L191" s="101"/>
      <x:c r="M191" s="101"/>
      <x:c r="N191" s="101"/>
      <x:c r="O191" s="101"/>
      <x:c r="P191" s="101"/>
      <x:c r="Q191" s="101"/>
      <x:c r="R191" s="101"/>
      <x:c r="S191" s="101"/>
      <x:c r="T191" s="101"/>
      <x:c r="U191" s="101"/>
      <x:c r="V191" s="101"/>
      <x:c r="W191" s="101"/>
      <x:c r="X191" s="101"/>
      <x:c r="Y191" s="101"/>
      <x:c r="Z191" s="101"/>
      <x:c r="AA191" s="101"/>
      <x:c r="AB191" s="101"/>
      <x:c r="AC191" s="101"/>
      <x:c r="AD191" s="101"/>
      <x:c r="AE191" s="101"/>
    </x:row>
    <x:row r="192">
      <x:c r="A192" s="101"/>
      <x:c r="B192" s="101"/>
      <x:c r="C192" s="101"/>
      <x:c r="D192" s="101"/>
      <x:c r="E192" s="101"/>
      <x:c r="F192" s="101"/>
      <x:c r="G192" s="101"/>
      <x:c r="H192" s="101"/>
      <x:c r="I192" s="101"/>
      <x:c r="J192" s="101"/>
      <x:c r="K192" s="101"/>
      <x:c r="L192" s="101"/>
      <x:c r="M192" s="101"/>
      <x:c r="N192" s="101"/>
      <x:c r="O192" s="101"/>
      <x:c r="P192" s="101"/>
      <x:c r="Q192" s="101"/>
      <x:c r="R192" s="101"/>
      <x:c r="S192" s="101"/>
      <x:c r="T192" s="101"/>
      <x:c r="U192" s="101"/>
      <x:c r="V192" s="101"/>
      <x:c r="W192" s="101"/>
      <x:c r="X192" s="101"/>
      <x:c r="Y192" s="101"/>
      <x:c r="Z192" s="101"/>
      <x:c r="AA192" s="101"/>
      <x:c r="AB192" s="101"/>
      <x:c r="AC192" s="101"/>
      <x:c r="AD192" s="101"/>
      <x:c r="AE192" s="101"/>
    </x:row>
    <x:row r="193">
      <x:c r="A193" s="101"/>
      <x:c r="B193" s="101"/>
      <x:c r="C193" s="101"/>
      <x:c r="D193" s="101"/>
      <x:c r="E193" s="101"/>
      <x:c r="F193" s="101"/>
      <x:c r="G193" s="101"/>
      <x:c r="H193" s="101"/>
      <x:c r="I193" s="101"/>
      <x:c r="J193" s="101"/>
      <x:c r="K193" s="101"/>
      <x:c r="L193" s="101"/>
      <x:c r="M193" s="101"/>
      <x:c r="N193" s="101"/>
      <x:c r="O193" s="101"/>
      <x:c r="P193" s="101"/>
      <x:c r="Q193" s="101"/>
      <x:c r="R193" s="101"/>
      <x:c r="S193" s="101"/>
      <x:c r="T193" s="101"/>
      <x:c r="U193" s="101"/>
      <x:c r="V193" s="101"/>
      <x:c r="W193" s="101"/>
      <x:c r="X193" s="101"/>
      <x:c r="Y193" s="101"/>
      <x:c r="Z193" s="101"/>
      <x:c r="AA193" s="101"/>
      <x:c r="AB193" s="101"/>
      <x:c r="AC193" s="101"/>
      <x:c r="AD193" s="101"/>
      <x:c r="AE193" s="101"/>
    </x:row>
    <x:row r="194">
      <x:c r="A194" s="101"/>
      <x:c r="B194" s="101"/>
      <x:c r="C194" s="101"/>
      <x:c r="D194" s="101"/>
      <x:c r="E194" s="101"/>
      <x:c r="F194" s="101"/>
      <x:c r="G194" s="101"/>
      <x:c r="H194" s="101"/>
      <x:c r="I194" s="101"/>
      <x:c r="J194" s="101"/>
      <x:c r="K194" s="101"/>
      <x:c r="L194" s="101"/>
      <x:c r="M194" s="101"/>
      <x:c r="N194" s="101"/>
      <x:c r="O194" s="101"/>
      <x:c r="P194" s="101"/>
      <x:c r="Q194" s="101"/>
      <x:c r="R194" s="101"/>
      <x:c r="S194" s="101"/>
      <x:c r="T194" s="101"/>
      <x:c r="U194" s="101"/>
      <x:c r="V194" s="101"/>
      <x:c r="W194" s="101"/>
      <x:c r="X194" s="101"/>
      <x:c r="Y194" s="101"/>
      <x:c r="Z194" s="101"/>
      <x:c r="AA194" s="101"/>
      <x:c r="AB194" s="101"/>
      <x:c r="AC194" s="101"/>
      <x:c r="AD194" s="101"/>
      <x:c r="AE194" s="101"/>
    </x:row>
    <x:row r="195">
      <x:c r="A195" s="101"/>
      <x:c r="B195" s="101"/>
      <x:c r="C195" s="101"/>
      <x:c r="D195" s="101"/>
      <x:c r="E195" s="101"/>
      <x:c r="F195" s="101"/>
      <x:c r="G195" s="101"/>
      <x:c r="H195" s="101"/>
      <x:c r="I195" s="101"/>
      <x:c r="J195" s="101"/>
      <x:c r="K195" s="101"/>
      <x:c r="L195" s="101"/>
      <x:c r="M195" s="101"/>
      <x:c r="N195" s="101"/>
      <x:c r="O195" s="101"/>
      <x:c r="P195" s="101"/>
      <x:c r="Q195" s="101"/>
      <x:c r="R195" s="101"/>
      <x:c r="S195" s="101"/>
      <x:c r="T195" s="101"/>
      <x:c r="U195" s="101"/>
      <x:c r="V195" s="101"/>
      <x:c r="W195" s="101"/>
      <x:c r="X195" s="101"/>
      <x:c r="Y195" s="101"/>
      <x:c r="Z195" s="101"/>
      <x:c r="AA195" s="101"/>
      <x:c r="AB195" s="101"/>
      <x:c r="AC195" s="101"/>
      <x:c r="AD195" s="101"/>
      <x:c r="AE195" s="101"/>
    </x:row>
    <x:row r="196">
      <x:c r="A196" s="101"/>
      <x:c r="B196" s="101"/>
      <x:c r="C196" s="101"/>
      <x:c r="D196" s="101"/>
      <x:c r="E196" s="101"/>
      <x:c r="F196" s="101"/>
      <x:c r="G196" s="101"/>
      <x:c r="H196" s="101"/>
      <x:c r="I196" s="101"/>
      <x:c r="J196" s="101"/>
      <x:c r="K196" s="101"/>
      <x:c r="L196" s="101"/>
      <x:c r="M196" s="101"/>
      <x:c r="N196" s="101"/>
      <x:c r="O196" s="101"/>
      <x:c r="P196" s="101"/>
      <x:c r="Q196" s="101"/>
      <x:c r="R196" s="101"/>
      <x:c r="S196" s="101"/>
      <x:c r="T196" s="101"/>
      <x:c r="U196" s="101"/>
      <x:c r="V196" s="101"/>
      <x:c r="W196" s="101"/>
      <x:c r="X196" s="101"/>
      <x:c r="Y196" s="101"/>
      <x:c r="Z196" s="101"/>
      <x:c r="AA196" s="101"/>
      <x:c r="AB196" s="101"/>
      <x:c r="AC196" s="101"/>
      <x:c r="AD196" s="101"/>
      <x:c r="AE196" s="101"/>
    </x:row>
    <x:row r="197">
      <x:c r="A197" s="101"/>
      <x:c r="B197" s="101"/>
      <x:c r="C197" s="101"/>
      <x:c r="D197" s="101"/>
      <x:c r="E197" s="101"/>
      <x:c r="F197" s="101"/>
      <x:c r="G197" s="101"/>
      <x:c r="H197" s="101"/>
      <x:c r="I197" s="101"/>
      <x:c r="J197" s="101"/>
      <x:c r="K197" s="101"/>
      <x:c r="L197" s="101"/>
      <x:c r="M197" s="101"/>
      <x:c r="N197" s="101"/>
      <x:c r="O197" s="101"/>
      <x:c r="P197" s="101"/>
      <x:c r="Q197" s="101"/>
      <x:c r="R197" s="101"/>
      <x:c r="S197" s="101"/>
      <x:c r="T197" s="101"/>
      <x:c r="U197" s="101"/>
      <x:c r="V197" s="101"/>
      <x:c r="W197" s="101"/>
      <x:c r="X197" s="101"/>
      <x:c r="Y197" s="101"/>
      <x:c r="Z197" s="101"/>
      <x:c r="AA197" s="101"/>
      <x:c r="AB197" s="101"/>
      <x:c r="AC197" s="101"/>
      <x:c r="AD197" s="101"/>
      <x:c r="AE197" s="101"/>
    </x:row>
    <x:row r="198">
      <x:c r="A198" s="101"/>
      <x:c r="B198" s="101"/>
      <x:c r="C198" s="101"/>
      <x:c r="D198" s="101"/>
      <x:c r="E198" s="101"/>
      <x:c r="F198" s="101"/>
      <x:c r="G198" s="101"/>
      <x:c r="H198" s="101"/>
      <x:c r="I198" s="101"/>
      <x:c r="J198" s="101"/>
      <x:c r="K198" s="101"/>
      <x:c r="L198" s="101"/>
      <x:c r="M198" s="101"/>
      <x:c r="N198" s="101"/>
      <x:c r="O198" s="101"/>
      <x:c r="P198" s="101"/>
      <x:c r="Q198" s="101"/>
      <x:c r="R198" s="101"/>
      <x:c r="S198" s="101"/>
      <x:c r="T198" s="101"/>
      <x:c r="U198" s="101"/>
      <x:c r="V198" s="101"/>
      <x:c r="W198" s="101"/>
      <x:c r="X198" s="101"/>
      <x:c r="Y198" s="101"/>
      <x:c r="Z198" s="101"/>
      <x:c r="AA198" s="101"/>
      <x:c r="AB198" s="101"/>
      <x:c r="AC198" s="101"/>
      <x:c r="AD198" s="101"/>
      <x:c r="AE198" s="101"/>
    </x:row>
    <x:row r="199">
      <x:c r="A199" s="101"/>
      <x:c r="B199" s="101"/>
      <x:c r="C199" s="101"/>
      <x:c r="D199" s="101"/>
      <x:c r="E199" s="101"/>
      <x:c r="F199" s="101"/>
      <x:c r="G199" s="101"/>
      <x:c r="H199" s="101"/>
      <x:c r="I199" s="101"/>
      <x:c r="J199" s="101"/>
      <x:c r="K199" s="101"/>
      <x:c r="L199" s="101"/>
      <x:c r="M199" s="101"/>
      <x:c r="N199" s="101"/>
      <x:c r="O199" s="101"/>
      <x:c r="P199" s="101"/>
      <x:c r="Q199" s="101"/>
      <x:c r="R199" s="101"/>
      <x:c r="S199" s="101"/>
      <x:c r="T199" s="101"/>
      <x:c r="U199" s="101"/>
      <x:c r="V199" s="101"/>
      <x:c r="W199" s="101"/>
      <x:c r="X199" s="101"/>
      <x:c r="Y199" s="101"/>
      <x:c r="Z199" s="101"/>
      <x:c r="AA199" s="101"/>
      <x:c r="AB199" s="101"/>
      <x:c r="AC199" s="101"/>
      <x:c r="AD199" s="101"/>
      <x:c r="AE199" s="101"/>
    </x:row>
    <x:row r="200">
      <x:c r="A200" s="101"/>
      <x:c r="B200" s="101"/>
      <x:c r="C200" s="101"/>
      <x:c r="D200" s="101"/>
      <x:c r="E200" s="101"/>
      <x:c r="F200" s="101"/>
      <x:c r="G200" s="101"/>
      <x:c r="H200" s="101"/>
      <x:c r="I200" s="101"/>
      <x:c r="J200" s="101"/>
      <x:c r="K200" s="101"/>
      <x:c r="L200" s="101"/>
      <x:c r="M200" s="101"/>
      <x:c r="N200" s="101"/>
      <x:c r="O200" s="101"/>
      <x:c r="P200" s="101"/>
      <x:c r="Q200" s="101"/>
      <x:c r="R200" s="101"/>
      <x:c r="S200" s="101"/>
      <x:c r="T200" s="101"/>
      <x:c r="U200" s="101"/>
      <x:c r="V200" s="101"/>
      <x:c r="W200" s="101"/>
      <x:c r="X200" s="101"/>
      <x:c r="Y200" s="101"/>
      <x:c r="Z200" s="101"/>
      <x:c r="AA200" s="101"/>
      <x:c r="AB200" s="101"/>
      <x:c r="AC200" s="101"/>
      <x:c r="AD200" s="101"/>
      <x:c r="AE200" s="101"/>
    </x:row>
  </x:sheetData>
  <x:mergeCells>
    <x:mergeCell ref="A1:H1"/>
    <x:mergeCell ref="A9:H9"/>
    <x:mergeCell ref="A23:E23"/>
    <x:mergeCell ref="A25:H27"/>
    <x:mergeCell ref="A29:D29"/>
    <x:mergeCell ref="E29:H2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0" hidden="0" customWidth="1"/>
  </x:cols>
  <x:sheetData>
    <x:row r="1">
      <x:c r="A1" s="140" t="str">
        <x:v>HOW TO USE THIS WORKBOOK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</x:row>
    <x:row r="2">
      <x:c r="A2" s="101"/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  <x:c r="AE2" s="101"/>
    </x:row>
    <x:row r="3" ht="30" customHeight="1">
      <x:c r="A3" s="143" t="str">
        <x:v>1</x:v>
      </x:c>
      <x:c r="B3" s="100" t="str">
        <x:v>Fill the job details on START HERE.</x:v>
      </x:c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  <x:c r="W3" s="101"/>
      <x:c r="X3" s="101"/>
      <x:c r="Y3" s="101"/>
      <x:c r="Z3" s="101"/>
      <x:c r="AA3" s="101"/>
      <x:c r="AB3" s="101"/>
      <x:c r="AC3" s="101"/>
      <x:c r="AD3" s="101"/>
      <x:c r="AE3" s="101"/>
    </x:row>
    <x:row r="4" ht="30" customHeight="1">
      <x:c r="A4" s="143" t="str">
        <x:v>2</x:v>
      </x:c>
      <x:c r="B4" s="100" t="str">
        <x:v>Enter one row per curtain on Curtain Input. Use mm dimensions from your cutting/spec sheet.</x:v>
      </x:c>
      <x:c r="C4" s="101"/>
      <x:c r="D4" s="101"/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  <x:c r="O4" s="101"/>
      <x:c r="P4" s="101"/>
      <x:c r="Q4" s="101"/>
      <x:c r="R4" s="101"/>
      <x:c r="S4" s="101"/>
      <x:c r="T4" s="101"/>
      <x:c r="U4" s="101"/>
      <x:c r="V4" s="101"/>
      <x:c r="W4" s="101"/>
      <x:c r="X4" s="101"/>
      <x:c r="Y4" s="101"/>
      <x:c r="Z4" s="101"/>
      <x:c r="AA4" s="101"/>
      <x:c r="AB4" s="101"/>
      <x:c r="AC4" s="101"/>
      <x:c r="AD4" s="101"/>
      <x:c r="AE4" s="101"/>
    </x:row>
    <x:row r="5" ht="30" customHeight="1">
      <x:c r="A5" s="143" t="str">
        <x:v>3</x:v>
      </x:c>
      <x:c r="B5" s="100" t="str">
        <x:v>Assign each curtain row to a pallet number in the Pallet No column, e.g. P1, P2, P3.</x:v>
      </x:c>
      <x:c r="C5" s="101"/>
      <x:c r="D5" s="101"/>
      <x:c r="E5" s="101"/>
      <x:c r="F5" s="101"/>
      <x:c r="G5" s="101"/>
      <x:c r="H5" s="101"/>
      <x:c r="I5" s="101"/>
      <x:c r="J5" s="101"/>
      <x:c r="K5" s="101"/>
      <x:c r="L5" s="101"/>
      <x:c r="M5" s="101"/>
      <x:c r="N5" s="101"/>
      <x:c r="O5" s="101"/>
      <x:c r="P5" s="101"/>
      <x:c r="Q5" s="101"/>
      <x:c r="R5" s="101"/>
      <x:c r="S5" s="101"/>
      <x:c r="T5" s="101"/>
      <x:c r="U5" s="101"/>
      <x:c r="V5" s="101"/>
      <x:c r="W5" s="101"/>
      <x:c r="X5" s="101"/>
      <x:c r="Y5" s="101"/>
      <x:c r="Z5" s="101"/>
      <x:c r="AA5" s="101"/>
      <x:c r="AB5" s="101"/>
      <x:c r="AC5" s="101"/>
      <x:c r="AD5" s="101"/>
      <x:c r="AE5" s="101"/>
    </x:row>
    <x:row r="6" ht="30" customHeight="1">
      <x:c r="A6" s="143" t="str">
        <x:v>4</x:v>
      </x:c>
      <x:c r="B6" s="100" t="str">
        <x:v>Check Weight Rules if you need to change fabric kg/m², Zintec steel allowances or control-component weights.</x:v>
      </x:c>
      <x:c r="C6" s="101"/>
      <x:c r="D6" s="101"/>
      <x:c r="E6" s="101"/>
      <x:c r="F6" s="101"/>
      <x:c r="G6" s="101"/>
      <x:c r="H6" s="101"/>
      <x:c r="I6" s="101"/>
      <x:c r="J6" s="101"/>
      <x:c r="K6" s="101"/>
      <x:c r="L6" s="101"/>
      <x:c r="M6" s="101"/>
      <x:c r="N6" s="101"/>
      <x:c r="O6" s="101"/>
      <x:c r="P6" s="101"/>
      <x:c r="Q6" s="101"/>
      <x:c r="R6" s="101"/>
      <x:c r="S6" s="101"/>
      <x:c r="T6" s="101"/>
      <x:c r="U6" s="101"/>
      <x:c r="V6" s="101"/>
      <x:c r="W6" s="101"/>
      <x:c r="X6" s="101"/>
      <x:c r="Y6" s="101"/>
      <x:c r="Z6" s="101"/>
      <x:c r="AA6" s="101"/>
      <x:c r="AB6" s="101"/>
      <x:c r="AC6" s="101"/>
      <x:c r="AD6" s="101"/>
      <x:c r="AE6" s="101"/>
    </x:row>
    <x:row r="7" ht="30" customHeight="1">
      <x:c r="A7" s="143" t="str">
        <x:v>5</x:v>
      </x:c>
      <x:c r="B7" s="100" t="str">
        <x:v>Check Pallet Plan and edit the pallet dimensions and notes in the yellow cells.</x:v>
      </x:c>
      <x:c r="C7" s="101"/>
      <x:c r="D7" s="101"/>
      <x:c r="E7" s="101"/>
      <x:c r="F7" s="101"/>
      <x:c r="G7" s="101"/>
      <x:c r="H7" s="101"/>
      <x:c r="I7" s="101"/>
      <x:c r="J7" s="101"/>
      <x:c r="K7" s="101"/>
      <x:c r="L7" s="101"/>
      <x:c r="M7" s="101"/>
      <x:c r="N7" s="101"/>
      <x:c r="O7" s="101"/>
      <x:c r="P7" s="101"/>
      <x:c r="Q7" s="101"/>
      <x:c r="R7" s="101"/>
      <x:c r="S7" s="101"/>
      <x:c r="T7" s="101"/>
      <x:c r="U7" s="101"/>
      <x:c r="V7" s="101"/>
      <x:c r="W7" s="101"/>
      <x:c r="X7" s="101"/>
      <x:c r="Y7" s="101"/>
      <x:c r="Z7" s="101"/>
      <x:c r="AA7" s="101"/>
      <x:c r="AB7" s="101"/>
      <x:c r="AC7" s="101"/>
      <x:c r="AD7" s="101"/>
      <x:c r="AE7" s="101"/>
    </x:row>
    <x:row r="8" ht="30" customHeight="1">
      <x:c r="A8" s="143" t="str">
        <x:v>6</x:v>
      </x:c>
      <x:c r="B8" s="100" t="str">
        <x:v>Print Packing List for the A4 packing document.</x:v>
      </x:c>
      <x:c r="C8" s="101"/>
      <x:c r="D8" s="101"/>
      <x:c r="E8" s="101"/>
      <x:c r="F8" s="101"/>
      <x:c r="G8" s="101"/>
      <x:c r="H8" s="101"/>
      <x:c r="I8" s="101"/>
      <x:c r="J8" s="101"/>
      <x:c r="K8" s="101"/>
      <x:c r="L8" s="101"/>
      <x:c r="M8" s="101"/>
      <x:c r="N8" s="101"/>
      <x:c r="O8" s="101"/>
      <x:c r="P8" s="101"/>
      <x:c r="Q8" s="101"/>
      <x:c r="R8" s="101"/>
      <x:c r="S8" s="101"/>
      <x:c r="T8" s="101"/>
      <x:c r="U8" s="101"/>
      <x:c r="V8" s="101"/>
      <x:c r="W8" s="101"/>
      <x:c r="X8" s="101"/>
      <x:c r="Y8" s="101"/>
      <x:c r="Z8" s="101"/>
      <x:c r="AA8" s="101"/>
      <x:c r="AB8" s="101"/>
      <x:c r="AC8" s="101"/>
      <x:c r="AD8" s="101"/>
      <x:c r="AE8" s="101"/>
    </x:row>
    <x:row r="9" ht="30" customHeight="1">
      <x:c r="A9" s="143" t="str">
        <x:v>7</x:v>
      </x:c>
      <x:c r="B9" s="100" t="str">
        <x:v>Print Pallet Labels for pallet labels. Print only the pages/pallets you need.</x:v>
      </x:c>
      <x:c r="C9" s="101"/>
      <x:c r="D9" s="101"/>
      <x:c r="E9" s="101"/>
      <x:c r="F9" s="101"/>
      <x:c r="G9" s="101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1"/>
      <x:c r="V9" s="101"/>
      <x:c r="W9" s="101"/>
      <x:c r="X9" s="101"/>
      <x:c r="Y9" s="101"/>
      <x:c r="Z9" s="101"/>
      <x:c r="AA9" s="101"/>
      <x:c r="AB9" s="101"/>
      <x:c r="AC9" s="101"/>
      <x:c r="AD9" s="101"/>
      <x:c r="AE9" s="101"/>
    </x:row>
    <x:row r="10" ht="30" customHeight="1">
      <x:c r="A10" s="143" t="str">
        <x:v>8</x:v>
      </x:c>
      <x:c r="B10" s="100" t="str">
        <x:v>Print Box Labels for headbox, guide, barrel/curtain/bottom rail and panel/component package labels.</x:v>
      </x:c>
      <x:c r="C10" s="101"/>
      <x:c r="D10" s="101"/>
      <x:c r="E10" s="101"/>
      <x:c r="F10" s="101"/>
      <x:c r="G10" s="101"/>
      <x:c r="H10" s="101"/>
      <x:c r="I10" s="101"/>
      <x:c r="J10" s="101"/>
      <x:c r="K10" s="101"/>
      <x:c r="L10" s="101"/>
      <x:c r="M10" s="101"/>
      <x:c r="N10" s="101"/>
      <x:c r="O10" s="101"/>
      <x:c r="P10" s="101"/>
      <x:c r="Q10" s="101"/>
      <x:c r="R10" s="101"/>
      <x:c r="S10" s="101"/>
      <x:c r="T10" s="101"/>
      <x:c r="U10" s="101"/>
      <x:c r="V10" s="101"/>
      <x:c r="W10" s="101"/>
      <x:c r="X10" s="101"/>
      <x:c r="Y10" s="101"/>
      <x:c r="Z10" s="101"/>
      <x:c r="AA10" s="101"/>
      <x:c r="AB10" s="101"/>
      <x:c r="AC10" s="101"/>
      <x:c r="AD10" s="101"/>
      <x:c r="AE10" s="101"/>
    </x:row>
    <x:row r="11" ht="30" customHeight="1">
      <x:c r="A11" s="143" t="str">
        <x:v>9</x:v>
      </x:c>
      <x:c r="B11" s="100" t="str">
        <x:v>Print Proof of Collection or Proof of Delivery when the haulier/customer signs for the goods.</x:v>
      </x:c>
      <x:c r="C11" s="101"/>
      <x:c r="D11" s="101"/>
      <x:c r="E11" s="101"/>
      <x:c r="F11" s="101"/>
      <x:c r="G11" s="101"/>
      <x:c r="H11" s="101"/>
      <x:c r="I11" s="101"/>
      <x:c r="J11" s="101"/>
      <x:c r="K11" s="101"/>
      <x:c r="L11" s="101"/>
      <x:c r="M11" s="101"/>
      <x:c r="N11" s="101"/>
      <x:c r="O11" s="101"/>
      <x:c r="P11" s="101"/>
      <x:c r="Q11" s="101"/>
      <x:c r="R11" s="101"/>
      <x:c r="S11" s="101"/>
      <x:c r="T11" s="101"/>
      <x:c r="U11" s="101"/>
      <x:c r="V11" s="101"/>
      <x:c r="W11" s="101"/>
      <x:c r="X11" s="101"/>
      <x:c r="Y11" s="101"/>
      <x:c r="Z11" s="101"/>
      <x:c r="AA11" s="101"/>
      <x:c r="AB11" s="101"/>
      <x:c r="AC11" s="101"/>
      <x:c r="AD11" s="101"/>
      <x:c r="AE11" s="101"/>
    </x:row>
    <x:row r="12" ht="30" customHeight="1">
      <x:c r="A12" s="143" t="str">
        <x:v>Note</x:v>
      </x:c>
      <x:c r="B12" s="100" t="str">
        <x:v>The workbook is a practical planning estimate. Warehouse/fabrication should confirm final packed dimensions and weights before booking transport.</x:v>
      </x:c>
      <x:c r="C12" s="101"/>
      <x:c r="D12" s="101"/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  <x:c r="P12" s="101"/>
      <x:c r="Q12" s="101"/>
      <x:c r="R12" s="101"/>
      <x:c r="S12" s="101"/>
      <x:c r="T12" s="101"/>
      <x:c r="U12" s="101"/>
      <x:c r="V12" s="101"/>
      <x:c r="W12" s="101"/>
      <x:c r="X12" s="101"/>
      <x:c r="Y12" s="101"/>
      <x:c r="Z12" s="101"/>
      <x:c r="AA12" s="101"/>
      <x:c r="AB12" s="101"/>
      <x:c r="AC12" s="101"/>
      <x:c r="AD12" s="101"/>
      <x:c r="AE12" s="101"/>
    </x:row>
    <x:row r="13">
      <x:c r="A13" s="101"/>
      <x:c r="B13" s="101"/>
      <x:c r="C13" s="101"/>
      <x:c r="D13" s="101"/>
      <x:c r="E13" s="101"/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 s="101"/>
      <x:c r="P13" s="101"/>
      <x:c r="Q13" s="101"/>
      <x:c r="R13" s="101"/>
      <x:c r="S13" s="101"/>
      <x:c r="T13" s="101"/>
      <x:c r="U13" s="101"/>
      <x:c r="V13" s="101"/>
      <x:c r="W13" s="101"/>
      <x:c r="X13" s="101"/>
      <x:c r="Y13" s="101"/>
      <x:c r="Z13" s="101"/>
      <x:c r="AA13" s="101"/>
      <x:c r="AB13" s="101"/>
      <x:c r="AC13" s="101"/>
      <x:c r="AD13" s="101"/>
      <x:c r="AE13" s="101"/>
    </x:row>
    <x:row r="14">
      <x:c r="A14" s="102" t="str">
        <x:v>Template built from the IFS packing method: headbox front/back separate, side guides separate/split, barrel+curtain+bottom rail pre-assembled, and panel/endplate component boxes.</x:v>
      </x:c>
      <x:c r="B14" s="101"/>
      <x:c r="C14" s="101"/>
      <x:c r="D14" s="101"/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  <x:c r="R14" s="101"/>
      <x:c r="S14" s="101"/>
      <x:c r="T14" s="101"/>
      <x:c r="U14" s="101"/>
      <x:c r="V14" s="101"/>
      <x:c r="W14" s="101"/>
      <x:c r="X14" s="101"/>
      <x:c r="Y14" s="101"/>
      <x:c r="Z14" s="101"/>
      <x:c r="AA14" s="101"/>
      <x:c r="AB14" s="101"/>
      <x:c r="AC14" s="101"/>
      <x:c r="AD14" s="101"/>
      <x:c r="AE14" s="101"/>
    </x:row>
    <x:row r="15">
      <x:c r="A15" s="101"/>
      <x:c r="B15" s="101"/>
      <x:c r="C15" s="101"/>
      <x:c r="D15" s="101"/>
      <x:c r="E15" s="101"/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 s="101"/>
      <x:c r="P15" s="101"/>
      <x:c r="Q15" s="101"/>
      <x:c r="R15" s="101"/>
      <x:c r="S15" s="101"/>
      <x:c r="T15" s="101"/>
      <x:c r="U15" s="101"/>
      <x:c r="V15" s="101"/>
      <x:c r="W15" s="101"/>
      <x:c r="X15" s="101"/>
      <x:c r="Y15" s="101"/>
      <x:c r="Z15" s="101"/>
      <x:c r="AA15" s="101"/>
      <x:c r="AB15" s="101"/>
      <x:c r="AC15" s="101"/>
      <x:c r="AD15" s="101"/>
      <x:c r="AE15" s="101"/>
    </x:row>
    <x:row r="16">
      <x:c r="A16" s="101"/>
      <x:c r="B16" s="101"/>
      <x:c r="C16" s="101"/>
      <x:c r="D16" s="101"/>
      <x:c r="E16" s="101"/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 s="101"/>
      <x:c r="P16" s="101"/>
      <x:c r="Q16" s="101"/>
      <x:c r="R16" s="101"/>
      <x:c r="S16" s="101"/>
      <x:c r="T16" s="101"/>
      <x:c r="U16" s="101"/>
      <x:c r="V16" s="101"/>
      <x:c r="W16" s="101"/>
      <x:c r="X16" s="101"/>
      <x:c r="Y16" s="101"/>
      <x:c r="Z16" s="101"/>
      <x:c r="AA16" s="101"/>
      <x:c r="AB16" s="101"/>
      <x:c r="AC16" s="101"/>
      <x:c r="AD16" s="101"/>
      <x:c r="AE16" s="101"/>
    </x:row>
    <x:row r="17">
      <x:c r="A17" s="101"/>
      <x:c r="B17" s="101"/>
      <x:c r="C17" s="101"/>
      <x:c r="D17" s="101"/>
      <x:c r="E17" s="101"/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 s="101"/>
      <x:c r="P17" s="101"/>
      <x:c r="Q17" s="101"/>
      <x:c r="R17" s="101"/>
      <x:c r="S17" s="101"/>
      <x:c r="T17" s="101"/>
      <x:c r="U17" s="101"/>
      <x:c r="V17" s="101"/>
      <x:c r="W17" s="101"/>
      <x:c r="X17" s="101"/>
      <x:c r="Y17" s="101"/>
      <x:c r="Z17" s="101"/>
      <x:c r="AA17" s="101"/>
      <x:c r="AB17" s="101"/>
      <x:c r="AC17" s="101"/>
      <x:c r="AD17" s="101"/>
      <x:c r="AE17" s="101"/>
    </x:row>
    <x:row r="18">
      <x:c r="A18" s="101"/>
      <x:c r="B18" s="101"/>
      <x:c r="C18" s="101"/>
      <x:c r="D18" s="101"/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  <x:c r="R18" s="101"/>
      <x:c r="S18" s="101"/>
      <x:c r="T18" s="101"/>
      <x:c r="U18" s="101"/>
      <x:c r="V18" s="101"/>
      <x:c r="W18" s="101"/>
      <x:c r="X18" s="101"/>
      <x:c r="Y18" s="101"/>
      <x:c r="Z18" s="101"/>
      <x:c r="AA18" s="101"/>
      <x:c r="AB18" s="101"/>
      <x:c r="AC18" s="101"/>
      <x:c r="AD18" s="101"/>
      <x:c r="AE18" s="101"/>
    </x:row>
    <x:row r="19">
      <x:c r="A19" s="101"/>
      <x:c r="B19" s="101"/>
      <x:c r="C19" s="101"/>
      <x:c r="D19" s="101"/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  <x:c r="P19" s="101"/>
      <x:c r="Q19" s="101"/>
      <x:c r="R19" s="101"/>
      <x:c r="S19" s="101"/>
      <x:c r="T19" s="101"/>
      <x:c r="U19" s="101"/>
      <x:c r="V19" s="101"/>
      <x:c r="W19" s="101"/>
      <x:c r="X19" s="101"/>
      <x:c r="Y19" s="101"/>
      <x:c r="Z19" s="101"/>
      <x:c r="AA19" s="101"/>
      <x:c r="AB19" s="101"/>
      <x:c r="AC19" s="101"/>
      <x:c r="AD19" s="101"/>
      <x:c r="AE19" s="101"/>
    </x:row>
    <x:row r="20">
      <x:c r="A20" s="101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  <x:c r="P20" s="101"/>
      <x:c r="Q20" s="101"/>
      <x:c r="R20" s="101"/>
      <x:c r="S20" s="101"/>
      <x:c r="T20" s="101"/>
      <x:c r="U20" s="101"/>
      <x:c r="V20" s="101"/>
      <x:c r="W20" s="101"/>
      <x:c r="X20" s="101"/>
      <x:c r="Y20" s="101"/>
      <x:c r="Z20" s="101"/>
      <x:c r="AA20" s="101"/>
      <x:c r="AB20" s="101"/>
      <x:c r="AC20" s="101"/>
      <x:c r="AD20" s="101"/>
      <x:c r="AE20" s="101"/>
    </x:row>
    <x:row r="21">
      <x:c r="A21" s="101"/>
      <x:c r="B21" s="101"/>
      <x:c r="C21" s="101"/>
      <x:c r="D21" s="101"/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  <x:c r="P21" s="101"/>
      <x:c r="Q21" s="101"/>
      <x:c r="R21" s="101"/>
      <x:c r="S21" s="101"/>
      <x:c r="T21" s="101"/>
      <x:c r="U21" s="101"/>
      <x:c r="V21" s="101"/>
      <x:c r="W21" s="101"/>
      <x:c r="X21" s="101"/>
      <x:c r="Y21" s="101"/>
      <x:c r="Z21" s="101"/>
      <x:c r="AA21" s="101"/>
      <x:c r="AB21" s="101"/>
      <x:c r="AC21" s="101"/>
      <x:c r="AD21" s="101"/>
      <x:c r="AE21" s="101"/>
    </x:row>
    <x:row r="22">
      <x:c r="A22" s="101"/>
      <x:c r="B22" s="101"/>
      <x:c r="C22" s="101"/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101"/>
      <x:c r="R22" s="101"/>
      <x:c r="S22" s="101"/>
      <x:c r="T22" s="101"/>
      <x:c r="U22" s="101"/>
      <x:c r="V22" s="101"/>
      <x:c r="W22" s="101"/>
      <x:c r="X22" s="101"/>
      <x:c r="Y22" s="101"/>
      <x:c r="Z22" s="101"/>
      <x:c r="AA22" s="101"/>
      <x:c r="AB22" s="101"/>
      <x:c r="AC22" s="101"/>
      <x:c r="AD22" s="101"/>
      <x:c r="AE22" s="101"/>
    </x:row>
    <x:row r="23">
      <x:c r="A23" s="101"/>
      <x:c r="B23" s="101"/>
      <x:c r="C23" s="101"/>
      <x:c r="D23" s="101"/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  <x:c r="P23" s="101"/>
      <x:c r="Q23" s="101"/>
      <x:c r="R23" s="101"/>
      <x:c r="S23" s="101"/>
      <x:c r="T23" s="101"/>
      <x:c r="U23" s="101"/>
      <x:c r="V23" s="101"/>
      <x:c r="W23" s="101"/>
      <x:c r="X23" s="101"/>
      <x:c r="Y23" s="101"/>
      <x:c r="Z23" s="101"/>
      <x:c r="AA23" s="101"/>
      <x:c r="AB23" s="101"/>
      <x:c r="AC23" s="101"/>
      <x:c r="AD23" s="101"/>
      <x:c r="AE23" s="101"/>
    </x:row>
    <x:row r="24">
      <x:c r="A24" s="101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  <x:c r="R24" s="101"/>
      <x:c r="S24" s="101"/>
      <x:c r="T24" s="101"/>
      <x:c r="U24" s="101"/>
      <x:c r="V24" s="101"/>
      <x:c r="W24" s="101"/>
      <x:c r="X24" s="101"/>
      <x:c r="Y24" s="101"/>
      <x:c r="Z24" s="101"/>
      <x:c r="AA24" s="101"/>
      <x:c r="AB24" s="101"/>
      <x:c r="AC24" s="101"/>
      <x:c r="AD24" s="101"/>
      <x:c r="AE24" s="101"/>
    </x:row>
    <x:row r="25">
      <x:c r="A25" s="101"/>
      <x:c r="B25" s="101"/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  <x:c r="R25" s="101"/>
      <x:c r="S25" s="101"/>
      <x:c r="T25" s="101"/>
      <x:c r="U25" s="101"/>
      <x:c r="V25" s="101"/>
      <x:c r="W25" s="101"/>
      <x:c r="X25" s="101"/>
      <x:c r="Y25" s="101"/>
      <x:c r="Z25" s="101"/>
      <x:c r="AA25" s="101"/>
      <x:c r="AB25" s="101"/>
      <x:c r="AC25" s="101"/>
      <x:c r="AD25" s="101"/>
      <x:c r="AE25" s="101"/>
    </x:row>
    <x:row r="26">
      <x:c r="A26" s="101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  <x:c r="R26" s="101"/>
      <x:c r="S26" s="101"/>
      <x:c r="T26" s="101"/>
      <x:c r="U26" s="101"/>
      <x:c r="V26" s="101"/>
      <x:c r="W26" s="101"/>
      <x:c r="X26" s="101"/>
      <x:c r="Y26" s="101"/>
      <x:c r="Z26" s="101"/>
      <x:c r="AA26" s="101"/>
      <x:c r="AB26" s="101"/>
      <x:c r="AC26" s="101"/>
      <x:c r="AD26" s="101"/>
      <x:c r="AE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  <x:c r="R27" s="101"/>
      <x:c r="S27" s="101"/>
      <x:c r="T27" s="101"/>
      <x:c r="U27" s="101"/>
      <x:c r="V27" s="101"/>
      <x:c r="W27" s="101"/>
      <x:c r="X27" s="101"/>
      <x:c r="Y27" s="101"/>
      <x:c r="Z27" s="101"/>
      <x:c r="AA27" s="101"/>
      <x:c r="AB27" s="101"/>
      <x:c r="AC27" s="101"/>
      <x:c r="AD27" s="101"/>
      <x:c r="AE27" s="101"/>
    </x:row>
    <x:row r="28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  <x:c r="R28" s="101"/>
      <x:c r="S28" s="101"/>
      <x:c r="T28" s="101"/>
      <x:c r="U28" s="101"/>
      <x:c r="V28" s="101"/>
      <x:c r="W28" s="101"/>
      <x:c r="X28" s="101"/>
      <x:c r="Y28" s="101"/>
      <x:c r="Z28" s="101"/>
      <x:c r="AA28" s="101"/>
      <x:c r="AB28" s="101"/>
      <x:c r="AC28" s="101"/>
      <x:c r="AD28" s="101"/>
      <x:c r="AE28" s="101"/>
    </x:row>
    <x:row r="29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  <x:c r="R29" s="101"/>
      <x:c r="S29" s="101"/>
      <x:c r="T29" s="101"/>
      <x:c r="U29" s="101"/>
      <x:c r="V29" s="101"/>
      <x:c r="W29" s="101"/>
      <x:c r="X29" s="101"/>
      <x:c r="Y29" s="101"/>
      <x:c r="Z29" s="101"/>
      <x:c r="AA29" s="101"/>
      <x:c r="AB29" s="101"/>
      <x:c r="AC29" s="101"/>
      <x:c r="AD29" s="101"/>
      <x:c r="AE29" s="101"/>
    </x:row>
    <x:row r="30">
      <x:c r="A30" s="101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  <x:c r="R30" s="101"/>
      <x:c r="S30" s="101"/>
      <x:c r="T30" s="101"/>
      <x:c r="U30" s="101"/>
      <x:c r="V30" s="101"/>
      <x:c r="W30" s="101"/>
      <x:c r="X30" s="101"/>
      <x:c r="Y30" s="101"/>
      <x:c r="Z30" s="101"/>
      <x:c r="AA30" s="101"/>
      <x:c r="AB30" s="101"/>
      <x:c r="AC30" s="101"/>
      <x:c r="AD30" s="101"/>
      <x:c r="AE30" s="101"/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  <x:c r="R31" s="101"/>
      <x:c r="S31" s="101"/>
      <x:c r="T31" s="101"/>
      <x:c r="U31" s="101"/>
      <x:c r="V31" s="101"/>
      <x:c r="W31" s="101"/>
      <x:c r="X31" s="101"/>
      <x:c r="Y31" s="101"/>
      <x:c r="Z31" s="101"/>
      <x:c r="AA31" s="101"/>
      <x:c r="AB31" s="101"/>
      <x:c r="AC31" s="101"/>
      <x:c r="AD31" s="101"/>
      <x:c r="AE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  <x:c r="R32" s="101"/>
      <x:c r="S32" s="101"/>
      <x:c r="T32" s="101"/>
      <x:c r="U32" s="101"/>
      <x:c r="V32" s="101"/>
      <x:c r="W32" s="101"/>
      <x:c r="X32" s="101"/>
      <x:c r="Y32" s="101"/>
      <x:c r="Z32" s="101"/>
      <x:c r="AA32" s="101"/>
      <x:c r="AB32" s="101"/>
      <x:c r="AC32" s="101"/>
      <x:c r="AD32" s="101"/>
      <x:c r="AE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  <x:c r="R33" s="101"/>
      <x:c r="S33" s="101"/>
      <x:c r="T33" s="101"/>
      <x:c r="U33" s="101"/>
      <x:c r="V33" s="101"/>
      <x:c r="W33" s="101"/>
      <x:c r="X33" s="101"/>
      <x:c r="Y33" s="101"/>
      <x:c r="Z33" s="101"/>
      <x:c r="AA33" s="101"/>
      <x:c r="AB33" s="101"/>
      <x:c r="AC33" s="101"/>
      <x:c r="AD33" s="101"/>
      <x:c r="AE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  <x:c r="R34" s="101"/>
      <x:c r="S34" s="101"/>
      <x:c r="T34" s="101"/>
      <x:c r="U34" s="101"/>
      <x:c r="V34" s="101"/>
      <x:c r="W34" s="101"/>
      <x:c r="X34" s="101"/>
      <x:c r="Y34" s="101"/>
      <x:c r="Z34" s="101"/>
      <x:c r="AA34" s="101"/>
      <x:c r="AB34" s="101"/>
      <x:c r="AC34" s="101"/>
      <x:c r="AD34" s="101"/>
      <x:c r="AE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  <x:c r="R35" s="101"/>
      <x:c r="S35" s="101"/>
      <x:c r="T35" s="101"/>
      <x:c r="U35" s="101"/>
      <x:c r="V35" s="101"/>
      <x:c r="W35" s="101"/>
      <x:c r="X35" s="101"/>
      <x:c r="Y35" s="101"/>
      <x:c r="Z35" s="101"/>
      <x:c r="AA35" s="101"/>
      <x:c r="AB35" s="101"/>
      <x:c r="AC35" s="101"/>
      <x:c r="AD35" s="101"/>
      <x:c r="AE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  <x:c r="R36" s="101"/>
      <x:c r="S36" s="101"/>
      <x:c r="T36" s="101"/>
      <x:c r="U36" s="101"/>
      <x:c r="V36" s="101"/>
      <x:c r="W36" s="101"/>
      <x:c r="X36" s="101"/>
      <x:c r="Y36" s="101"/>
      <x:c r="Z36" s="101"/>
      <x:c r="AA36" s="101"/>
      <x:c r="AB36" s="101"/>
      <x:c r="AC36" s="101"/>
      <x:c r="AD36" s="101"/>
      <x:c r="AE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  <x:c r="R37" s="101"/>
      <x:c r="S37" s="101"/>
      <x:c r="T37" s="101"/>
      <x:c r="U37" s="101"/>
      <x:c r="V37" s="101"/>
      <x:c r="W37" s="101"/>
      <x:c r="X37" s="101"/>
      <x:c r="Y37" s="101"/>
      <x:c r="Z37" s="101"/>
      <x:c r="AA37" s="101"/>
      <x:c r="AB37" s="101"/>
      <x:c r="AC37" s="101"/>
      <x:c r="AD37" s="101"/>
      <x:c r="AE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  <x:c r="R38" s="101"/>
      <x:c r="S38" s="101"/>
      <x:c r="T38" s="101"/>
      <x:c r="U38" s="101"/>
      <x:c r="V38" s="101"/>
      <x:c r="W38" s="101"/>
      <x:c r="X38" s="101"/>
      <x:c r="Y38" s="101"/>
      <x:c r="Z38" s="101"/>
      <x:c r="AA38" s="101"/>
      <x:c r="AB38" s="101"/>
      <x:c r="AC38" s="101"/>
      <x:c r="AD38" s="101"/>
      <x:c r="AE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  <x:c r="R39" s="101"/>
      <x:c r="S39" s="101"/>
      <x:c r="T39" s="101"/>
      <x:c r="U39" s="101"/>
      <x:c r="V39" s="101"/>
      <x:c r="W39" s="101"/>
      <x:c r="X39" s="101"/>
      <x:c r="Y39" s="101"/>
      <x:c r="Z39" s="101"/>
      <x:c r="AA39" s="101"/>
      <x:c r="AB39" s="101"/>
      <x:c r="AC39" s="101"/>
      <x:c r="AD39" s="101"/>
      <x:c r="AE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  <x:c r="R40" s="101"/>
      <x:c r="S40" s="101"/>
      <x:c r="T40" s="101"/>
      <x:c r="U40" s="101"/>
      <x:c r="V40" s="101"/>
      <x:c r="W40" s="101"/>
      <x:c r="X40" s="101"/>
      <x:c r="Y40" s="101"/>
      <x:c r="Z40" s="101"/>
      <x:c r="AA40" s="101"/>
      <x:c r="AB40" s="101"/>
      <x:c r="AC40" s="101"/>
      <x:c r="AD40" s="101"/>
      <x:c r="AE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  <x:c r="R41" s="101"/>
      <x:c r="S41" s="101"/>
      <x:c r="T41" s="101"/>
      <x:c r="U41" s="101"/>
      <x:c r="V41" s="101"/>
      <x:c r="W41" s="101"/>
      <x:c r="X41" s="101"/>
      <x:c r="Y41" s="101"/>
      <x:c r="Z41" s="101"/>
      <x:c r="AA41" s="101"/>
      <x:c r="AB41" s="101"/>
      <x:c r="AC41" s="101"/>
      <x:c r="AD41" s="101"/>
      <x:c r="AE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  <x:c r="R42" s="101"/>
      <x:c r="S42" s="101"/>
      <x:c r="T42" s="101"/>
      <x:c r="U42" s="101"/>
      <x:c r="V42" s="101"/>
      <x:c r="W42" s="101"/>
      <x:c r="X42" s="101"/>
      <x:c r="Y42" s="101"/>
      <x:c r="Z42" s="101"/>
      <x:c r="AA42" s="101"/>
      <x:c r="AB42" s="101"/>
      <x:c r="AC42" s="101"/>
      <x:c r="AD42" s="101"/>
      <x:c r="AE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  <x:c r="R43" s="101"/>
      <x:c r="S43" s="101"/>
      <x:c r="T43" s="101"/>
      <x:c r="U43" s="101"/>
      <x:c r="V43" s="101"/>
      <x:c r="W43" s="101"/>
      <x:c r="X43" s="101"/>
      <x:c r="Y43" s="101"/>
      <x:c r="Z43" s="101"/>
      <x:c r="AA43" s="101"/>
      <x:c r="AB43" s="101"/>
      <x:c r="AC43" s="101"/>
      <x:c r="AD43" s="101"/>
      <x:c r="AE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  <x:c r="R44" s="101"/>
      <x:c r="S44" s="101"/>
      <x:c r="T44" s="101"/>
      <x:c r="U44" s="101"/>
      <x:c r="V44" s="101"/>
      <x:c r="W44" s="101"/>
      <x:c r="X44" s="101"/>
      <x:c r="Y44" s="101"/>
      <x:c r="Z44" s="101"/>
      <x:c r="AA44" s="101"/>
      <x:c r="AB44" s="101"/>
      <x:c r="AC44" s="101"/>
      <x:c r="AD44" s="101"/>
      <x:c r="AE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  <x:c r="R45" s="101"/>
      <x:c r="S45" s="101"/>
      <x:c r="T45" s="101"/>
      <x:c r="U45" s="101"/>
      <x:c r="V45" s="101"/>
      <x:c r="W45" s="101"/>
      <x:c r="X45" s="101"/>
      <x:c r="Y45" s="101"/>
      <x:c r="Z45" s="101"/>
      <x:c r="AA45" s="101"/>
      <x:c r="AB45" s="101"/>
      <x:c r="AC45" s="101"/>
      <x:c r="AD45" s="101"/>
      <x:c r="AE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  <x:c r="R46" s="101"/>
      <x:c r="S46" s="101"/>
      <x:c r="T46" s="101"/>
      <x:c r="U46" s="101"/>
      <x:c r="V46" s="101"/>
      <x:c r="W46" s="101"/>
      <x:c r="X46" s="101"/>
      <x:c r="Y46" s="101"/>
      <x:c r="Z46" s="101"/>
      <x:c r="AA46" s="101"/>
      <x:c r="AB46" s="101"/>
      <x:c r="AC46" s="101"/>
      <x:c r="AD46" s="101"/>
      <x:c r="AE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  <x:c r="R47" s="101"/>
      <x:c r="S47" s="101"/>
      <x:c r="T47" s="101"/>
      <x:c r="U47" s="101"/>
      <x:c r="V47" s="101"/>
      <x:c r="W47" s="101"/>
      <x:c r="X47" s="101"/>
      <x:c r="Y47" s="101"/>
      <x:c r="Z47" s="101"/>
      <x:c r="AA47" s="101"/>
      <x:c r="AB47" s="101"/>
      <x:c r="AC47" s="101"/>
      <x:c r="AD47" s="101"/>
      <x:c r="AE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  <x:c r="R48" s="101"/>
      <x:c r="S48" s="101"/>
      <x:c r="T48" s="101"/>
      <x:c r="U48" s="101"/>
      <x:c r="V48" s="101"/>
      <x:c r="W48" s="101"/>
      <x:c r="X48" s="101"/>
      <x:c r="Y48" s="101"/>
      <x:c r="Z48" s="101"/>
      <x:c r="AA48" s="101"/>
      <x:c r="AB48" s="101"/>
      <x:c r="AC48" s="101"/>
      <x:c r="AD48" s="101"/>
      <x:c r="AE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  <x:c r="R49" s="101"/>
      <x:c r="S49" s="101"/>
      <x:c r="T49" s="101"/>
      <x:c r="U49" s="101"/>
      <x:c r="V49" s="101"/>
      <x:c r="W49" s="101"/>
      <x:c r="X49" s="101"/>
      <x:c r="Y49" s="101"/>
      <x:c r="Z49" s="101"/>
      <x:c r="AA49" s="101"/>
      <x:c r="AB49" s="101"/>
      <x:c r="AC49" s="101"/>
      <x:c r="AD49" s="101"/>
      <x:c r="AE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  <x:c r="R50" s="101"/>
      <x:c r="S50" s="101"/>
      <x:c r="T50" s="101"/>
      <x:c r="U50" s="101"/>
      <x:c r="V50" s="101"/>
      <x:c r="W50" s="101"/>
      <x:c r="X50" s="101"/>
      <x:c r="Y50" s="101"/>
      <x:c r="Z50" s="101"/>
      <x:c r="AA50" s="101"/>
      <x:c r="AB50" s="101"/>
      <x:c r="AC50" s="101"/>
      <x:c r="AD50" s="101"/>
      <x:c r="AE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  <x:c r="R51" s="101"/>
      <x:c r="S51" s="101"/>
      <x:c r="T51" s="101"/>
      <x:c r="U51" s="101"/>
      <x:c r="V51" s="101"/>
      <x:c r="W51" s="101"/>
      <x:c r="X51" s="101"/>
      <x:c r="Y51" s="101"/>
      <x:c r="Z51" s="101"/>
      <x:c r="AA51" s="101"/>
      <x:c r="AB51" s="101"/>
      <x:c r="AC51" s="101"/>
      <x:c r="AD51" s="101"/>
      <x:c r="AE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  <x:c r="R52" s="101"/>
      <x:c r="S52" s="101"/>
      <x:c r="T52" s="101"/>
      <x:c r="U52" s="101"/>
      <x:c r="V52" s="101"/>
      <x:c r="W52" s="101"/>
      <x:c r="X52" s="101"/>
      <x:c r="Y52" s="101"/>
      <x:c r="Z52" s="101"/>
      <x:c r="AA52" s="101"/>
      <x:c r="AB52" s="101"/>
      <x:c r="AC52" s="101"/>
      <x:c r="AD52" s="101"/>
      <x:c r="AE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  <x:c r="R53" s="101"/>
      <x:c r="S53" s="101"/>
      <x:c r="T53" s="101"/>
      <x:c r="U53" s="101"/>
      <x:c r="V53" s="101"/>
      <x:c r="W53" s="101"/>
      <x:c r="X53" s="101"/>
      <x:c r="Y53" s="101"/>
      <x:c r="Z53" s="101"/>
      <x:c r="AA53" s="101"/>
      <x:c r="AB53" s="101"/>
      <x:c r="AC53" s="101"/>
      <x:c r="AD53" s="101"/>
      <x:c r="AE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  <x:c r="R54" s="101"/>
      <x:c r="S54" s="101"/>
      <x:c r="T54" s="101"/>
      <x:c r="U54" s="101"/>
      <x:c r="V54" s="101"/>
      <x:c r="W54" s="101"/>
      <x:c r="X54" s="101"/>
      <x:c r="Y54" s="101"/>
      <x:c r="Z54" s="101"/>
      <x:c r="AA54" s="101"/>
      <x:c r="AB54" s="101"/>
      <x:c r="AC54" s="101"/>
      <x:c r="AD54" s="101"/>
      <x:c r="AE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  <x:c r="R55" s="101"/>
      <x:c r="S55" s="101"/>
      <x:c r="T55" s="101"/>
      <x:c r="U55" s="101"/>
      <x:c r="V55" s="101"/>
      <x:c r="W55" s="101"/>
      <x:c r="X55" s="101"/>
      <x:c r="Y55" s="101"/>
      <x:c r="Z55" s="101"/>
      <x:c r="AA55" s="101"/>
      <x:c r="AB55" s="101"/>
      <x:c r="AC55" s="101"/>
      <x:c r="AD55" s="101"/>
      <x:c r="AE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  <x:c r="R56" s="101"/>
      <x:c r="S56" s="101"/>
      <x:c r="T56" s="101"/>
      <x:c r="U56" s="101"/>
      <x:c r="V56" s="101"/>
      <x:c r="W56" s="101"/>
      <x:c r="X56" s="101"/>
      <x:c r="Y56" s="101"/>
      <x:c r="Z56" s="101"/>
      <x:c r="AA56" s="101"/>
      <x:c r="AB56" s="101"/>
      <x:c r="AC56" s="101"/>
      <x:c r="AD56" s="101"/>
      <x:c r="AE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  <x:c r="R57" s="101"/>
      <x:c r="S57" s="101"/>
      <x:c r="T57" s="101"/>
      <x:c r="U57" s="101"/>
      <x:c r="V57" s="101"/>
      <x:c r="W57" s="101"/>
      <x:c r="X57" s="101"/>
      <x:c r="Y57" s="101"/>
      <x:c r="Z57" s="101"/>
      <x:c r="AA57" s="101"/>
      <x:c r="AB57" s="101"/>
      <x:c r="AC57" s="101"/>
      <x:c r="AD57" s="101"/>
      <x:c r="AE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  <x:c r="R58" s="101"/>
      <x:c r="S58" s="101"/>
      <x:c r="T58" s="101"/>
      <x:c r="U58" s="101"/>
      <x:c r="V58" s="101"/>
      <x:c r="W58" s="101"/>
      <x:c r="X58" s="101"/>
      <x:c r="Y58" s="101"/>
      <x:c r="Z58" s="101"/>
      <x:c r="AA58" s="101"/>
      <x:c r="AB58" s="101"/>
      <x:c r="AC58" s="101"/>
      <x:c r="AD58" s="101"/>
      <x:c r="AE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  <x:c r="R59" s="101"/>
      <x:c r="S59" s="101"/>
      <x:c r="T59" s="101"/>
      <x:c r="U59" s="101"/>
      <x:c r="V59" s="101"/>
      <x:c r="W59" s="101"/>
      <x:c r="X59" s="101"/>
      <x:c r="Y59" s="101"/>
      <x:c r="Z59" s="101"/>
      <x:c r="AA59" s="101"/>
      <x:c r="AB59" s="101"/>
      <x:c r="AC59" s="101"/>
      <x:c r="AD59" s="101"/>
      <x:c r="AE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  <x:c r="R60" s="101"/>
      <x:c r="S60" s="101"/>
      <x:c r="T60" s="101"/>
      <x:c r="U60" s="101"/>
      <x:c r="V60" s="101"/>
      <x:c r="W60" s="101"/>
      <x:c r="X60" s="101"/>
      <x:c r="Y60" s="101"/>
      <x:c r="Z60" s="101"/>
      <x:c r="AA60" s="101"/>
      <x:c r="AB60" s="101"/>
      <x:c r="AC60" s="101"/>
      <x:c r="AD60" s="101"/>
      <x:c r="AE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  <x:c r="R61" s="101"/>
      <x:c r="S61" s="101"/>
      <x:c r="T61" s="101"/>
      <x:c r="U61" s="101"/>
      <x:c r="V61" s="101"/>
      <x:c r="W61" s="101"/>
      <x:c r="X61" s="101"/>
      <x:c r="Y61" s="101"/>
      <x:c r="Z61" s="101"/>
      <x:c r="AA61" s="101"/>
      <x:c r="AB61" s="101"/>
      <x:c r="AC61" s="101"/>
      <x:c r="AD61" s="101"/>
      <x:c r="AE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  <x:c r="R62" s="101"/>
      <x:c r="S62" s="101"/>
      <x:c r="T62" s="101"/>
      <x:c r="U62" s="101"/>
      <x:c r="V62" s="101"/>
      <x:c r="W62" s="101"/>
      <x:c r="X62" s="101"/>
      <x:c r="Y62" s="101"/>
      <x:c r="Z62" s="101"/>
      <x:c r="AA62" s="101"/>
      <x:c r="AB62" s="101"/>
      <x:c r="AC62" s="101"/>
      <x:c r="AD62" s="101"/>
      <x:c r="AE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  <x:c r="R63" s="101"/>
      <x:c r="S63" s="101"/>
      <x:c r="T63" s="101"/>
      <x:c r="U63" s="101"/>
      <x:c r="V63" s="101"/>
      <x:c r="W63" s="101"/>
      <x:c r="X63" s="101"/>
      <x:c r="Y63" s="101"/>
      <x:c r="Z63" s="101"/>
      <x:c r="AA63" s="101"/>
      <x:c r="AB63" s="101"/>
      <x:c r="AC63" s="101"/>
      <x:c r="AD63" s="101"/>
      <x:c r="AE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  <x:c r="R64" s="101"/>
      <x:c r="S64" s="101"/>
      <x:c r="T64" s="101"/>
      <x:c r="U64" s="101"/>
      <x:c r="V64" s="101"/>
      <x:c r="W64" s="101"/>
      <x:c r="X64" s="101"/>
      <x:c r="Y64" s="101"/>
      <x:c r="Z64" s="101"/>
      <x:c r="AA64" s="101"/>
      <x:c r="AB64" s="101"/>
      <x:c r="AC64" s="101"/>
      <x:c r="AD64" s="101"/>
      <x:c r="AE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  <x:c r="R65" s="101"/>
      <x:c r="S65" s="101"/>
      <x:c r="T65" s="101"/>
      <x:c r="U65" s="101"/>
      <x:c r="V65" s="101"/>
      <x:c r="W65" s="101"/>
      <x:c r="X65" s="101"/>
      <x:c r="Y65" s="101"/>
      <x:c r="Z65" s="101"/>
      <x:c r="AA65" s="101"/>
      <x:c r="AB65" s="101"/>
      <x:c r="AC65" s="101"/>
      <x:c r="AD65" s="101"/>
      <x:c r="AE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  <x:c r="R66" s="101"/>
      <x:c r="S66" s="101"/>
      <x:c r="T66" s="101"/>
      <x:c r="U66" s="101"/>
      <x:c r="V66" s="101"/>
      <x:c r="W66" s="101"/>
      <x:c r="X66" s="101"/>
      <x:c r="Y66" s="101"/>
      <x:c r="Z66" s="101"/>
      <x:c r="AA66" s="101"/>
      <x:c r="AB66" s="101"/>
      <x:c r="AC66" s="101"/>
      <x:c r="AD66" s="101"/>
      <x:c r="AE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  <x:c r="R67" s="101"/>
      <x:c r="S67" s="101"/>
      <x:c r="T67" s="101"/>
      <x:c r="U67" s="101"/>
      <x:c r="V67" s="101"/>
      <x:c r="W67" s="101"/>
      <x:c r="X67" s="101"/>
      <x:c r="Y67" s="101"/>
      <x:c r="Z67" s="101"/>
      <x:c r="AA67" s="101"/>
      <x:c r="AB67" s="101"/>
      <x:c r="AC67" s="101"/>
      <x:c r="AD67" s="101"/>
      <x:c r="AE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  <x:c r="R68" s="101"/>
      <x:c r="S68" s="101"/>
      <x:c r="T68" s="101"/>
      <x:c r="U68" s="101"/>
      <x:c r="V68" s="101"/>
      <x:c r="W68" s="101"/>
      <x:c r="X68" s="101"/>
      <x:c r="Y68" s="101"/>
      <x:c r="Z68" s="101"/>
      <x:c r="AA68" s="101"/>
      <x:c r="AB68" s="101"/>
      <x:c r="AC68" s="101"/>
      <x:c r="AD68" s="101"/>
      <x:c r="AE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  <x:c r="R69" s="101"/>
      <x:c r="S69" s="101"/>
      <x:c r="T69" s="101"/>
      <x:c r="U69" s="101"/>
      <x:c r="V69" s="101"/>
      <x:c r="W69" s="101"/>
      <x:c r="X69" s="101"/>
      <x:c r="Y69" s="101"/>
      <x:c r="Z69" s="101"/>
      <x:c r="AA69" s="101"/>
      <x:c r="AB69" s="101"/>
      <x:c r="AC69" s="101"/>
      <x:c r="AD69" s="101"/>
      <x:c r="AE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  <x:c r="R70" s="101"/>
      <x:c r="S70" s="101"/>
      <x:c r="T70" s="101"/>
      <x:c r="U70" s="101"/>
      <x:c r="V70" s="101"/>
      <x:c r="W70" s="101"/>
      <x:c r="X70" s="101"/>
      <x:c r="Y70" s="101"/>
      <x:c r="Z70" s="101"/>
      <x:c r="AA70" s="101"/>
      <x:c r="AB70" s="101"/>
      <x:c r="AC70" s="101"/>
      <x:c r="AD70" s="101"/>
      <x:c r="AE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  <x:c r="R71" s="101"/>
      <x:c r="S71" s="101"/>
      <x:c r="T71" s="101"/>
      <x:c r="U71" s="101"/>
      <x:c r="V71" s="101"/>
      <x:c r="W71" s="101"/>
      <x:c r="X71" s="101"/>
      <x:c r="Y71" s="101"/>
      <x:c r="Z71" s="101"/>
      <x:c r="AA71" s="101"/>
      <x:c r="AB71" s="101"/>
      <x:c r="AC71" s="101"/>
      <x:c r="AD71" s="101"/>
      <x:c r="AE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  <x:c r="R72" s="101"/>
      <x:c r="S72" s="101"/>
      <x:c r="T72" s="101"/>
      <x:c r="U72" s="101"/>
      <x:c r="V72" s="101"/>
      <x:c r="W72" s="101"/>
      <x:c r="X72" s="101"/>
      <x:c r="Y72" s="101"/>
      <x:c r="Z72" s="101"/>
      <x:c r="AA72" s="101"/>
      <x:c r="AB72" s="101"/>
      <x:c r="AC72" s="101"/>
      <x:c r="AD72" s="101"/>
      <x:c r="AE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  <x:c r="R73" s="101"/>
      <x:c r="S73" s="101"/>
      <x:c r="T73" s="101"/>
      <x:c r="U73" s="101"/>
      <x:c r="V73" s="101"/>
      <x:c r="W73" s="101"/>
      <x:c r="X73" s="101"/>
      <x:c r="Y73" s="101"/>
      <x:c r="Z73" s="101"/>
      <x:c r="AA73" s="101"/>
      <x:c r="AB73" s="101"/>
      <x:c r="AC73" s="101"/>
      <x:c r="AD73" s="101"/>
      <x:c r="AE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  <x:c r="R74" s="101"/>
      <x:c r="S74" s="101"/>
      <x:c r="T74" s="101"/>
      <x:c r="U74" s="101"/>
      <x:c r="V74" s="101"/>
      <x:c r="W74" s="101"/>
      <x:c r="X74" s="101"/>
      <x:c r="Y74" s="101"/>
      <x:c r="Z74" s="101"/>
      <x:c r="AA74" s="101"/>
      <x:c r="AB74" s="101"/>
      <x:c r="AC74" s="101"/>
      <x:c r="AD74" s="101"/>
      <x:c r="AE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  <x:c r="R75" s="101"/>
      <x:c r="S75" s="101"/>
      <x:c r="T75" s="101"/>
      <x:c r="U75" s="101"/>
      <x:c r="V75" s="101"/>
      <x:c r="W75" s="101"/>
      <x:c r="X75" s="101"/>
      <x:c r="Y75" s="101"/>
      <x:c r="Z75" s="101"/>
      <x:c r="AA75" s="101"/>
      <x:c r="AB75" s="101"/>
      <x:c r="AC75" s="101"/>
      <x:c r="AD75" s="101"/>
      <x:c r="AE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  <x:c r="R76" s="101"/>
      <x:c r="S76" s="101"/>
      <x:c r="T76" s="101"/>
      <x:c r="U76" s="101"/>
      <x:c r="V76" s="101"/>
      <x:c r="W76" s="101"/>
      <x:c r="X76" s="101"/>
      <x:c r="Y76" s="101"/>
      <x:c r="Z76" s="101"/>
      <x:c r="AA76" s="101"/>
      <x:c r="AB76" s="101"/>
      <x:c r="AC76" s="101"/>
      <x:c r="AD76" s="101"/>
      <x:c r="AE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  <x:c r="R77" s="101"/>
      <x:c r="S77" s="101"/>
      <x:c r="T77" s="101"/>
      <x:c r="U77" s="101"/>
      <x:c r="V77" s="101"/>
      <x:c r="W77" s="101"/>
      <x:c r="X77" s="101"/>
      <x:c r="Y77" s="101"/>
      <x:c r="Z77" s="101"/>
      <x:c r="AA77" s="101"/>
      <x:c r="AB77" s="101"/>
      <x:c r="AC77" s="101"/>
      <x:c r="AD77" s="101"/>
      <x:c r="AE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  <x:c r="R78" s="101"/>
      <x:c r="S78" s="101"/>
      <x:c r="T78" s="101"/>
      <x:c r="U78" s="101"/>
      <x:c r="V78" s="101"/>
      <x:c r="W78" s="101"/>
      <x:c r="X78" s="101"/>
      <x:c r="Y78" s="101"/>
      <x:c r="Z78" s="101"/>
      <x:c r="AA78" s="101"/>
      <x:c r="AB78" s="101"/>
      <x:c r="AC78" s="101"/>
      <x:c r="AD78" s="101"/>
      <x:c r="AE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  <x:c r="R79" s="101"/>
      <x:c r="S79" s="101"/>
      <x:c r="T79" s="101"/>
      <x:c r="U79" s="101"/>
      <x:c r="V79" s="101"/>
      <x:c r="W79" s="101"/>
      <x:c r="X79" s="101"/>
      <x:c r="Y79" s="101"/>
      <x:c r="Z79" s="101"/>
      <x:c r="AA79" s="101"/>
      <x:c r="AB79" s="101"/>
      <x:c r="AC79" s="101"/>
      <x:c r="AD79" s="101"/>
      <x:c r="AE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  <x:c r="R80" s="101"/>
      <x:c r="S80" s="101"/>
      <x:c r="T80" s="101"/>
      <x:c r="U80" s="101"/>
      <x:c r="V80" s="101"/>
      <x:c r="W80" s="101"/>
      <x:c r="X80" s="101"/>
      <x:c r="Y80" s="101"/>
      <x:c r="Z80" s="101"/>
      <x:c r="AA80" s="101"/>
      <x:c r="AB80" s="101"/>
      <x:c r="AC80" s="101"/>
      <x:c r="AD80" s="101"/>
      <x:c r="AE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  <x:c r="R81" s="101"/>
      <x:c r="S81" s="101"/>
      <x:c r="T81" s="101"/>
      <x:c r="U81" s="101"/>
      <x:c r="V81" s="101"/>
      <x:c r="W81" s="101"/>
      <x:c r="X81" s="101"/>
      <x:c r="Y81" s="101"/>
      <x:c r="Z81" s="101"/>
      <x:c r="AA81" s="101"/>
      <x:c r="AB81" s="101"/>
      <x:c r="AC81" s="101"/>
      <x:c r="AD81" s="101"/>
      <x:c r="AE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  <x:c r="R82" s="101"/>
      <x:c r="S82" s="101"/>
      <x:c r="T82" s="101"/>
      <x:c r="U82" s="101"/>
      <x:c r="V82" s="101"/>
      <x:c r="W82" s="101"/>
      <x:c r="X82" s="101"/>
      <x:c r="Y82" s="101"/>
      <x:c r="Z82" s="101"/>
      <x:c r="AA82" s="101"/>
      <x:c r="AB82" s="101"/>
      <x:c r="AC82" s="101"/>
      <x:c r="AD82" s="101"/>
      <x:c r="AE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  <x:c r="R83" s="101"/>
      <x:c r="S83" s="101"/>
      <x:c r="T83" s="101"/>
      <x:c r="U83" s="101"/>
      <x:c r="V83" s="101"/>
      <x:c r="W83" s="101"/>
      <x:c r="X83" s="101"/>
      <x:c r="Y83" s="101"/>
      <x:c r="Z83" s="101"/>
      <x:c r="AA83" s="101"/>
      <x:c r="AB83" s="101"/>
      <x:c r="AC83" s="101"/>
      <x:c r="AD83" s="101"/>
      <x:c r="AE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  <x:c r="R84" s="101"/>
      <x:c r="S84" s="101"/>
      <x:c r="T84" s="101"/>
      <x:c r="U84" s="101"/>
      <x:c r="V84" s="101"/>
      <x:c r="W84" s="101"/>
      <x:c r="X84" s="101"/>
      <x:c r="Y84" s="101"/>
      <x:c r="Z84" s="101"/>
      <x:c r="AA84" s="101"/>
      <x:c r="AB84" s="101"/>
      <x:c r="AC84" s="101"/>
      <x:c r="AD84" s="101"/>
      <x:c r="AE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  <x:c r="R85" s="101"/>
      <x:c r="S85" s="101"/>
      <x:c r="T85" s="101"/>
      <x:c r="U85" s="101"/>
      <x:c r="V85" s="101"/>
      <x:c r="W85" s="101"/>
      <x:c r="X85" s="101"/>
      <x:c r="Y85" s="101"/>
      <x:c r="Z85" s="101"/>
      <x:c r="AA85" s="101"/>
      <x:c r="AB85" s="101"/>
      <x:c r="AC85" s="101"/>
      <x:c r="AD85" s="101"/>
      <x:c r="AE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  <x:c r="R86" s="101"/>
      <x:c r="S86" s="101"/>
      <x:c r="T86" s="101"/>
      <x:c r="U86" s="101"/>
      <x:c r="V86" s="101"/>
      <x:c r="W86" s="101"/>
      <x:c r="X86" s="101"/>
      <x:c r="Y86" s="101"/>
      <x:c r="Z86" s="101"/>
      <x:c r="AA86" s="101"/>
      <x:c r="AB86" s="101"/>
      <x:c r="AC86" s="101"/>
      <x:c r="AD86" s="101"/>
      <x:c r="AE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  <x:c r="R87" s="101"/>
      <x:c r="S87" s="101"/>
      <x:c r="T87" s="101"/>
      <x:c r="U87" s="101"/>
      <x:c r="V87" s="101"/>
      <x:c r="W87" s="101"/>
      <x:c r="X87" s="101"/>
      <x:c r="Y87" s="101"/>
      <x:c r="Z87" s="101"/>
      <x:c r="AA87" s="101"/>
      <x:c r="AB87" s="101"/>
      <x:c r="AC87" s="101"/>
      <x:c r="AD87" s="101"/>
      <x:c r="AE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  <x:c r="R88" s="101"/>
      <x:c r="S88" s="101"/>
      <x:c r="T88" s="101"/>
      <x:c r="U88" s="101"/>
      <x:c r="V88" s="101"/>
      <x:c r="W88" s="101"/>
      <x:c r="X88" s="101"/>
      <x:c r="Y88" s="101"/>
      <x:c r="Z88" s="101"/>
      <x:c r="AA88" s="101"/>
      <x:c r="AB88" s="101"/>
      <x:c r="AC88" s="101"/>
      <x:c r="AD88" s="101"/>
      <x:c r="AE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  <x:c r="R89" s="101"/>
      <x:c r="S89" s="101"/>
      <x:c r="T89" s="101"/>
      <x:c r="U89" s="101"/>
      <x:c r="V89" s="101"/>
      <x:c r="W89" s="101"/>
      <x:c r="X89" s="101"/>
      <x:c r="Y89" s="101"/>
      <x:c r="Z89" s="101"/>
      <x:c r="AA89" s="101"/>
      <x:c r="AB89" s="101"/>
      <x:c r="AC89" s="101"/>
      <x:c r="AD89" s="101"/>
      <x:c r="AE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  <x:c r="R90" s="101"/>
      <x:c r="S90" s="101"/>
      <x:c r="T90" s="101"/>
      <x:c r="U90" s="101"/>
      <x:c r="V90" s="101"/>
      <x:c r="W90" s="101"/>
      <x:c r="X90" s="101"/>
      <x:c r="Y90" s="101"/>
      <x:c r="Z90" s="101"/>
      <x:c r="AA90" s="101"/>
      <x:c r="AB90" s="101"/>
      <x:c r="AC90" s="101"/>
      <x:c r="AD90" s="101"/>
      <x:c r="AE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  <x:c r="R91" s="101"/>
      <x:c r="S91" s="101"/>
      <x:c r="T91" s="101"/>
      <x:c r="U91" s="101"/>
      <x:c r="V91" s="101"/>
      <x:c r="W91" s="101"/>
      <x:c r="X91" s="101"/>
      <x:c r="Y91" s="101"/>
      <x:c r="Z91" s="101"/>
      <x:c r="AA91" s="101"/>
      <x:c r="AB91" s="101"/>
      <x:c r="AC91" s="101"/>
      <x:c r="AD91" s="101"/>
      <x:c r="AE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  <x:c r="R92" s="101"/>
      <x:c r="S92" s="101"/>
      <x:c r="T92" s="101"/>
      <x:c r="U92" s="101"/>
      <x:c r="V92" s="101"/>
      <x:c r="W92" s="101"/>
      <x:c r="X92" s="101"/>
      <x:c r="Y92" s="101"/>
      <x:c r="Z92" s="101"/>
      <x:c r="AA92" s="101"/>
      <x:c r="AB92" s="101"/>
      <x:c r="AC92" s="101"/>
      <x:c r="AD92" s="101"/>
      <x:c r="AE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  <x:c r="R93" s="101"/>
      <x:c r="S93" s="101"/>
      <x:c r="T93" s="101"/>
      <x:c r="U93" s="101"/>
      <x:c r="V93" s="101"/>
      <x:c r="W93" s="101"/>
      <x:c r="X93" s="101"/>
      <x:c r="Y93" s="101"/>
      <x:c r="Z93" s="101"/>
      <x:c r="AA93" s="101"/>
      <x:c r="AB93" s="101"/>
      <x:c r="AC93" s="101"/>
      <x:c r="AD93" s="101"/>
      <x:c r="AE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  <x:c r="R94" s="101"/>
      <x:c r="S94" s="101"/>
      <x:c r="T94" s="101"/>
      <x:c r="U94" s="101"/>
      <x:c r="V94" s="101"/>
      <x:c r="W94" s="101"/>
      <x:c r="X94" s="101"/>
      <x:c r="Y94" s="101"/>
      <x:c r="Z94" s="101"/>
      <x:c r="AA94" s="101"/>
      <x:c r="AB94" s="101"/>
      <x:c r="AC94" s="101"/>
      <x:c r="AD94" s="101"/>
      <x:c r="AE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  <x:c r="R95" s="101"/>
      <x:c r="S95" s="101"/>
      <x:c r="T95" s="101"/>
      <x:c r="U95" s="101"/>
      <x:c r="V95" s="101"/>
      <x:c r="W95" s="101"/>
      <x:c r="X95" s="101"/>
      <x:c r="Y95" s="101"/>
      <x:c r="Z95" s="101"/>
      <x:c r="AA95" s="101"/>
      <x:c r="AB95" s="101"/>
      <x:c r="AC95" s="101"/>
      <x:c r="AD95" s="101"/>
      <x:c r="AE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  <x:c r="R96" s="101"/>
      <x:c r="S96" s="101"/>
      <x:c r="T96" s="101"/>
      <x:c r="U96" s="101"/>
      <x:c r="V96" s="101"/>
      <x:c r="W96" s="101"/>
      <x:c r="X96" s="101"/>
      <x:c r="Y96" s="101"/>
      <x:c r="Z96" s="101"/>
      <x:c r="AA96" s="101"/>
      <x:c r="AB96" s="101"/>
      <x:c r="AC96" s="101"/>
      <x:c r="AD96" s="101"/>
      <x:c r="AE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  <x:c r="R97" s="101"/>
      <x:c r="S97" s="101"/>
      <x:c r="T97" s="101"/>
      <x:c r="U97" s="101"/>
      <x:c r="V97" s="101"/>
      <x:c r="W97" s="101"/>
      <x:c r="X97" s="101"/>
      <x:c r="Y97" s="101"/>
      <x:c r="Z97" s="101"/>
      <x:c r="AA97" s="101"/>
      <x:c r="AB97" s="101"/>
      <x:c r="AC97" s="101"/>
      <x:c r="AD97" s="101"/>
      <x:c r="AE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  <x:c r="R98" s="101"/>
      <x:c r="S98" s="101"/>
      <x:c r="T98" s="101"/>
      <x:c r="U98" s="101"/>
      <x:c r="V98" s="101"/>
      <x:c r="W98" s="101"/>
      <x:c r="X98" s="101"/>
      <x:c r="Y98" s="101"/>
      <x:c r="Z98" s="101"/>
      <x:c r="AA98" s="101"/>
      <x:c r="AB98" s="101"/>
      <x:c r="AC98" s="101"/>
      <x:c r="AD98" s="101"/>
      <x:c r="AE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  <x:c r="R99" s="101"/>
      <x:c r="S99" s="101"/>
      <x:c r="T99" s="101"/>
      <x:c r="U99" s="101"/>
      <x:c r="V99" s="101"/>
      <x:c r="W99" s="101"/>
      <x:c r="X99" s="101"/>
      <x:c r="Y99" s="101"/>
      <x:c r="Z99" s="101"/>
      <x:c r="AA99" s="101"/>
      <x:c r="AB99" s="101"/>
      <x:c r="AC99" s="101"/>
      <x:c r="AD99" s="101"/>
      <x:c r="AE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  <x:c r="R100" s="101"/>
      <x:c r="S100" s="101"/>
      <x:c r="T100" s="101"/>
      <x:c r="U100" s="101"/>
      <x:c r="V100" s="101"/>
      <x:c r="W100" s="101"/>
      <x:c r="X100" s="101"/>
      <x:c r="Y100" s="101"/>
      <x:c r="Z100" s="101"/>
      <x:c r="AA100" s="101"/>
      <x:c r="AB100" s="101"/>
      <x:c r="AC100" s="101"/>
      <x:c r="AD100" s="101"/>
      <x:c r="AE100" s="101"/>
    </x:row>
    <x:row r="101">
      <x:c r="A101" s="101"/>
      <x:c r="B101" s="101"/>
      <x:c r="C101" s="101"/>
      <x:c r="D101" s="101"/>
      <x:c r="E101" s="101"/>
      <x:c r="F101" s="101"/>
      <x:c r="G101" s="101"/>
      <x:c r="H101" s="101"/>
      <x:c r="I101" s="101"/>
      <x:c r="J101" s="101"/>
      <x:c r="K101" s="101"/>
      <x:c r="L101" s="101"/>
      <x:c r="M101" s="101"/>
      <x:c r="N101" s="101"/>
      <x:c r="O101" s="101"/>
      <x:c r="P101" s="101"/>
      <x:c r="Q101" s="101"/>
      <x:c r="R101" s="101"/>
      <x:c r="S101" s="101"/>
      <x:c r="T101" s="101"/>
      <x:c r="U101" s="101"/>
      <x:c r="V101" s="101"/>
      <x:c r="W101" s="101"/>
      <x:c r="X101" s="101"/>
      <x:c r="Y101" s="101"/>
      <x:c r="Z101" s="101"/>
      <x:c r="AA101" s="101"/>
      <x:c r="AB101" s="101"/>
      <x:c r="AC101" s="101"/>
      <x:c r="AD101" s="101"/>
      <x:c r="AE101" s="101"/>
    </x:row>
    <x:row r="102">
      <x:c r="A102" s="101"/>
      <x:c r="B102" s="101"/>
      <x:c r="C102" s="101"/>
      <x:c r="D102" s="101"/>
      <x:c r="E102" s="101"/>
      <x:c r="F102" s="101"/>
      <x:c r="G102" s="101"/>
      <x:c r="H102" s="101"/>
      <x:c r="I102" s="101"/>
      <x:c r="J102" s="101"/>
      <x:c r="K102" s="101"/>
      <x:c r="L102" s="101"/>
      <x:c r="M102" s="101"/>
      <x:c r="N102" s="101"/>
      <x:c r="O102" s="101"/>
      <x:c r="P102" s="101"/>
      <x:c r="Q102" s="101"/>
      <x:c r="R102" s="101"/>
      <x:c r="S102" s="101"/>
      <x:c r="T102" s="101"/>
      <x:c r="U102" s="101"/>
      <x:c r="V102" s="101"/>
      <x:c r="W102" s="101"/>
      <x:c r="X102" s="101"/>
      <x:c r="Y102" s="101"/>
      <x:c r="Z102" s="101"/>
      <x:c r="AA102" s="101"/>
      <x:c r="AB102" s="101"/>
      <x:c r="AC102" s="101"/>
      <x:c r="AD102" s="101"/>
      <x:c r="AE102" s="101"/>
    </x:row>
    <x:row r="103">
      <x:c r="A103" s="101"/>
      <x:c r="B103" s="101"/>
      <x:c r="C103" s="101"/>
      <x:c r="D103" s="101"/>
      <x:c r="E103" s="101"/>
      <x:c r="F103" s="101"/>
      <x:c r="G103" s="101"/>
      <x:c r="H103" s="101"/>
      <x:c r="I103" s="101"/>
      <x:c r="J103" s="101"/>
      <x:c r="K103" s="101"/>
      <x:c r="L103" s="101"/>
      <x:c r="M103" s="101"/>
      <x:c r="N103" s="101"/>
      <x:c r="O103" s="101"/>
      <x:c r="P103" s="101"/>
      <x:c r="Q103" s="101"/>
      <x:c r="R103" s="101"/>
      <x:c r="S103" s="101"/>
      <x:c r="T103" s="101"/>
      <x:c r="U103" s="101"/>
      <x:c r="V103" s="101"/>
      <x:c r="W103" s="101"/>
      <x:c r="X103" s="101"/>
      <x:c r="Y103" s="101"/>
      <x:c r="Z103" s="101"/>
      <x:c r="AA103" s="101"/>
      <x:c r="AB103" s="101"/>
      <x:c r="AC103" s="101"/>
      <x:c r="AD103" s="101"/>
      <x:c r="AE103" s="101"/>
    </x:row>
    <x:row r="104">
      <x:c r="A104" s="101"/>
      <x:c r="B104" s="101"/>
      <x:c r="C104" s="101"/>
      <x:c r="D104" s="101"/>
      <x:c r="E104" s="101"/>
      <x:c r="F104" s="101"/>
      <x:c r="G104" s="101"/>
      <x:c r="H104" s="101"/>
      <x:c r="I104" s="101"/>
      <x:c r="J104" s="101"/>
      <x:c r="K104" s="101"/>
      <x:c r="L104" s="101"/>
      <x:c r="M104" s="101"/>
      <x:c r="N104" s="101"/>
      <x:c r="O104" s="101"/>
      <x:c r="P104" s="101"/>
      <x:c r="Q104" s="101"/>
      <x:c r="R104" s="101"/>
      <x:c r="S104" s="101"/>
      <x:c r="T104" s="101"/>
      <x:c r="U104" s="101"/>
      <x:c r="V104" s="101"/>
      <x:c r="W104" s="101"/>
      <x:c r="X104" s="101"/>
      <x:c r="Y104" s="101"/>
      <x:c r="Z104" s="101"/>
      <x:c r="AA104" s="101"/>
      <x:c r="AB104" s="101"/>
      <x:c r="AC104" s="101"/>
      <x:c r="AD104" s="101"/>
      <x:c r="AE104" s="101"/>
    </x:row>
    <x:row r="105">
      <x:c r="A105" s="101"/>
      <x:c r="B105" s="101"/>
      <x:c r="C105" s="101"/>
      <x:c r="D105" s="101"/>
      <x:c r="E105" s="101"/>
      <x:c r="F105" s="101"/>
      <x:c r="G105" s="101"/>
      <x:c r="H105" s="101"/>
      <x:c r="I105" s="101"/>
      <x:c r="J105" s="101"/>
      <x:c r="K105" s="101"/>
      <x:c r="L105" s="101"/>
      <x:c r="M105" s="101"/>
      <x:c r="N105" s="101"/>
      <x:c r="O105" s="101"/>
      <x:c r="P105" s="101"/>
      <x:c r="Q105" s="101"/>
      <x:c r="R105" s="101"/>
      <x:c r="S105" s="101"/>
      <x:c r="T105" s="101"/>
      <x:c r="U105" s="101"/>
      <x:c r="V105" s="101"/>
      <x:c r="W105" s="101"/>
      <x:c r="X105" s="101"/>
      <x:c r="Y105" s="101"/>
      <x:c r="Z105" s="101"/>
      <x:c r="AA105" s="101"/>
      <x:c r="AB105" s="101"/>
      <x:c r="AC105" s="101"/>
      <x:c r="AD105" s="101"/>
      <x:c r="AE105" s="101"/>
    </x:row>
    <x:row r="106">
      <x:c r="A106" s="101"/>
      <x:c r="B106" s="101"/>
      <x:c r="C106" s="101"/>
      <x:c r="D106" s="101"/>
      <x:c r="E106" s="101"/>
      <x:c r="F106" s="101"/>
      <x:c r="G106" s="101"/>
      <x:c r="H106" s="101"/>
      <x:c r="I106" s="101"/>
      <x:c r="J106" s="101"/>
      <x:c r="K106" s="101"/>
      <x:c r="L106" s="101"/>
      <x:c r="M106" s="101"/>
      <x:c r="N106" s="101"/>
      <x:c r="O106" s="101"/>
      <x:c r="P106" s="101"/>
      <x:c r="Q106" s="101"/>
      <x:c r="R106" s="101"/>
      <x:c r="S106" s="101"/>
      <x:c r="T106" s="101"/>
      <x:c r="U106" s="101"/>
      <x:c r="V106" s="101"/>
      <x:c r="W106" s="101"/>
      <x:c r="X106" s="101"/>
      <x:c r="Y106" s="101"/>
      <x:c r="Z106" s="101"/>
      <x:c r="AA106" s="101"/>
      <x:c r="AB106" s="101"/>
      <x:c r="AC106" s="101"/>
      <x:c r="AD106" s="101"/>
      <x:c r="AE106" s="101"/>
    </x:row>
    <x:row r="107">
      <x:c r="A107" s="101"/>
      <x:c r="B107" s="101"/>
      <x:c r="C107" s="101"/>
      <x:c r="D107" s="101"/>
      <x:c r="E107" s="101"/>
      <x:c r="F107" s="101"/>
      <x:c r="G107" s="101"/>
      <x:c r="H107" s="101"/>
      <x:c r="I107" s="101"/>
      <x:c r="J107" s="101"/>
      <x:c r="K107" s="101"/>
      <x:c r="L107" s="101"/>
      <x:c r="M107" s="101"/>
      <x:c r="N107" s="101"/>
      <x:c r="O107" s="101"/>
      <x:c r="P107" s="101"/>
      <x:c r="Q107" s="101"/>
      <x:c r="R107" s="101"/>
      <x:c r="S107" s="101"/>
      <x:c r="T107" s="101"/>
      <x:c r="U107" s="101"/>
      <x:c r="V107" s="101"/>
      <x:c r="W107" s="101"/>
      <x:c r="X107" s="101"/>
      <x:c r="Y107" s="101"/>
      <x:c r="Z107" s="101"/>
      <x:c r="AA107" s="101"/>
      <x:c r="AB107" s="101"/>
      <x:c r="AC107" s="101"/>
      <x:c r="AD107" s="101"/>
      <x:c r="AE107" s="101"/>
    </x:row>
    <x:row r="108">
      <x:c r="A108" s="101"/>
      <x:c r="B108" s="101"/>
      <x:c r="C108" s="101"/>
      <x:c r="D108" s="101"/>
      <x:c r="E108" s="101"/>
      <x:c r="F108" s="101"/>
      <x:c r="G108" s="101"/>
      <x:c r="H108" s="101"/>
      <x:c r="I108" s="101"/>
      <x:c r="J108" s="101"/>
      <x:c r="K108" s="101"/>
      <x:c r="L108" s="101"/>
      <x:c r="M108" s="101"/>
      <x:c r="N108" s="101"/>
      <x:c r="O108" s="101"/>
      <x:c r="P108" s="101"/>
      <x:c r="Q108" s="101"/>
      <x:c r="R108" s="101"/>
      <x:c r="S108" s="101"/>
      <x:c r="T108" s="101"/>
      <x:c r="U108" s="101"/>
      <x:c r="V108" s="101"/>
      <x:c r="W108" s="101"/>
      <x:c r="X108" s="101"/>
      <x:c r="Y108" s="101"/>
      <x:c r="Z108" s="101"/>
      <x:c r="AA108" s="101"/>
      <x:c r="AB108" s="101"/>
      <x:c r="AC108" s="101"/>
      <x:c r="AD108" s="101"/>
      <x:c r="AE108" s="101"/>
    </x:row>
    <x:row r="109">
      <x:c r="A109" s="101"/>
      <x:c r="B109" s="101"/>
      <x:c r="C109" s="101"/>
      <x:c r="D109" s="101"/>
      <x:c r="E109" s="101"/>
      <x:c r="F109" s="101"/>
      <x:c r="G109" s="101"/>
      <x:c r="H109" s="101"/>
      <x:c r="I109" s="101"/>
      <x:c r="J109" s="101"/>
      <x:c r="K109" s="101"/>
      <x:c r="L109" s="101"/>
      <x:c r="M109" s="101"/>
      <x:c r="N109" s="101"/>
      <x:c r="O109" s="101"/>
      <x:c r="P109" s="101"/>
      <x:c r="Q109" s="101"/>
      <x:c r="R109" s="101"/>
      <x:c r="S109" s="101"/>
      <x:c r="T109" s="101"/>
      <x:c r="U109" s="101"/>
      <x:c r="V109" s="101"/>
      <x:c r="W109" s="101"/>
      <x:c r="X109" s="101"/>
      <x:c r="Y109" s="101"/>
      <x:c r="Z109" s="101"/>
      <x:c r="AA109" s="101"/>
      <x:c r="AB109" s="101"/>
      <x:c r="AC109" s="101"/>
      <x:c r="AD109" s="101"/>
      <x:c r="AE109" s="101"/>
    </x:row>
    <x:row r="110">
      <x:c r="A110" s="101"/>
      <x:c r="B110" s="101"/>
      <x:c r="C110" s="101"/>
      <x:c r="D110" s="101"/>
      <x:c r="E110" s="101"/>
      <x:c r="F110" s="101"/>
      <x:c r="G110" s="101"/>
      <x:c r="H110" s="101"/>
      <x:c r="I110" s="101"/>
      <x:c r="J110" s="101"/>
      <x:c r="K110" s="101"/>
      <x:c r="L110" s="101"/>
      <x:c r="M110" s="101"/>
      <x:c r="N110" s="101"/>
      <x:c r="O110" s="101"/>
      <x:c r="P110" s="101"/>
      <x:c r="Q110" s="101"/>
      <x:c r="R110" s="101"/>
      <x:c r="S110" s="101"/>
      <x:c r="T110" s="101"/>
      <x:c r="U110" s="101"/>
      <x:c r="V110" s="101"/>
      <x:c r="W110" s="101"/>
      <x:c r="X110" s="101"/>
      <x:c r="Y110" s="101"/>
      <x:c r="Z110" s="101"/>
      <x:c r="AA110" s="101"/>
      <x:c r="AB110" s="101"/>
      <x:c r="AC110" s="101"/>
      <x:c r="AD110" s="101"/>
      <x:c r="AE110" s="101"/>
    </x:row>
    <x:row r="111">
      <x:c r="A111" s="101"/>
      <x:c r="B111" s="101"/>
      <x:c r="C111" s="101"/>
      <x:c r="D111" s="101"/>
      <x:c r="E111" s="101"/>
      <x:c r="F111" s="101"/>
      <x:c r="G111" s="101"/>
      <x:c r="H111" s="101"/>
      <x:c r="I111" s="101"/>
      <x:c r="J111" s="101"/>
      <x:c r="K111" s="101"/>
      <x:c r="L111" s="101"/>
      <x:c r="M111" s="101"/>
      <x:c r="N111" s="101"/>
      <x:c r="O111" s="101"/>
      <x:c r="P111" s="101"/>
      <x:c r="Q111" s="101"/>
      <x:c r="R111" s="101"/>
      <x:c r="S111" s="101"/>
      <x:c r="T111" s="101"/>
      <x:c r="U111" s="101"/>
      <x:c r="V111" s="101"/>
      <x:c r="W111" s="101"/>
      <x:c r="X111" s="101"/>
      <x:c r="Y111" s="101"/>
      <x:c r="Z111" s="101"/>
      <x:c r="AA111" s="101"/>
      <x:c r="AB111" s="101"/>
      <x:c r="AC111" s="101"/>
      <x:c r="AD111" s="101"/>
      <x:c r="AE111" s="101"/>
    </x:row>
    <x:row r="112">
      <x:c r="A112" s="101"/>
      <x:c r="B112" s="101"/>
      <x:c r="C112" s="101"/>
      <x:c r="D112" s="101"/>
      <x:c r="E112" s="101"/>
      <x:c r="F112" s="101"/>
      <x:c r="G112" s="101"/>
      <x:c r="H112" s="101"/>
      <x:c r="I112" s="101"/>
      <x:c r="J112" s="101"/>
      <x:c r="K112" s="101"/>
      <x:c r="L112" s="101"/>
      <x:c r="M112" s="101"/>
      <x:c r="N112" s="101"/>
      <x:c r="O112" s="101"/>
      <x:c r="P112" s="101"/>
      <x:c r="Q112" s="101"/>
      <x:c r="R112" s="101"/>
      <x:c r="S112" s="101"/>
      <x:c r="T112" s="101"/>
      <x:c r="U112" s="101"/>
      <x:c r="V112" s="101"/>
      <x:c r="W112" s="101"/>
      <x:c r="X112" s="101"/>
      <x:c r="Y112" s="101"/>
      <x:c r="Z112" s="101"/>
      <x:c r="AA112" s="101"/>
      <x:c r="AB112" s="101"/>
      <x:c r="AC112" s="101"/>
      <x:c r="AD112" s="101"/>
      <x:c r="AE112" s="101"/>
    </x:row>
    <x:row r="113">
      <x:c r="A113" s="101"/>
      <x:c r="B113" s="101"/>
      <x:c r="C113" s="101"/>
      <x:c r="D113" s="101"/>
      <x:c r="E113" s="101"/>
      <x:c r="F113" s="101"/>
      <x:c r="G113" s="101"/>
      <x:c r="H113" s="101"/>
      <x:c r="I113" s="101"/>
      <x:c r="J113" s="101"/>
      <x:c r="K113" s="101"/>
      <x:c r="L113" s="101"/>
      <x:c r="M113" s="101"/>
      <x:c r="N113" s="101"/>
      <x:c r="O113" s="101"/>
      <x:c r="P113" s="101"/>
      <x:c r="Q113" s="101"/>
      <x:c r="R113" s="101"/>
      <x:c r="S113" s="101"/>
      <x:c r="T113" s="101"/>
      <x:c r="U113" s="101"/>
      <x:c r="V113" s="101"/>
      <x:c r="W113" s="101"/>
      <x:c r="X113" s="101"/>
      <x:c r="Y113" s="101"/>
      <x:c r="Z113" s="101"/>
      <x:c r="AA113" s="101"/>
      <x:c r="AB113" s="101"/>
      <x:c r="AC113" s="101"/>
      <x:c r="AD113" s="101"/>
      <x:c r="AE113" s="101"/>
    </x:row>
    <x:row r="114">
      <x:c r="A114" s="101"/>
      <x:c r="B114" s="101"/>
      <x:c r="C114" s="101"/>
      <x:c r="D114" s="101"/>
      <x:c r="E114" s="101"/>
      <x:c r="F114" s="101"/>
      <x:c r="G114" s="101"/>
      <x:c r="H114" s="101"/>
      <x:c r="I114" s="101"/>
      <x:c r="J114" s="101"/>
      <x:c r="K114" s="101"/>
      <x:c r="L114" s="101"/>
      <x:c r="M114" s="101"/>
      <x:c r="N114" s="101"/>
      <x:c r="O114" s="101"/>
      <x:c r="P114" s="101"/>
      <x:c r="Q114" s="101"/>
      <x:c r="R114" s="101"/>
      <x:c r="S114" s="101"/>
      <x:c r="T114" s="101"/>
      <x:c r="U114" s="101"/>
      <x:c r="V114" s="101"/>
      <x:c r="W114" s="101"/>
      <x:c r="X114" s="101"/>
      <x:c r="Y114" s="101"/>
      <x:c r="Z114" s="101"/>
      <x:c r="AA114" s="101"/>
      <x:c r="AB114" s="101"/>
      <x:c r="AC114" s="101"/>
      <x:c r="AD114" s="101"/>
      <x:c r="AE114" s="101"/>
    </x:row>
    <x:row r="115">
      <x:c r="A115" s="101"/>
      <x:c r="B115" s="101"/>
      <x:c r="C115" s="101"/>
      <x:c r="D115" s="101"/>
      <x:c r="E115" s="101"/>
      <x:c r="F115" s="101"/>
      <x:c r="G115" s="101"/>
      <x:c r="H115" s="101"/>
      <x:c r="I115" s="101"/>
      <x:c r="J115" s="101"/>
      <x:c r="K115" s="101"/>
      <x:c r="L115" s="101"/>
      <x:c r="M115" s="101"/>
      <x:c r="N115" s="101"/>
      <x:c r="O115" s="101"/>
      <x:c r="P115" s="101"/>
      <x:c r="Q115" s="101"/>
      <x:c r="R115" s="101"/>
      <x:c r="S115" s="101"/>
      <x:c r="T115" s="101"/>
      <x:c r="U115" s="101"/>
      <x:c r="V115" s="101"/>
      <x:c r="W115" s="101"/>
      <x:c r="X115" s="101"/>
      <x:c r="Y115" s="101"/>
      <x:c r="Z115" s="101"/>
      <x:c r="AA115" s="101"/>
      <x:c r="AB115" s="101"/>
      <x:c r="AC115" s="101"/>
      <x:c r="AD115" s="101"/>
      <x:c r="AE115" s="101"/>
    </x:row>
    <x:row r="116">
      <x:c r="A116" s="101"/>
      <x:c r="B116" s="101"/>
      <x:c r="C116" s="101"/>
      <x:c r="D116" s="101"/>
      <x:c r="E116" s="101"/>
      <x:c r="F116" s="101"/>
      <x:c r="G116" s="101"/>
      <x:c r="H116" s="101"/>
      <x:c r="I116" s="101"/>
      <x:c r="J116" s="101"/>
      <x:c r="K116" s="101"/>
      <x:c r="L116" s="101"/>
      <x:c r="M116" s="101"/>
      <x:c r="N116" s="101"/>
      <x:c r="O116" s="101"/>
      <x:c r="P116" s="101"/>
      <x:c r="Q116" s="101"/>
      <x:c r="R116" s="101"/>
      <x:c r="S116" s="101"/>
      <x:c r="T116" s="101"/>
      <x:c r="U116" s="101"/>
      <x:c r="V116" s="101"/>
      <x:c r="W116" s="101"/>
      <x:c r="X116" s="101"/>
      <x:c r="Y116" s="101"/>
      <x:c r="Z116" s="101"/>
      <x:c r="AA116" s="101"/>
      <x:c r="AB116" s="101"/>
      <x:c r="AC116" s="101"/>
      <x:c r="AD116" s="101"/>
      <x:c r="AE116" s="101"/>
    </x:row>
    <x:row r="117">
      <x:c r="A117" s="101"/>
      <x:c r="B117" s="101"/>
      <x:c r="C117" s="101"/>
      <x:c r="D117" s="101"/>
      <x:c r="E117" s="101"/>
      <x:c r="F117" s="101"/>
      <x:c r="G117" s="101"/>
      <x:c r="H117" s="101"/>
      <x:c r="I117" s="101"/>
      <x:c r="J117" s="101"/>
      <x:c r="K117" s="101"/>
      <x:c r="L117" s="101"/>
      <x:c r="M117" s="101"/>
      <x:c r="N117" s="101"/>
      <x:c r="O117" s="101"/>
      <x:c r="P117" s="101"/>
      <x:c r="Q117" s="101"/>
      <x:c r="R117" s="101"/>
      <x:c r="S117" s="101"/>
      <x:c r="T117" s="101"/>
      <x:c r="U117" s="101"/>
      <x:c r="V117" s="101"/>
      <x:c r="W117" s="101"/>
      <x:c r="X117" s="101"/>
      <x:c r="Y117" s="101"/>
      <x:c r="Z117" s="101"/>
      <x:c r="AA117" s="101"/>
      <x:c r="AB117" s="101"/>
      <x:c r="AC117" s="101"/>
      <x:c r="AD117" s="101"/>
      <x:c r="AE117" s="101"/>
    </x:row>
    <x:row r="118">
      <x:c r="A118" s="101"/>
      <x:c r="B118" s="101"/>
      <x:c r="C118" s="101"/>
      <x:c r="D118" s="101"/>
      <x:c r="E118" s="101"/>
      <x:c r="F118" s="101"/>
      <x:c r="G118" s="101"/>
      <x:c r="H118" s="101"/>
      <x:c r="I118" s="101"/>
      <x:c r="J118" s="101"/>
      <x:c r="K118" s="101"/>
      <x:c r="L118" s="101"/>
      <x:c r="M118" s="101"/>
      <x:c r="N118" s="101"/>
      <x:c r="O118" s="101"/>
      <x:c r="P118" s="101"/>
      <x:c r="Q118" s="101"/>
      <x:c r="R118" s="101"/>
      <x:c r="S118" s="101"/>
      <x:c r="T118" s="101"/>
      <x:c r="U118" s="101"/>
      <x:c r="V118" s="101"/>
      <x:c r="W118" s="101"/>
      <x:c r="X118" s="101"/>
      <x:c r="Y118" s="101"/>
      <x:c r="Z118" s="101"/>
      <x:c r="AA118" s="101"/>
      <x:c r="AB118" s="101"/>
      <x:c r="AC118" s="101"/>
      <x:c r="AD118" s="101"/>
      <x:c r="AE118" s="101"/>
    </x:row>
    <x:row r="119">
      <x:c r="A119" s="101"/>
      <x:c r="B119" s="101"/>
      <x:c r="C119" s="101"/>
      <x:c r="D119" s="101"/>
      <x:c r="E119" s="101"/>
      <x:c r="F119" s="101"/>
      <x:c r="G119" s="101"/>
      <x:c r="H119" s="101"/>
      <x:c r="I119" s="101"/>
      <x:c r="J119" s="101"/>
      <x:c r="K119" s="101"/>
      <x:c r="L119" s="101"/>
      <x:c r="M119" s="101"/>
      <x:c r="N119" s="101"/>
      <x:c r="O119" s="101"/>
      <x:c r="P119" s="101"/>
      <x:c r="Q119" s="101"/>
      <x:c r="R119" s="101"/>
      <x:c r="S119" s="101"/>
      <x:c r="T119" s="101"/>
      <x:c r="U119" s="101"/>
      <x:c r="V119" s="101"/>
      <x:c r="W119" s="101"/>
      <x:c r="X119" s="101"/>
      <x:c r="Y119" s="101"/>
      <x:c r="Z119" s="101"/>
      <x:c r="AA119" s="101"/>
      <x:c r="AB119" s="101"/>
      <x:c r="AC119" s="101"/>
      <x:c r="AD119" s="101"/>
      <x:c r="AE119" s="101"/>
    </x:row>
    <x:row r="120">
      <x:c r="A120" s="101"/>
      <x:c r="B120" s="101"/>
      <x:c r="C120" s="101"/>
      <x:c r="D120" s="101"/>
      <x:c r="E120" s="101"/>
      <x:c r="F120" s="101"/>
      <x:c r="G120" s="101"/>
      <x:c r="H120" s="101"/>
      <x:c r="I120" s="101"/>
      <x:c r="J120" s="101"/>
      <x:c r="K120" s="101"/>
      <x:c r="L120" s="101"/>
      <x:c r="M120" s="101"/>
      <x:c r="N120" s="101"/>
      <x:c r="O120" s="101"/>
      <x:c r="P120" s="101"/>
      <x:c r="Q120" s="101"/>
      <x:c r="R120" s="101"/>
      <x:c r="S120" s="101"/>
      <x:c r="T120" s="101"/>
      <x:c r="U120" s="101"/>
      <x:c r="V120" s="101"/>
      <x:c r="W120" s="101"/>
      <x:c r="X120" s="101"/>
      <x:c r="Y120" s="101"/>
      <x:c r="Z120" s="101"/>
      <x:c r="AA120" s="101"/>
      <x:c r="AB120" s="101"/>
      <x:c r="AC120" s="101"/>
      <x:c r="AD120" s="101"/>
      <x:c r="AE120" s="101"/>
    </x:row>
    <x:row r="121">
      <x:c r="A121" s="101"/>
      <x:c r="B121" s="101"/>
      <x:c r="C121" s="101"/>
      <x:c r="D121" s="101"/>
      <x:c r="E121" s="101"/>
      <x:c r="F121" s="101"/>
      <x:c r="G121" s="101"/>
      <x:c r="H121" s="101"/>
      <x:c r="I121" s="101"/>
      <x:c r="J121" s="101"/>
      <x:c r="K121" s="101"/>
      <x:c r="L121" s="101"/>
      <x:c r="M121" s="101"/>
      <x:c r="N121" s="101"/>
      <x:c r="O121" s="101"/>
      <x:c r="P121" s="101"/>
      <x:c r="Q121" s="101"/>
      <x:c r="R121" s="101"/>
      <x:c r="S121" s="101"/>
      <x:c r="T121" s="101"/>
      <x:c r="U121" s="101"/>
      <x:c r="V121" s="101"/>
      <x:c r="W121" s="101"/>
      <x:c r="X121" s="101"/>
      <x:c r="Y121" s="101"/>
      <x:c r="Z121" s="101"/>
      <x:c r="AA121" s="101"/>
      <x:c r="AB121" s="101"/>
      <x:c r="AC121" s="101"/>
      <x:c r="AD121" s="101"/>
      <x:c r="AE121" s="101"/>
    </x:row>
    <x:row r="122">
      <x:c r="A122" s="101"/>
      <x:c r="B122" s="101"/>
      <x:c r="C122" s="101"/>
      <x:c r="D122" s="101"/>
      <x:c r="E122" s="101"/>
      <x:c r="F122" s="101"/>
      <x:c r="G122" s="101"/>
      <x:c r="H122" s="101"/>
      <x:c r="I122" s="101"/>
      <x:c r="J122" s="101"/>
      <x:c r="K122" s="101"/>
      <x:c r="L122" s="101"/>
      <x:c r="M122" s="101"/>
      <x:c r="N122" s="101"/>
      <x:c r="O122" s="101"/>
      <x:c r="P122" s="101"/>
      <x:c r="Q122" s="101"/>
      <x:c r="R122" s="101"/>
      <x:c r="S122" s="101"/>
      <x:c r="T122" s="101"/>
      <x:c r="U122" s="101"/>
      <x:c r="V122" s="101"/>
      <x:c r="W122" s="101"/>
      <x:c r="X122" s="101"/>
      <x:c r="Y122" s="101"/>
      <x:c r="Z122" s="101"/>
      <x:c r="AA122" s="101"/>
      <x:c r="AB122" s="101"/>
      <x:c r="AC122" s="101"/>
      <x:c r="AD122" s="101"/>
      <x:c r="AE122" s="101"/>
    </x:row>
    <x:row r="123">
      <x:c r="A123" s="101"/>
      <x:c r="B123" s="101"/>
      <x:c r="C123" s="101"/>
      <x:c r="D123" s="101"/>
      <x:c r="E123" s="101"/>
      <x:c r="F123" s="101"/>
      <x:c r="G123" s="101"/>
      <x:c r="H123" s="101"/>
      <x:c r="I123" s="101"/>
      <x:c r="J123" s="101"/>
      <x:c r="K123" s="101"/>
      <x:c r="L123" s="101"/>
      <x:c r="M123" s="101"/>
      <x:c r="N123" s="101"/>
      <x:c r="O123" s="101"/>
      <x:c r="P123" s="101"/>
      <x:c r="Q123" s="101"/>
      <x:c r="R123" s="101"/>
      <x:c r="S123" s="101"/>
      <x:c r="T123" s="101"/>
      <x:c r="U123" s="101"/>
      <x:c r="V123" s="101"/>
      <x:c r="W123" s="101"/>
      <x:c r="X123" s="101"/>
      <x:c r="Y123" s="101"/>
      <x:c r="Z123" s="101"/>
      <x:c r="AA123" s="101"/>
      <x:c r="AB123" s="101"/>
      <x:c r="AC123" s="101"/>
      <x:c r="AD123" s="101"/>
      <x:c r="AE123" s="101"/>
    </x:row>
    <x:row r="124">
      <x:c r="A124" s="101"/>
      <x:c r="B124" s="101"/>
      <x:c r="C124" s="101"/>
      <x:c r="D124" s="101"/>
      <x:c r="E124" s="101"/>
      <x:c r="F124" s="101"/>
      <x:c r="G124" s="101"/>
      <x:c r="H124" s="101"/>
      <x:c r="I124" s="101"/>
      <x:c r="J124" s="101"/>
      <x:c r="K124" s="101"/>
      <x:c r="L124" s="101"/>
      <x:c r="M124" s="101"/>
      <x:c r="N124" s="101"/>
      <x:c r="O124" s="101"/>
      <x:c r="P124" s="101"/>
      <x:c r="Q124" s="101"/>
      <x:c r="R124" s="101"/>
      <x:c r="S124" s="101"/>
      <x:c r="T124" s="101"/>
      <x:c r="U124" s="101"/>
      <x:c r="V124" s="101"/>
      <x:c r="W124" s="101"/>
      <x:c r="X124" s="101"/>
      <x:c r="Y124" s="101"/>
      <x:c r="Z124" s="101"/>
      <x:c r="AA124" s="101"/>
      <x:c r="AB124" s="101"/>
      <x:c r="AC124" s="101"/>
      <x:c r="AD124" s="101"/>
      <x:c r="AE124" s="101"/>
    </x:row>
    <x:row r="125">
      <x:c r="A125" s="101"/>
      <x:c r="B125" s="101"/>
      <x:c r="C125" s="101"/>
      <x:c r="D125" s="101"/>
      <x:c r="E125" s="101"/>
      <x:c r="F125" s="101"/>
      <x:c r="G125" s="101"/>
      <x:c r="H125" s="101"/>
      <x:c r="I125" s="101"/>
      <x:c r="J125" s="101"/>
      <x:c r="K125" s="101"/>
      <x:c r="L125" s="101"/>
      <x:c r="M125" s="101"/>
      <x:c r="N125" s="101"/>
      <x:c r="O125" s="101"/>
      <x:c r="P125" s="101"/>
      <x:c r="Q125" s="101"/>
      <x:c r="R125" s="101"/>
      <x:c r="S125" s="101"/>
      <x:c r="T125" s="101"/>
      <x:c r="U125" s="101"/>
      <x:c r="V125" s="101"/>
      <x:c r="W125" s="101"/>
      <x:c r="X125" s="101"/>
      <x:c r="Y125" s="101"/>
      <x:c r="Z125" s="101"/>
      <x:c r="AA125" s="101"/>
      <x:c r="AB125" s="101"/>
      <x:c r="AC125" s="101"/>
      <x:c r="AD125" s="101"/>
      <x:c r="AE125" s="101"/>
    </x:row>
    <x:row r="126">
      <x:c r="A126" s="101"/>
      <x:c r="B126" s="101"/>
      <x:c r="C126" s="101"/>
      <x:c r="D126" s="101"/>
      <x:c r="E126" s="101"/>
      <x:c r="F126" s="101"/>
      <x:c r="G126" s="101"/>
      <x:c r="H126" s="101"/>
      <x:c r="I126" s="101"/>
      <x:c r="J126" s="101"/>
      <x:c r="K126" s="101"/>
      <x:c r="L126" s="101"/>
      <x:c r="M126" s="101"/>
      <x:c r="N126" s="101"/>
      <x:c r="O126" s="101"/>
      <x:c r="P126" s="101"/>
      <x:c r="Q126" s="101"/>
      <x:c r="R126" s="101"/>
      <x:c r="S126" s="101"/>
      <x:c r="T126" s="101"/>
      <x:c r="U126" s="101"/>
      <x:c r="V126" s="101"/>
      <x:c r="W126" s="101"/>
      <x:c r="X126" s="101"/>
      <x:c r="Y126" s="101"/>
      <x:c r="Z126" s="101"/>
      <x:c r="AA126" s="101"/>
      <x:c r="AB126" s="101"/>
      <x:c r="AC126" s="101"/>
      <x:c r="AD126" s="101"/>
      <x:c r="AE126" s="101"/>
    </x:row>
    <x:row r="127">
      <x:c r="A127" s="101"/>
      <x:c r="B127" s="101"/>
      <x:c r="C127" s="101"/>
      <x:c r="D127" s="101"/>
      <x:c r="E127" s="101"/>
      <x:c r="F127" s="101"/>
      <x:c r="G127" s="101"/>
      <x:c r="H127" s="101"/>
      <x:c r="I127" s="101"/>
      <x:c r="J127" s="101"/>
      <x:c r="K127" s="101"/>
      <x:c r="L127" s="101"/>
      <x:c r="M127" s="101"/>
      <x:c r="N127" s="101"/>
      <x:c r="O127" s="101"/>
      <x:c r="P127" s="101"/>
      <x:c r="Q127" s="101"/>
      <x:c r="R127" s="101"/>
      <x:c r="S127" s="101"/>
      <x:c r="T127" s="101"/>
      <x:c r="U127" s="101"/>
      <x:c r="V127" s="101"/>
      <x:c r="W127" s="101"/>
      <x:c r="X127" s="101"/>
      <x:c r="Y127" s="101"/>
      <x:c r="Z127" s="101"/>
      <x:c r="AA127" s="101"/>
      <x:c r="AB127" s="101"/>
      <x:c r="AC127" s="101"/>
      <x:c r="AD127" s="101"/>
      <x:c r="AE127" s="101"/>
    </x:row>
    <x:row r="128">
      <x:c r="A128" s="101"/>
      <x:c r="B128" s="101"/>
      <x:c r="C128" s="101"/>
      <x:c r="D128" s="101"/>
      <x:c r="E128" s="101"/>
      <x:c r="F128" s="101"/>
      <x:c r="G128" s="101"/>
      <x:c r="H128" s="101"/>
      <x:c r="I128" s="101"/>
      <x:c r="J128" s="101"/>
      <x:c r="K128" s="101"/>
      <x:c r="L128" s="101"/>
      <x:c r="M128" s="101"/>
      <x:c r="N128" s="101"/>
      <x:c r="O128" s="101"/>
      <x:c r="P128" s="101"/>
      <x:c r="Q128" s="101"/>
      <x:c r="R128" s="101"/>
      <x:c r="S128" s="101"/>
      <x:c r="T128" s="101"/>
      <x:c r="U128" s="101"/>
      <x:c r="V128" s="101"/>
      <x:c r="W128" s="101"/>
      <x:c r="X128" s="101"/>
      <x:c r="Y128" s="101"/>
      <x:c r="Z128" s="101"/>
      <x:c r="AA128" s="101"/>
      <x:c r="AB128" s="101"/>
      <x:c r="AC128" s="101"/>
      <x:c r="AD128" s="101"/>
      <x:c r="AE128" s="101"/>
    </x:row>
    <x:row r="129">
      <x:c r="A129" s="101"/>
      <x:c r="B129" s="101"/>
      <x:c r="C129" s="101"/>
      <x:c r="D129" s="101"/>
      <x:c r="E129" s="101"/>
      <x:c r="F129" s="101"/>
      <x:c r="G129" s="101"/>
      <x:c r="H129" s="101"/>
      <x:c r="I129" s="101"/>
      <x:c r="J129" s="101"/>
      <x:c r="K129" s="101"/>
      <x:c r="L129" s="101"/>
      <x:c r="M129" s="101"/>
      <x:c r="N129" s="101"/>
      <x:c r="O129" s="101"/>
      <x:c r="P129" s="101"/>
      <x:c r="Q129" s="101"/>
      <x:c r="R129" s="101"/>
      <x:c r="S129" s="101"/>
      <x:c r="T129" s="101"/>
      <x:c r="U129" s="101"/>
      <x:c r="V129" s="101"/>
      <x:c r="W129" s="101"/>
      <x:c r="X129" s="101"/>
      <x:c r="Y129" s="101"/>
      <x:c r="Z129" s="101"/>
      <x:c r="AA129" s="101"/>
      <x:c r="AB129" s="101"/>
      <x:c r="AC129" s="101"/>
      <x:c r="AD129" s="101"/>
      <x:c r="AE129" s="101"/>
    </x:row>
    <x:row r="130">
      <x:c r="A130" s="101"/>
      <x:c r="B130" s="101"/>
      <x:c r="C130" s="101"/>
      <x:c r="D130" s="101"/>
      <x:c r="E130" s="101"/>
      <x:c r="F130" s="101"/>
      <x:c r="G130" s="101"/>
      <x:c r="H130" s="101"/>
      <x:c r="I130" s="101"/>
      <x:c r="J130" s="101"/>
      <x:c r="K130" s="101"/>
      <x:c r="L130" s="101"/>
      <x:c r="M130" s="101"/>
      <x:c r="N130" s="101"/>
      <x:c r="O130" s="101"/>
      <x:c r="P130" s="101"/>
      <x:c r="Q130" s="101"/>
      <x:c r="R130" s="101"/>
      <x:c r="S130" s="101"/>
      <x:c r="T130" s="101"/>
      <x:c r="U130" s="101"/>
      <x:c r="V130" s="101"/>
      <x:c r="W130" s="101"/>
      <x:c r="X130" s="101"/>
      <x:c r="Y130" s="101"/>
      <x:c r="Z130" s="101"/>
      <x:c r="AA130" s="101"/>
      <x:c r="AB130" s="101"/>
      <x:c r="AC130" s="101"/>
      <x:c r="AD130" s="101"/>
      <x:c r="AE130" s="101"/>
    </x:row>
    <x:row r="131">
      <x:c r="A131" s="101"/>
      <x:c r="B131" s="101"/>
      <x:c r="C131" s="101"/>
      <x:c r="D131" s="101"/>
      <x:c r="E131" s="101"/>
      <x:c r="F131" s="101"/>
      <x:c r="G131" s="101"/>
      <x:c r="H131" s="101"/>
      <x:c r="I131" s="101"/>
      <x:c r="J131" s="101"/>
      <x:c r="K131" s="101"/>
      <x:c r="L131" s="101"/>
      <x:c r="M131" s="101"/>
      <x:c r="N131" s="101"/>
      <x:c r="O131" s="101"/>
      <x:c r="P131" s="101"/>
      <x:c r="Q131" s="101"/>
      <x:c r="R131" s="101"/>
      <x:c r="S131" s="101"/>
      <x:c r="T131" s="101"/>
      <x:c r="U131" s="101"/>
      <x:c r="V131" s="101"/>
      <x:c r="W131" s="101"/>
      <x:c r="X131" s="101"/>
      <x:c r="Y131" s="101"/>
      <x:c r="Z131" s="101"/>
      <x:c r="AA131" s="101"/>
      <x:c r="AB131" s="101"/>
      <x:c r="AC131" s="101"/>
      <x:c r="AD131" s="101"/>
      <x:c r="AE131" s="101"/>
    </x:row>
    <x:row r="132">
      <x:c r="A132" s="101"/>
      <x:c r="B132" s="101"/>
      <x:c r="C132" s="101"/>
      <x:c r="D132" s="101"/>
      <x:c r="E132" s="101"/>
      <x:c r="F132" s="101"/>
      <x:c r="G132" s="101"/>
      <x:c r="H132" s="101"/>
      <x:c r="I132" s="101"/>
      <x:c r="J132" s="101"/>
      <x:c r="K132" s="101"/>
      <x:c r="L132" s="101"/>
      <x:c r="M132" s="101"/>
      <x:c r="N132" s="101"/>
      <x:c r="O132" s="101"/>
      <x:c r="P132" s="101"/>
      <x:c r="Q132" s="101"/>
      <x:c r="R132" s="101"/>
      <x:c r="S132" s="101"/>
      <x:c r="T132" s="101"/>
      <x:c r="U132" s="101"/>
      <x:c r="V132" s="101"/>
      <x:c r="W132" s="101"/>
      <x:c r="X132" s="101"/>
      <x:c r="Y132" s="101"/>
      <x:c r="Z132" s="101"/>
      <x:c r="AA132" s="101"/>
      <x:c r="AB132" s="101"/>
      <x:c r="AC132" s="101"/>
      <x:c r="AD132" s="101"/>
      <x:c r="AE132" s="101"/>
    </x:row>
    <x:row r="133">
      <x:c r="A133" s="101"/>
      <x:c r="B133" s="101"/>
      <x:c r="C133" s="101"/>
      <x:c r="D133" s="101"/>
      <x:c r="E133" s="101"/>
      <x:c r="F133" s="101"/>
      <x:c r="G133" s="101"/>
      <x:c r="H133" s="101"/>
      <x:c r="I133" s="101"/>
      <x:c r="J133" s="101"/>
      <x:c r="K133" s="101"/>
      <x:c r="L133" s="101"/>
      <x:c r="M133" s="101"/>
      <x:c r="N133" s="101"/>
      <x:c r="O133" s="101"/>
      <x:c r="P133" s="101"/>
      <x:c r="Q133" s="101"/>
      <x:c r="R133" s="101"/>
      <x:c r="S133" s="101"/>
      <x:c r="T133" s="101"/>
      <x:c r="U133" s="101"/>
      <x:c r="V133" s="101"/>
      <x:c r="W133" s="101"/>
      <x:c r="X133" s="101"/>
      <x:c r="Y133" s="101"/>
      <x:c r="Z133" s="101"/>
      <x:c r="AA133" s="101"/>
      <x:c r="AB133" s="101"/>
      <x:c r="AC133" s="101"/>
      <x:c r="AD133" s="101"/>
      <x:c r="AE133" s="101"/>
    </x:row>
    <x:row r="134">
      <x:c r="A134" s="101"/>
      <x:c r="B134" s="101"/>
      <x:c r="C134" s="101"/>
      <x:c r="D134" s="101"/>
      <x:c r="E134" s="101"/>
      <x:c r="F134" s="101"/>
      <x:c r="G134" s="101"/>
      <x:c r="H134" s="101"/>
      <x:c r="I134" s="101"/>
      <x:c r="J134" s="101"/>
      <x:c r="K134" s="101"/>
      <x:c r="L134" s="101"/>
      <x:c r="M134" s="101"/>
      <x:c r="N134" s="101"/>
      <x:c r="O134" s="101"/>
      <x:c r="P134" s="101"/>
      <x:c r="Q134" s="101"/>
      <x:c r="R134" s="101"/>
      <x:c r="S134" s="101"/>
      <x:c r="T134" s="101"/>
      <x:c r="U134" s="101"/>
      <x:c r="V134" s="101"/>
      <x:c r="W134" s="101"/>
      <x:c r="X134" s="101"/>
      <x:c r="Y134" s="101"/>
      <x:c r="Z134" s="101"/>
      <x:c r="AA134" s="101"/>
      <x:c r="AB134" s="101"/>
      <x:c r="AC134" s="101"/>
      <x:c r="AD134" s="101"/>
      <x:c r="AE134" s="101"/>
    </x:row>
    <x:row r="135">
      <x:c r="A135" s="101"/>
      <x:c r="B135" s="101"/>
      <x:c r="C135" s="101"/>
      <x:c r="D135" s="101"/>
      <x:c r="E135" s="101"/>
      <x:c r="F135" s="101"/>
      <x:c r="G135" s="101"/>
      <x:c r="H135" s="101"/>
      <x:c r="I135" s="101"/>
      <x:c r="J135" s="101"/>
      <x:c r="K135" s="101"/>
      <x:c r="L135" s="101"/>
      <x:c r="M135" s="101"/>
      <x:c r="N135" s="101"/>
      <x:c r="O135" s="101"/>
      <x:c r="P135" s="101"/>
      <x:c r="Q135" s="101"/>
      <x:c r="R135" s="101"/>
      <x:c r="S135" s="101"/>
      <x:c r="T135" s="101"/>
      <x:c r="U135" s="101"/>
      <x:c r="V135" s="101"/>
      <x:c r="W135" s="101"/>
      <x:c r="X135" s="101"/>
      <x:c r="Y135" s="101"/>
      <x:c r="Z135" s="101"/>
      <x:c r="AA135" s="101"/>
      <x:c r="AB135" s="101"/>
      <x:c r="AC135" s="101"/>
      <x:c r="AD135" s="101"/>
      <x:c r="AE135" s="101"/>
    </x:row>
    <x:row r="136">
      <x:c r="A136" s="101"/>
      <x:c r="B136" s="101"/>
      <x:c r="C136" s="101"/>
      <x:c r="D136" s="101"/>
      <x:c r="E136" s="101"/>
      <x:c r="F136" s="101"/>
      <x:c r="G136" s="101"/>
      <x:c r="H136" s="101"/>
      <x:c r="I136" s="101"/>
      <x:c r="J136" s="101"/>
      <x:c r="K136" s="101"/>
      <x:c r="L136" s="101"/>
      <x:c r="M136" s="101"/>
      <x:c r="N136" s="101"/>
      <x:c r="O136" s="101"/>
      <x:c r="P136" s="101"/>
      <x:c r="Q136" s="101"/>
      <x:c r="R136" s="101"/>
      <x:c r="S136" s="101"/>
      <x:c r="T136" s="101"/>
      <x:c r="U136" s="101"/>
      <x:c r="V136" s="101"/>
      <x:c r="W136" s="101"/>
      <x:c r="X136" s="101"/>
      <x:c r="Y136" s="101"/>
      <x:c r="Z136" s="101"/>
      <x:c r="AA136" s="101"/>
      <x:c r="AB136" s="101"/>
      <x:c r="AC136" s="101"/>
      <x:c r="AD136" s="101"/>
      <x:c r="AE136" s="101"/>
    </x:row>
    <x:row r="137">
      <x:c r="A137" s="101"/>
      <x:c r="B137" s="101"/>
      <x:c r="C137" s="101"/>
      <x:c r="D137" s="101"/>
      <x:c r="E137" s="101"/>
      <x:c r="F137" s="101"/>
      <x:c r="G137" s="101"/>
      <x:c r="H137" s="101"/>
      <x:c r="I137" s="101"/>
      <x:c r="J137" s="101"/>
      <x:c r="K137" s="101"/>
      <x:c r="L137" s="101"/>
      <x:c r="M137" s="101"/>
      <x:c r="N137" s="101"/>
      <x:c r="O137" s="101"/>
      <x:c r="P137" s="101"/>
      <x:c r="Q137" s="101"/>
      <x:c r="R137" s="101"/>
      <x:c r="S137" s="101"/>
      <x:c r="T137" s="101"/>
      <x:c r="U137" s="101"/>
      <x:c r="V137" s="101"/>
      <x:c r="W137" s="101"/>
      <x:c r="X137" s="101"/>
      <x:c r="Y137" s="101"/>
      <x:c r="Z137" s="101"/>
      <x:c r="AA137" s="101"/>
      <x:c r="AB137" s="101"/>
      <x:c r="AC137" s="101"/>
      <x:c r="AD137" s="101"/>
      <x:c r="AE137" s="101"/>
    </x:row>
    <x:row r="138">
      <x:c r="A138" s="101"/>
      <x:c r="B138" s="101"/>
      <x:c r="C138" s="101"/>
      <x:c r="D138" s="101"/>
      <x:c r="E138" s="101"/>
      <x:c r="F138" s="101"/>
      <x:c r="G138" s="101"/>
      <x:c r="H138" s="101"/>
      <x:c r="I138" s="101"/>
      <x:c r="J138" s="101"/>
      <x:c r="K138" s="101"/>
      <x:c r="L138" s="101"/>
      <x:c r="M138" s="101"/>
      <x:c r="N138" s="101"/>
      <x:c r="O138" s="101"/>
      <x:c r="P138" s="101"/>
      <x:c r="Q138" s="101"/>
      <x:c r="R138" s="101"/>
      <x:c r="S138" s="101"/>
      <x:c r="T138" s="101"/>
      <x:c r="U138" s="101"/>
      <x:c r="V138" s="101"/>
      <x:c r="W138" s="101"/>
      <x:c r="X138" s="101"/>
      <x:c r="Y138" s="101"/>
      <x:c r="Z138" s="101"/>
      <x:c r="AA138" s="101"/>
      <x:c r="AB138" s="101"/>
      <x:c r="AC138" s="101"/>
      <x:c r="AD138" s="101"/>
      <x:c r="AE138" s="101"/>
    </x:row>
    <x:row r="139">
      <x:c r="A139" s="101"/>
      <x:c r="B139" s="101"/>
      <x:c r="C139" s="101"/>
      <x:c r="D139" s="101"/>
      <x:c r="E139" s="101"/>
      <x:c r="F139" s="101"/>
      <x:c r="G139" s="101"/>
      <x:c r="H139" s="101"/>
      <x:c r="I139" s="101"/>
      <x:c r="J139" s="101"/>
      <x:c r="K139" s="101"/>
      <x:c r="L139" s="101"/>
      <x:c r="M139" s="101"/>
      <x:c r="N139" s="101"/>
      <x:c r="O139" s="101"/>
      <x:c r="P139" s="101"/>
      <x:c r="Q139" s="101"/>
      <x:c r="R139" s="101"/>
      <x:c r="S139" s="101"/>
      <x:c r="T139" s="101"/>
      <x:c r="U139" s="101"/>
      <x:c r="V139" s="101"/>
      <x:c r="W139" s="101"/>
      <x:c r="X139" s="101"/>
      <x:c r="Y139" s="101"/>
      <x:c r="Z139" s="101"/>
      <x:c r="AA139" s="101"/>
      <x:c r="AB139" s="101"/>
      <x:c r="AC139" s="101"/>
      <x:c r="AD139" s="101"/>
      <x:c r="AE139" s="101"/>
    </x:row>
    <x:row r="140">
      <x:c r="A140" s="101"/>
      <x:c r="B140" s="101"/>
      <x:c r="C140" s="101"/>
      <x:c r="D140" s="101"/>
      <x:c r="E140" s="101"/>
      <x:c r="F140" s="101"/>
      <x:c r="G140" s="101"/>
      <x:c r="H140" s="101"/>
      <x:c r="I140" s="101"/>
      <x:c r="J140" s="101"/>
      <x:c r="K140" s="101"/>
      <x:c r="L140" s="101"/>
      <x:c r="M140" s="101"/>
      <x:c r="N140" s="101"/>
      <x:c r="O140" s="101"/>
      <x:c r="P140" s="101"/>
      <x:c r="Q140" s="101"/>
      <x:c r="R140" s="101"/>
      <x:c r="S140" s="101"/>
      <x:c r="T140" s="101"/>
      <x:c r="U140" s="101"/>
      <x:c r="V140" s="101"/>
      <x:c r="W140" s="101"/>
      <x:c r="X140" s="101"/>
      <x:c r="Y140" s="101"/>
      <x:c r="Z140" s="101"/>
      <x:c r="AA140" s="101"/>
      <x:c r="AB140" s="101"/>
      <x:c r="AC140" s="101"/>
      <x:c r="AD140" s="101"/>
      <x:c r="AE140" s="101"/>
    </x:row>
    <x:row r="141">
      <x:c r="A141" s="101"/>
      <x:c r="B141" s="101"/>
      <x:c r="C141" s="101"/>
      <x:c r="D141" s="101"/>
      <x:c r="E141" s="101"/>
      <x:c r="F141" s="101"/>
      <x:c r="G141" s="101"/>
      <x:c r="H141" s="101"/>
      <x:c r="I141" s="101"/>
      <x:c r="J141" s="101"/>
      <x:c r="K141" s="101"/>
      <x:c r="L141" s="101"/>
      <x:c r="M141" s="101"/>
      <x:c r="N141" s="101"/>
      <x:c r="O141" s="101"/>
      <x:c r="P141" s="101"/>
      <x:c r="Q141" s="101"/>
      <x:c r="R141" s="101"/>
      <x:c r="S141" s="101"/>
      <x:c r="T141" s="101"/>
      <x:c r="U141" s="101"/>
      <x:c r="V141" s="101"/>
      <x:c r="W141" s="101"/>
      <x:c r="X141" s="101"/>
      <x:c r="Y141" s="101"/>
      <x:c r="Z141" s="101"/>
      <x:c r="AA141" s="101"/>
      <x:c r="AB141" s="101"/>
      <x:c r="AC141" s="101"/>
      <x:c r="AD141" s="101"/>
      <x:c r="AE141" s="101"/>
    </x:row>
    <x:row r="142">
      <x:c r="A142" s="101"/>
      <x:c r="B142" s="101"/>
      <x:c r="C142" s="101"/>
      <x:c r="D142" s="101"/>
      <x:c r="E142" s="101"/>
      <x:c r="F142" s="101"/>
      <x:c r="G142" s="101"/>
      <x:c r="H142" s="101"/>
      <x:c r="I142" s="101"/>
      <x:c r="J142" s="101"/>
      <x:c r="K142" s="101"/>
      <x:c r="L142" s="101"/>
      <x:c r="M142" s="101"/>
      <x:c r="N142" s="101"/>
      <x:c r="O142" s="101"/>
      <x:c r="P142" s="101"/>
      <x:c r="Q142" s="101"/>
      <x:c r="R142" s="101"/>
      <x:c r="S142" s="101"/>
      <x:c r="T142" s="101"/>
      <x:c r="U142" s="101"/>
      <x:c r="V142" s="101"/>
      <x:c r="W142" s="101"/>
      <x:c r="X142" s="101"/>
      <x:c r="Y142" s="101"/>
      <x:c r="Z142" s="101"/>
      <x:c r="AA142" s="101"/>
      <x:c r="AB142" s="101"/>
      <x:c r="AC142" s="101"/>
      <x:c r="AD142" s="101"/>
      <x:c r="AE142" s="101"/>
    </x:row>
    <x:row r="143">
      <x:c r="A143" s="101"/>
      <x:c r="B143" s="101"/>
      <x:c r="C143" s="101"/>
      <x:c r="D143" s="101"/>
      <x:c r="E143" s="101"/>
      <x:c r="F143" s="101"/>
      <x:c r="G143" s="101"/>
      <x:c r="H143" s="101"/>
      <x:c r="I143" s="101"/>
      <x:c r="J143" s="101"/>
      <x:c r="K143" s="101"/>
      <x:c r="L143" s="101"/>
      <x:c r="M143" s="101"/>
      <x:c r="N143" s="101"/>
      <x:c r="O143" s="101"/>
      <x:c r="P143" s="101"/>
      <x:c r="Q143" s="101"/>
      <x:c r="R143" s="101"/>
      <x:c r="S143" s="101"/>
      <x:c r="T143" s="101"/>
      <x:c r="U143" s="101"/>
      <x:c r="V143" s="101"/>
      <x:c r="W143" s="101"/>
      <x:c r="X143" s="101"/>
      <x:c r="Y143" s="101"/>
      <x:c r="Z143" s="101"/>
      <x:c r="AA143" s="101"/>
      <x:c r="AB143" s="101"/>
      <x:c r="AC143" s="101"/>
      <x:c r="AD143" s="101"/>
      <x:c r="AE143" s="101"/>
    </x:row>
    <x:row r="144">
      <x:c r="A144" s="101"/>
      <x:c r="B144" s="101"/>
      <x:c r="C144" s="101"/>
      <x:c r="D144" s="101"/>
      <x:c r="E144" s="101"/>
      <x:c r="F144" s="101"/>
      <x:c r="G144" s="101"/>
      <x:c r="H144" s="101"/>
      <x:c r="I144" s="101"/>
      <x:c r="J144" s="101"/>
      <x:c r="K144" s="101"/>
      <x:c r="L144" s="101"/>
      <x:c r="M144" s="101"/>
      <x:c r="N144" s="101"/>
      <x:c r="O144" s="101"/>
      <x:c r="P144" s="101"/>
      <x:c r="Q144" s="101"/>
      <x:c r="R144" s="101"/>
      <x:c r="S144" s="101"/>
      <x:c r="T144" s="101"/>
      <x:c r="U144" s="101"/>
      <x:c r="V144" s="101"/>
      <x:c r="W144" s="101"/>
      <x:c r="X144" s="101"/>
      <x:c r="Y144" s="101"/>
      <x:c r="Z144" s="101"/>
      <x:c r="AA144" s="101"/>
      <x:c r="AB144" s="101"/>
      <x:c r="AC144" s="101"/>
      <x:c r="AD144" s="101"/>
      <x:c r="AE144" s="101"/>
    </x:row>
    <x:row r="145">
      <x:c r="A145" s="101"/>
      <x:c r="B145" s="101"/>
      <x:c r="C145" s="101"/>
      <x:c r="D145" s="101"/>
      <x:c r="E145" s="101"/>
      <x:c r="F145" s="101"/>
      <x:c r="G145" s="101"/>
      <x:c r="H145" s="101"/>
      <x:c r="I145" s="101"/>
      <x:c r="J145" s="101"/>
      <x:c r="K145" s="101"/>
      <x:c r="L145" s="101"/>
      <x:c r="M145" s="101"/>
      <x:c r="N145" s="101"/>
      <x:c r="O145" s="101"/>
      <x:c r="P145" s="101"/>
      <x:c r="Q145" s="101"/>
      <x:c r="R145" s="101"/>
      <x:c r="S145" s="101"/>
      <x:c r="T145" s="101"/>
      <x:c r="U145" s="101"/>
      <x:c r="V145" s="101"/>
      <x:c r="W145" s="101"/>
      <x:c r="X145" s="101"/>
      <x:c r="Y145" s="101"/>
      <x:c r="Z145" s="101"/>
      <x:c r="AA145" s="101"/>
      <x:c r="AB145" s="101"/>
      <x:c r="AC145" s="101"/>
      <x:c r="AD145" s="101"/>
      <x:c r="AE145" s="101"/>
    </x:row>
    <x:row r="146">
      <x:c r="A146" s="101"/>
      <x:c r="B146" s="101"/>
      <x:c r="C146" s="101"/>
      <x:c r="D146" s="101"/>
      <x:c r="E146" s="101"/>
      <x:c r="F146" s="101"/>
      <x:c r="G146" s="101"/>
      <x:c r="H146" s="101"/>
      <x:c r="I146" s="101"/>
      <x:c r="J146" s="101"/>
      <x:c r="K146" s="101"/>
      <x:c r="L146" s="101"/>
      <x:c r="M146" s="101"/>
      <x:c r="N146" s="101"/>
      <x:c r="O146" s="101"/>
      <x:c r="P146" s="101"/>
      <x:c r="Q146" s="101"/>
      <x:c r="R146" s="101"/>
      <x:c r="S146" s="101"/>
      <x:c r="T146" s="101"/>
      <x:c r="U146" s="101"/>
      <x:c r="V146" s="101"/>
      <x:c r="W146" s="101"/>
      <x:c r="X146" s="101"/>
      <x:c r="Y146" s="101"/>
      <x:c r="Z146" s="101"/>
      <x:c r="AA146" s="101"/>
      <x:c r="AB146" s="101"/>
      <x:c r="AC146" s="101"/>
      <x:c r="AD146" s="101"/>
      <x:c r="AE146" s="101"/>
    </x:row>
    <x:row r="147">
      <x:c r="A147" s="101"/>
      <x:c r="B147" s="101"/>
      <x:c r="C147" s="101"/>
      <x:c r="D147" s="101"/>
      <x:c r="E147" s="101"/>
      <x:c r="F147" s="101"/>
      <x:c r="G147" s="101"/>
      <x:c r="H147" s="101"/>
      <x:c r="I147" s="101"/>
      <x:c r="J147" s="101"/>
      <x:c r="K147" s="101"/>
      <x:c r="L147" s="101"/>
      <x:c r="M147" s="101"/>
      <x:c r="N147" s="101"/>
      <x:c r="O147" s="101"/>
      <x:c r="P147" s="101"/>
      <x:c r="Q147" s="101"/>
      <x:c r="R147" s="101"/>
      <x:c r="S147" s="101"/>
      <x:c r="T147" s="101"/>
      <x:c r="U147" s="101"/>
      <x:c r="V147" s="101"/>
      <x:c r="W147" s="101"/>
      <x:c r="X147" s="101"/>
      <x:c r="Y147" s="101"/>
      <x:c r="Z147" s="101"/>
      <x:c r="AA147" s="101"/>
      <x:c r="AB147" s="101"/>
      <x:c r="AC147" s="101"/>
      <x:c r="AD147" s="101"/>
      <x:c r="AE147" s="101"/>
    </x:row>
    <x:row r="148">
      <x:c r="A148" s="101"/>
      <x:c r="B148" s="101"/>
      <x:c r="C148" s="101"/>
      <x:c r="D148" s="101"/>
      <x:c r="E148" s="101"/>
      <x:c r="F148" s="101"/>
      <x:c r="G148" s="101"/>
      <x:c r="H148" s="101"/>
      <x:c r="I148" s="101"/>
      <x:c r="J148" s="101"/>
      <x:c r="K148" s="101"/>
      <x:c r="L148" s="101"/>
      <x:c r="M148" s="101"/>
      <x:c r="N148" s="101"/>
      <x:c r="O148" s="101"/>
      <x:c r="P148" s="101"/>
      <x:c r="Q148" s="101"/>
      <x:c r="R148" s="101"/>
      <x:c r="S148" s="101"/>
      <x:c r="T148" s="101"/>
      <x:c r="U148" s="101"/>
      <x:c r="V148" s="101"/>
      <x:c r="W148" s="101"/>
      <x:c r="X148" s="101"/>
      <x:c r="Y148" s="101"/>
      <x:c r="Z148" s="101"/>
      <x:c r="AA148" s="101"/>
      <x:c r="AB148" s="101"/>
      <x:c r="AC148" s="101"/>
      <x:c r="AD148" s="101"/>
      <x:c r="AE148" s="101"/>
    </x:row>
    <x:row r="149">
      <x:c r="A149" s="101"/>
      <x:c r="B149" s="101"/>
      <x:c r="C149" s="101"/>
      <x:c r="D149" s="101"/>
      <x:c r="E149" s="101"/>
      <x:c r="F149" s="101"/>
      <x:c r="G149" s="101"/>
      <x:c r="H149" s="101"/>
      <x:c r="I149" s="101"/>
      <x:c r="J149" s="101"/>
      <x:c r="K149" s="101"/>
      <x:c r="L149" s="101"/>
      <x:c r="M149" s="101"/>
      <x:c r="N149" s="101"/>
      <x:c r="O149" s="101"/>
      <x:c r="P149" s="101"/>
      <x:c r="Q149" s="101"/>
      <x:c r="R149" s="101"/>
      <x:c r="S149" s="101"/>
      <x:c r="T149" s="101"/>
      <x:c r="U149" s="101"/>
      <x:c r="V149" s="101"/>
      <x:c r="W149" s="101"/>
      <x:c r="X149" s="101"/>
      <x:c r="Y149" s="101"/>
      <x:c r="Z149" s="101"/>
      <x:c r="AA149" s="101"/>
      <x:c r="AB149" s="101"/>
      <x:c r="AC149" s="101"/>
      <x:c r="AD149" s="101"/>
      <x:c r="AE149" s="101"/>
    </x:row>
    <x:row r="150">
      <x:c r="A150" s="101"/>
      <x:c r="B150" s="101"/>
      <x:c r="C150" s="101"/>
      <x:c r="D150" s="101"/>
      <x:c r="E150" s="101"/>
      <x:c r="F150" s="101"/>
      <x:c r="G150" s="101"/>
      <x:c r="H150" s="101"/>
      <x:c r="I150" s="101"/>
      <x:c r="J150" s="101"/>
      <x:c r="K150" s="101"/>
      <x:c r="L150" s="101"/>
      <x:c r="M150" s="101"/>
      <x:c r="N150" s="101"/>
      <x:c r="O150" s="101"/>
      <x:c r="P150" s="101"/>
      <x:c r="Q150" s="101"/>
      <x:c r="R150" s="101"/>
      <x:c r="S150" s="101"/>
      <x:c r="T150" s="101"/>
      <x:c r="U150" s="101"/>
      <x:c r="V150" s="101"/>
      <x:c r="W150" s="101"/>
      <x:c r="X150" s="101"/>
      <x:c r="Y150" s="101"/>
      <x:c r="Z150" s="101"/>
      <x:c r="AA150" s="101"/>
      <x:c r="AB150" s="101"/>
      <x:c r="AC150" s="101"/>
      <x:c r="AD150" s="101"/>
      <x:c r="AE150" s="101"/>
    </x:row>
    <x:row r="151">
      <x:c r="A151" s="101"/>
      <x:c r="B151" s="101"/>
      <x:c r="C151" s="101"/>
      <x:c r="D151" s="101"/>
      <x:c r="E151" s="101"/>
      <x:c r="F151" s="101"/>
      <x:c r="G151" s="101"/>
      <x:c r="H151" s="101"/>
      <x:c r="I151" s="101"/>
      <x:c r="J151" s="101"/>
      <x:c r="K151" s="101"/>
      <x:c r="L151" s="101"/>
      <x:c r="M151" s="101"/>
      <x:c r="N151" s="101"/>
      <x:c r="O151" s="101"/>
      <x:c r="P151" s="101"/>
      <x:c r="Q151" s="101"/>
      <x:c r="R151" s="101"/>
      <x:c r="S151" s="101"/>
      <x:c r="T151" s="101"/>
      <x:c r="U151" s="101"/>
      <x:c r="V151" s="101"/>
      <x:c r="W151" s="101"/>
      <x:c r="X151" s="101"/>
      <x:c r="Y151" s="101"/>
      <x:c r="Z151" s="101"/>
      <x:c r="AA151" s="101"/>
      <x:c r="AB151" s="101"/>
      <x:c r="AC151" s="101"/>
      <x:c r="AD151" s="101"/>
      <x:c r="AE151" s="101"/>
    </x:row>
    <x:row r="152">
      <x:c r="A152" s="101"/>
      <x:c r="B152" s="101"/>
      <x:c r="C152" s="101"/>
      <x:c r="D152" s="101"/>
      <x:c r="E152" s="101"/>
      <x:c r="F152" s="101"/>
      <x:c r="G152" s="101"/>
      <x:c r="H152" s="101"/>
      <x:c r="I152" s="101"/>
      <x:c r="J152" s="101"/>
      <x:c r="K152" s="101"/>
      <x:c r="L152" s="101"/>
      <x:c r="M152" s="101"/>
      <x:c r="N152" s="101"/>
      <x:c r="O152" s="101"/>
      <x:c r="P152" s="101"/>
      <x:c r="Q152" s="101"/>
      <x:c r="R152" s="101"/>
      <x:c r="S152" s="101"/>
      <x:c r="T152" s="101"/>
      <x:c r="U152" s="101"/>
      <x:c r="V152" s="101"/>
      <x:c r="W152" s="101"/>
      <x:c r="X152" s="101"/>
      <x:c r="Y152" s="101"/>
      <x:c r="Z152" s="101"/>
      <x:c r="AA152" s="101"/>
      <x:c r="AB152" s="101"/>
      <x:c r="AC152" s="101"/>
      <x:c r="AD152" s="101"/>
      <x:c r="AE152" s="101"/>
    </x:row>
    <x:row r="153">
      <x:c r="A153" s="101"/>
      <x:c r="B153" s="101"/>
      <x:c r="C153" s="101"/>
      <x:c r="D153" s="101"/>
      <x:c r="E153" s="101"/>
      <x:c r="F153" s="101"/>
      <x:c r="G153" s="101"/>
      <x:c r="H153" s="101"/>
      <x:c r="I153" s="101"/>
      <x:c r="J153" s="101"/>
      <x:c r="K153" s="101"/>
      <x:c r="L153" s="101"/>
      <x:c r="M153" s="101"/>
      <x:c r="N153" s="101"/>
      <x:c r="O153" s="101"/>
      <x:c r="P153" s="101"/>
      <x:c r="Q153" s="101"/>
      <x:c r="R153" s="101"/>
      <x:c r="S153" s="101"/>
      <x:c r="T153" s="101"/>
      <x:c r="U153" s="101"/>
      <x:c r="V153" s="101"/>
      <x:c r="W153" s="101"/>
      <x:c r="X153" s="101"/>
      <x:c r="Y153" s="101"/>
      <x:c r="Z153" s="101"/>
      <x:c r="AA153" s="101"/>
      <x:c r="AB153" s="101"/>
      <x:c r="AC153" s="101"/>
      <x:c r="AD153" s="101"/>
      <x:c r="AE153" s="101"/>
    </x:row>
    <x:row r="154">
      <x:c r="A154" s="101"/>
      <x:c r="B154" s="101"/>
      <x:c r="C154" s="101"/>
      <x:c r="D154" s="101"/>
      <x:c r="E154" s="101"/>
      <x:c r="F154" s="101"/>
      <x:c r="G154" s="101"/>
      <x:c r="H154" s="101"/>
      <x:c r="I154" s="101"/>
      <x:c r="J154" s="101"/>
      <x:c r="K154" s="101"/>
      <x:c r="L154" s="101"/>
      <x:c r="M154" s="101"/>
      <x:c r="N154" s="101"/>
      <x:c r="O154" s="101"/>
      <x:c r="P154" s="101"/>
      <x:c r="Q154" s="101"/>
      <x:c r="R154" s="101"/>
      <x:c r="S154" s="101"/>
      <x:c r="T154" s="101"/>
      <x:c r="U154" s="101"/>
      <x:c r="V154" s="101"/>
      <x:c r="W154" s="101"/>
      <x:c r="X154" s="101"/>
      <x:c r="Y154" s="101"/>
      <x:c r="Z154" s="101"/>
      <x:c r="AA154" s="101"/>
      <x:c r="AB154" s="101"/>
      <x:c r="AC154" s="101"/>
      <x:c r="AD154" s="101"/>
      <x:c r="AE154" s="101"/>
    </x:row>
    <x:row r="155">
      <x:c r="A155" s="101"/>
      <x:c r="B155" s="101"/>
      <x:c r="C155" s="101"/>
      <x:c r="D155" s="101"/>
      <x:c r="E155" s="101"/>
      <x:c r="F155" s="101"/>
      <x:c r="G155" s="101"/>
      <x:c r="H155" s="101"/>
      <x:c r="I155" s="101"/>
      <x:c r="J155" s="101"/>
      <x:c r="K155" s="101"/>
      <x:c r="L155" s="101"/>
      <x:c r="M155" s="101"/>
      <x:c r="N155" s="101"/>
      <x:c r="O155" s="101"/>
      <x:c r="P155" s="101"/>
      <x:c r="Q155" s="101"/>
      <x:c r="R155" s="101"/>
      <x:c r="S155" s="101"/>
      <x:c r="T155" s="101"/>
      <x:c r="U155" s="101"/>
      <x:c r="V155" s="101"/>
      <x:c r="W155" s="101"/>
      <x:c r="X155" s="101"/>
      <x:c r="Y155" s="101"/>
      <x:c r="Z155" s="101"/>
      <x:c r="AA155" s="101"/>
      <x:c r="AB155" s="101"/>
      <x:c r="AC155" s="101"/>
      <x:c r="AD155" s="101"/>
      <x:c r="AE155" s="101"/>
    </x:row>
    <x:row r="156">
      <x:c r="A156" s="101"/>
      <x:c r="B156" s="101"/>
      <x:c r="C156" s="101"/>
      <x:c r="D156" s="101"/>
      <x:c r="E156" s="101"/>
      <x:c r="F156" s="101"/>
      <x:c r="G156" s="101"/>
      <x:c r="H156" s="101"/>
      <x:c r="I156" s="101"/>
      <x:c r="J156" s="101"/>
      <x:c r="K156" s="101"/>
      <x:c r="L156" s="101"/>
      <x:c r="M156" s="101"/>
      <x:c r="N156" s="101"/>
      <x:c r="O156" s="101"/>
      <x:c r="P156" s="101"/>
      <x:c r="Q156" s="101"/>
      <x:c r="R156" s="101"/>
      <x:c r="S156" s="101"/>
      <x:c r="T156" s="101"/>
      <x:c r="U156" s="101"/>
      <x:c r="V156" s="101"/>
      <x:c r="W156" s="101"/>
      <x:c r="X156" s="101"/>
      <x:c r="Y156" s="101"/>
      <x:c r="Z156" s="101"/>
      <x:c r="AA156" s="101"/>
      <x:c r="AB156" s="101"/>
      <x:c r="AC156" s="101"/>
      <x:c r="AD156" s="101"/>
      <x:c r="AE156" s="101"/>
    </x:row>
    <x:row r="157">
      <x:c r="A157" s="101"/>
      <x:c r="B157" s="101"/>
      <x:c r="C157" s="101"/>
      <x:c r="D157" s="101"/>
      <x:c r="E157" s="101"/>
      <x:c r="F157" s="101"/>
      <x:c r="G157" s="101"/>
      <x:c r="H157" s="101"/>
      <x:c r="I157" s="101"/>
      <x:c r="J157" s="101"/>
      <x:c r="K157" s="101"/>
      <x:c r="L157" s="101"/>
      <x:c r="M157" s="101"/>
      <x:c r="N157" s="101"/>
      <x:c r="O157" s="101"/>
      <x:c r="P157" s="101"/>
      <x:c r="Q157" s="101"/>
      <x:c r="R157" s="101"/>
      <x:c r="S157" s="101"/>
      <x:c r="T157" s="101"/>
      <x:c r="U157" s="101"/>
      <x:c r="V157" s="101"/>
      <x:c r="W157" s="101"/>
      <x:c r="X157" s="101"/>
      <x:c r="Y157" s="101"/>
      <x:c r="Z157" s="101"/>
      <x:c r="AA157" s="101"/>
      <x:c r="AB157" s="101"/>
      <x:c r="AC157" s="101"/>
      <x:c r="AD157" s="101"/>
      <x:c r="AE157" s="101"/>
    </x:row>
    <x:row r="158">
      <x:c r="A158" s="101"/>
      <x:c r="B158" s="101"/>
      <x:c r="C158" s="101"/>
      <x:c r="D158" s="101"/>
      <x:c r="E158" s="101"/>
      <x:c r="F158" s="101"/>
      <x:c r="G158" s="101"/>
      <x:c r="H158" s="101"/>
      <x:c r="I158" s="101"/>
      <x:c r="J158" s="101"/>
      <x:c r="K158" s="101"/>
      <x:c r="L158" s="101"/>
      <x:c r="M158" s="101"/>
      <x:c r="N158" s="101"/>
      <x:c r="O158" s="101"/>
      <x:c r="P158" s="101"/>
      <x:c r="Q158" s="101"/>
      <x:c r="R158" s="101"/>
      <x:c r="S158" s="101"/>
      <x:c r="T158" s="101"/>
      <x:c r="U158" s="101"/>
      <x:c r="V158" s="101"/>
      <x:c r="W158" s="101"/>
      <x:c r="X158" s="101"/>
      <x:c r="Y158" s="101"/>
      <x:c r="Z158" s="101"/>
      <x:c r="AA158" s="101"/>
      <x:c r="AB158" s="101"/>
      <x:c r="AC158" s="101"/>
      <x:c r="AD158" s="101"/>
      <x:c r="AE158" s="101"/>
    </x:row>
    <x:row r="159">
      <x:c r="A159" s="101"/>
      <x:c r="B159" s="101"/>
      <x:c r="C159" s="101"/>
      <x:c r="D159" s="101"/>
      <x:c r="E159" s="101"/>
      <x:c r="F159" s="101"/>
      <x:c r="G159" s="101"/>
      <x:c r="H159" s="101"/>
      <x:c r="I159" s="101"/>
      <x:c r="J159" s="101"/>
      <x:c r="K159" s="101"/>
      <x:c r="L159" s="101"/>
      <x:c r="M159" s="101"/>
      <x:c r="N159" s="101"/>
      <x:c r="O159" s="101"/>
      <x:c r="P159" s="101"/>
      <x:c r="Q159" s="101"/>
      <x:c r="R159" s="101"/>
      <x:c r="S159" s="101"/>
      <x:c r="T159" s="101"/>
      <x:c r="U159" s="101"/>
      <x:c r="V159" s="101"/>
      <x:c r="W159" s="101"/>
      <x:c r="X159" s="101"/>
      <x:c r="Y159" s="101"/>
      <x:c r="Z159" s="101"/>
      <x:c r="AA159" s="101"/>
      <x:c r="AB159" s="101"/>
      <x:c r="AC159" s="101"/>
      <x:c r="AD159" s="101"/>
      <x:c r="AE159" s="101"/>
    </x:row>
    <x:row r="160">
      <x:c r="A160" s="101"/>
      <x:c r="B160" s="101"/>
      <x:c r="C160" s="101"/>
      <x:c r="D160" s="101"/>
      <x:c r="E160" s="101"/>
      <x:c r="F160" s="101"/>
      <x:c r="G160" s="101"/>
      <x:c r="H160" s="101"/>
      <x:c r="I160" s="101"/>
      <x:c r="J160" s="101"/>
      <x:c r="K160" s="101"/>
      <x:c r="L160" s="101"/>
      <x:c r="M160" s="101"/>
      <x:c r="N160" s="101"/>
      <x:c r="O160" s="101"/>
      <x:c r="P160" s="101"/>
      <x:c r="Q160" s="101"/>
      <x:c r="R160" s="101"/>
      <x:c r="S160" s="101"/>
      <x:c r="T160" s="101"/>
      <x:c r="U160" s="101"/>
      <x:c r="V160" s="101"/>
      <x:c r="W160" s="101"/>
      <x:c r="X160" s="101"/>
      <x:c r="Y160" s="101"/>
      <x:c r="Z160" s="101"/>
      <x:c r="AA160" s="101"/>
      <x:c r="AB160" s="101"/>
      <x:c r="AC160" s="101"/>
      <x:c r="AD160" s="101"/>
      <x:c r="AE160" s="101"/>
    </x:row>
    <x:row r="161">
      <x:c r="A161" s="101"/>
      <x:c r="B161" s="101"/>
      <x:c r="C161" s="101"/>
      <x:c r="D161" s="101"/>
      <x:c r="E161" s="101"/>
      <x:c r="F161" s="101"/>
      <x:c r="G161" s="101"/>
      <x:c r="H161" s="101"/>
      <x:c r="I161" s="101"/>
      <x:c r="J161" s="101"/>
      <x:c r="K161" s="101"/>
      <x:c r="L161" s="101"/>
      <x:c r="M161" s="101"/>
      <x:c r="N161" s="101"/>
      <x:c r="O161" s="101"/>
      <x:c r="P161" s="101"/>
      <x:c r="Q161" s="101"/>
      <x:c r="R161" s="101"/>
      <x:c r="S161" s="101"/>
      <x:c r="T161" s="101"/>
      <x:c r="U161" s="101"/>
      <x:c r="V161" s="101"/>
      <x:c r="W161" s="101"/>
      <x:c r="X161" s="101"/>
      <x:c r="Y161" s="101"/>
      <x:c r="Z161" s="101"/>
      <x:c r="AA161" s="101"/>
      <x:c r="AB161" s="101"/>
      <x:c r="AC161" s="101"/>
      <x:c r="AD161" s="101"/>
      <x:c r="AE161" s="101"/>
    </x:row>
    <x:row r="162">
      <x:c r="A162" s="101"/>
      <x:c r="B162" s="101"/>
      <x:c r="C162" s="101"/>
      <x:c r="D162" s="101"/>
      <x:c r="E162" s="101"/>
      <x:c r="F162" s="101"/>
      <x:c r="G162" s="101"/>
      <x:c r="H162" s="101"/>
      <x:c r="I162" s="101"/>
      <x:c r="J162" s="101"/>
      <x:c r="K162" s="101"/>
      <x:c r="L162" s="101"/>
      <x:c r="M162" s="101"/>
      <x:c r="N162" s="101"/>
      <x:c r="O162" s="101"/>
      <x:c r="P162" s="101"/>
      <x:c r="Q162" s="101"/>
      <x:c r="R162" s="101"/>
      <x:c r="S162" s="101"/>
      <x:c r="T162" s="101"/>
      <x:c r="U162" s="101"/>
      <x:c r="V162" s="101"/>
      <x:c r="W162" s="101"/>
      <x:c r="X162" s="101"/>
      <x:c r="Y162" s="101"/>
      <x:c r="Z162" s="101"/>
      <x:c r="AA162" s="101"/>
      <x:c r="AB162" s="101"/>
      <x:c r="AC162" s="101"/>
      <x:c r="AD162" s="101"/>
      <x:c r="AE162" s="101"/>
    </x:row>
    <x:row r="163">
      <x:c r="A163" s="101"/>
      <x:c r="B163" s="101"/>
      <x:c r="C163" s="101"/>
      <x:c r="D163" s="101"/>
      <x:c r="E163" s="101"/>
      <x:c r="F163" s="101"/>
      <x:c r="G163" s="101"/>
      <x:c r="H163" s="101"/>
      <x:c r="I163" s="101"/>
      <x:c r="J163" s="101"/>
      <x:c r="K163" s="101"/>
      <x:c r="L163" s="101"/>
      <x:c r="M163" s="101"/>
      <x:c r="N163" s="101"/>
      <x:c r="O163" s="101"/>
      <x:c r="P163" s="101"/>
      <x:c r="Q163" s="101"/>
      <x:c r="R163" s="101"/>
      <x:c r="S163" s="101"/>
      <x:c r="T163" s="101"/>
      <x:c r="U163" s="101"/>
      <x:c r="V163" s="101"/>
      <x:c r="W163" s="101"/>
      <x:c r="X163" s="101"/>
      <x:c r="Y163" s="101"/>
      <x:c r="Z163" s="101"/>
      <x:c r="AA163" s="101"/>
      <x:c r="AB163" s="101"/>
      <x:c r="AC163" s="101"/>
      <x:c r="AD163" s="101"/>
      <x:c r="AE163" s="101"/>
    </x:row>
    <x:row r="164">
      <x:c r="A164" s="101"/>
      <x:c r="B164" s="101"/>
      <x:c r="C164" s="101"/>
      <x:c r="D164" s="101"/>
      <x:c r="E164" s="101"/>
      <x:c r="F164" s="101"/>
      <x:c r="G164" s="101"/>
      <x:c r="H164" s="101"/>
      <x:c r="I164" s="101"/>
      <x:c r="J164" s="101"/>
      <x:c r="K164" s="101"/>
      <x:c r="L164" s="101"/>
      <x:c r="M164" s="101"/>
      <x:c r="N164" s="101"/>
      <x:c r="O164" s="101"/>
      <x:c r="P164" s="101"/>
      <x:c r="Q164" s="101"/>
      <x:c r="R164" s="101"/>
      <x:c r="S164" s="101"/>
      <x:c r="T164" s="101"/>
      <x:c r="U164" s="101"/>
      <x:c r="V164" s="101"/>
      <x:c r="W164" s="101"/>
      <x:c r="X164" s="101"/>
      <x:c r="Y164" s="101"/>
      <x:c r="Z164" s="101"/>
      <x:c r="AA164" s="101"/>
      <x:c r="AB164" s="101"/>
      <x:c r="AC164" s="101"/>
      <x:c r="AD164" s="101"/>
      <x:c r="AE164" s="101"/>
    </x:row>
    <x:row r="165">
      <x:c r="A165" s="101"/>
      <x:c r="B165" s="101"/>
      <x:c r="C165" s="101"/>
      <x:c r="D165" s="101"/>
      <x:c r="E165" s="101"/>
      <x:c r="F165" s="101"/>
      <x:c r="G165" s="101"/>
      <x:c r="H165" s="101"/>
      <x:c r="I165" s="101"/>
      <x:c r="J165" s="101"/>
      <x:c r="K165" s="101"/>
      <x:c r="L165" s="101"/>
      <x:c r="M165" s="101"/>
      <x:c r="N165" s="101"/>
      <x:c r="O165" s="101"/>
      <x:c r="P165" s="101"/>
      <x:c r="Q165" s="101"/>
      <x:c r="R165" s="101"/>
      <x:c r="S165" s="101"/>
      <x:c r="T165" s="101"/>
      <x:c r="U165" s="101"/>
      <x:c r="V165" s="101"/>
      <x:c r="W165" s="101"/>
      <x:c r="X165" s="101"/>
      <x:c r="Y165" s="101"/>
      <x:c r="Z165" s="101"/>
      <x:c r="AA165" s="101"/>
      <x:c r="AB165" s="101"/>
      <x:c r="AC165" s="101"/>
      <x:c r="AD165" s="101"/>
      <x:c r="AE165" s="101"/>
    </x:row>
    <x:row r="166">
      <x:c r="A166" s="101"/>
      <x:c r="B166" s="101"/>
      <x:c r="C166" s="101"/>
      <x:c r="D166" s="101"/>
      <x:c r="E166" s="101"/>
      <x:c r="F166" s="101"/>
      <x:c r="G166" s="101"/>
      <x:c r="H166" s="101"/>
      <x:c r="I166" s="101"/>
      <x:c r="J166" s="101"/>
      <x:c r="K166" s="101"/>
      <x:c r="L166" s="101"/>
      <x:c r="M166" s="101"/>
      <x:c r="N166" s="101"/>
      <x:c r="O166" s="101"/>
      <x:c r="P166" s="101"/>
      <x:c r="Q166" s="101"/>
      <x:c r="R166" s="101"/>
      <x:c r="S166" s="101"/>
      <x:c r="T166" s="101"/>
      <x:c r="U166" s="101"/>
      <x:c r="V166" s="101"/>
      <x:c r="W166" s="101"/>
      <x:c r="X166" s="101"/>
      <x:c r="Y166" s="101"/>
      <x:c r="Z166" s="101"/>
      <x:c r="AA166" s="101"/>
      <x:c r="AB166" s="101"/>
      <x:c r="AC166" s="101"/>
      <x:c r="AD166" s="101"/>
      <x:c r="AE166" s="101"/>
    </x:row>
    <x:row r="167">
      <x:c r="A167" s="101"/>
      <x:c r="B167" s="101"/>
      <x:c r="C167" s="101"/>
      <x:c r="D167" s="101"/>
      <x:c r="E167" s="101"/>
      <x:c r="F167" s="101"/>
      <x:c r="G167" s="101"/>
      <x:c r="H167" s="101"/>
      <x:c r="I167" s="101"/>
      <x:c r="J167" s="101"/>
      <x:c r="K167" s="101"/>
      <x:c r="L167" s="101"/>
      <x:c r="M167" s="101"/>
      <x:c r="N167" s="101"/>
      <x:c r="O167" s="101"/>
      <x:c r="P167" s="101"/>
      <x:c r="Q167" s="101"/>
      <x:c r="R167" s="101"/>
      <x:c r="S167" s="101"/>
      <x:c r="T167" s="101"/>
      <x:c r="U167" s="101"/>
      <x:c r="V167" s="101"/>
      <x:c r="W167" s="101"/>
      <x:c r="X167" s="101"/>
      <x:c r="Y167" s="101"/>
      <x:c r="Z167" s="101"/>
      <x:c r="AA167" s="101"/>
      <x:c r="AB167" s="101"/>
      <x:c r="AC167" s="101"/>
      <x:c r="AD167" s="101"/>
      <x:c r="AE167" s="101"/>
    </x:row>
    <x:row r="168">
      <x:c r="A168" s="101"/>
      <x:c r="B168" s="101"/>
      <x:c r="C168" s="101"/>
      <x:c r="D168" s="101"/>
      <x:c r="E168" s="101"/>
      <x:c r="F168" s="101"/>
      <x:c r="G168" s="101"/>
      <x:c r="H168" s="101"/>
      <x:c r="I168" s="101"/>
      <x:c r="J168" s="101"/>
      <x:c r="K168" s="101"/>
      <x:c r="L168" s="101"/>
      <x:c r="M168" s="101"/>
      <x:c r="N168" s="101"/>
      <x:c r="O168" s="101"/>
      <x:c r="P168" s="101"/>
      <x:c r="Q168" s="101"/>
      <x:c r="R168" s="101"/>
      <x:c r="S168" s="101"/>
      <x:c r="T168" s="101"/>
      <x:c r="U168" s="101"/>
      <x:c r="V168" s="101"/>
      <x:c r="W168" s="101"/>
      <x:c r="X168" s="101"/>
      <x:c r="Y168" s="101"/>
      <x:c r="Z168" s="101"/>
      <x:c r="AA168" s="101"/>
      <x:c r="AB168" s="101"/>
      <x:c r="AC168" s="101"/>
      <x:c r="AD168" s="101"/>
      <x:c r="AE168" s="101"/>
    </x:row>
    <x:row r="169">
      <x:c r="A169" s="101"/>
      <x:c r="B169" s="101"/>
      <x:c r="C169" s="101"/>
      <x:c r="D169" s="101"/>
      <x:c r="E169" s="101"/>
      <x:c r="F169" s="101"/>
      <x:c r="G169" s="101"/>
      <x:c r="H169" s="101"/>
      <x:c r="I169" s="101"/>
      <x:c r="J169" s="101"/>
      <x:c r="K169" s="101"/>
      <x:c r="L169" s="101"/>
      <x:c r="M169" s="101"/>
      <x:c r="N169" s="101"/>
      <x:c r="O169" s="101"/>
      <x:c r="P169" s="101"/>
      <x:c r="Q169" s="101"/>
      <x:c r="R169" s="101"/>
      <x:c r="S169" s="101"/>
      <x:c r="T169" s="101"/>
      <x:c r="U169" s="101"/>
      <x:c r="V169" s="101"/>
      <x:c r="W169" s="101"/>
      <x:c r="X169" s="101"/>
      <x:c r="Y169" s="101"/>
      <x:c r="Z169" s="101"/>
      <x:c r="AA169" s="101"/>
      <x:c r="AB169" s="101"/>
      <x:c r="AC169" s="101"/>
      <x:c r="AD169" s="101"/>
      <x:c r="AE169" s="101"/>
    </x:row>
    <x:row r="170">
      <x:c r="A170" s="101"/>
      <x:c r="B170" s="101"/>
      <x:c r="C170" s="101"/>
      <x:c r="D170" s="101"/>
      <x:c r="E170" s="101"/>
      <x:c r="F170" s="101"/>
      <x:c r="G170" s="101"/>
      <x:c r="H170" s="101"/>
      <x:c r="I170" s="101"/>
      <x:c r="J170" s="101"/>
      <x:c r="K170" s="101"/>
      <x:c r="L170" s="101"/>
      <x:c r="M170" s="101"/>
      <x:c r="N170" s="101"/>
      <x:c r="O170" s="101"/>
      <x:c r="P170" s="101"/>
      <x:c r="Q170" s="101"/>
      <x:c r="R170" s="101"/>
      <x:c r="S170" s="101"/>
      <x:c r="T170" s="101"/>
      <x:c r="U170" s="101"/>
      <x:c r="V170" s="101"/>
      <x:c r="W170" s="101"/>
      <x:c r="X170" s="101"/>
      <x:c r="Y170" s="101"/>
      <x:c r="Z170" s="101"/>
      <x:c r="AA170" s="101"/>
      <x:c r="AB170" s="101"/>
      <x:c r="AC170" s="101"/>
      <x:c r="AD170" s="101"/>
      <x:c r="AE170" s="101"/>
    </x:row>
    <x:row r="171">
      <x:c r="A171" s="101"/>
      <x:c r="B171" s="101"/>
      <x:c r="C171" s="101"/>
      <x:c r="D171" s="101"/>
      <x:c r="E171" s="101"/>
      <x:c r="F171" s="101"/>
      <x:c r="G171" s="101"/>
      <x:c r="H171" s="101"/>
      <x:c r="I171" s="101"/>
      <x:c r="J171" s="101"/>
      <x:c r="K171" s="101"/>
      <x:c r="L171" s="101"/>
      <x:c r="M171" s="101"/>
      <x:c r="N171" s="101"/>
      <x:c r="O171" s="101"/>
      <x:c r="P171" s="101"/>
      <x:c r="Q171" s="101"/>
      <x:c r="R171" s="101"/>
      <x:c r="S171" s="101"/>
      <x:c r="T171" s="101"/>
      <x:c r="U171" s="101"/>
      <x:c r="V171" s="101"/>
      <x:c r="W171" s="101"/>
      <x:c r="X171" s="101"/>
      <x:c r="Y171" s="101"/>
      <x:c r="Z171" s="101"/>
      <x:c r="AA171" s="101"/>
      <x:c r="AB171" s="101"/>
      <x:c r="AC171" s="101"/>
      <x:c r="AD171" s="101"/>
      <x:c r="AE171" s="101"/>
    </x:row>
    <x:row r="172">
      <x:c r="A172" s="101"/>
      <x:c r="B172" s="101"/>
      <x:c r="C172" s="101"/>
      <x:c r="D172" s="101"/>
      <x:c r="E172" s="101"/>
      <x:c r="F172" s="101"/>
      <x:c r="G172" s="101"/>
      <x:c r="H172" s="101"/>
      <x:c r="I172" s="101"/>
      <x:c r="J172" s="101"/>
      <x:c r="K172" s="101"/>
      <x:c r="L172" s="101"/>
      <x:c r="M172" s="101"/>
      <x:c r="N172" s="101"/>
      <x:c r="O172" s="101"/>
      <x:c r="P172" s="101"/>
      <x:c r="Q172" s="101"/>
      <x:c r="R172" s="101"/>
      <x:c r="S172" s="101"/>
      <x:c r="T172" s="101"/>
      <x:c r="U172" s="101"/>
      <x:c r="V172" s="101"/>
      <x:c r="W172" s="101"/>
      <x:c r="X172" s="101"/>
      <x:c r="Y172" s="101"/>
      <x:c r="Z172" s="101"/>
      <x:c r="AA172" s="101"/>
      <x:c r="AB172" s="101"/>
      <x:c r="AC172" s="101"/>
      <x:c r="AD172" s="101"/>
      <x:c r="AE172" s="101"/>
    </x:row>
    <x:row r="173">
      <x:c r="A173" s="101"/>
      <x:c r="B173" s="101"/>
      <x:c r="C173" s="101"/>
      <x:c r="D173" s="101"/>
      <x:c r="E173" s="101"/>
      <x:c r="F173" s="101"/>
      <x:c r="G173" s="101"/>
      <x:c r="H173" s="101"/>
      <x:c r="I173" s="101"/>
      <x:c r="J173" s="101"/>
      <x:c r="K173" s="101"/>
      <x:c r="L173" s="101"/>
      <x:c r="M173" s="101"/>
      <x:c r="N173" s="101"/>
      <x:c r="O173" s="101"/>
      <x:c r="P173" s="101"/>
      <x:c r="Q173" s="101"/>
      <x:c r="R173" s="101"/>
      <x:c r="S173" s="101"/>
      <x:c r="T173" s="101"/>
      <x:c r="U173" s="101"/>
      <x:c r="V173" s="101"/>
      <x:c r="W173" s="101"/>
      <x:c r="X173" s="101"/>
      <x:c r="Y173" s="101"/>
      <x:c r="Z173" s="101"/>
      <x:c r="AA173" s="101"/>
      <x:c r="AB173" s="101"/>
      <x:c r="AC173" s="101"/>
      <x:c r="AD173" s="101"/>
      <x:c r="AE173" s="101"/>
    </x:row>
    <x:row r="174">
      <x:c r="A174" s="101"/>
      <x:c r="B174" s="101"/>
      <x:c r="C174" s="101"/>
      <x:c r="D174" s="101"/>
      <x:c r="E174" s="101"/>
      <x:c r="F174" s="101"/>
      <x:c r="G174" s="101"/>
      <x:c r="H174" s="101"/>
      <x:c r="I174" s="101"/>
      <x:c r="J174" s="101"/>
      <x:c r="K174" s="101"/>
      <x:c r="L174" s="101"/>
      <x:c r="M174" s="101"/>
      <x:c r="N174" s="101"/>
      <x:c r="O174" s="101"/>
      <x:c r="P174" s="101"/>
      <x:c r="Q174" s="101"/>
      <x:c r="R174" s="101"/>
      <x:c r="S174" s="101"/>
      <x:c r="T174" s="101"/>
      <x:c r="U174" s="101"/>
      <x:c r="V174" s="101"/>
      <x:c r="W174" s="101"/>
      <x:c r="X174" s="101"/>
      <x:c r="Y174" s="101"/>
      <x:c r="Z174" s="101"/>
      <x:c r="AA174" s="101"/>
      <x:c r="AB174" s="101"/>
      <x:c r="AC174" s="101"/>
      <x:c r="AD174" s="101"/>
      <x:c r="AE174" s="101"/>
    </x:row>
    <x:row r="175">
      <x:c r="A175" s="101"/>
      <x:c r="B175" s="101"/>
      <x:c r="C175" s="101"/>
      <x:c r="D175" s="101"/>
      <x:c r="E175" s="101"/>
      <x:c r="F175" s="101"/>
      <x:c r="G175" s="101"/>
      <x:c r="H175" s="101"/>
      <x:c r="I175" s="101"/>
      <x:c r="J175" s="101"/>
      <x:c r="K175" s="101"/>
      <x:c r="L175" s="101"/>
      <x:c r="M175" s="101"/>
      <x:c r="N175" s="101"/>
      <x:c r="O175" s="101"/>
      <x:c r="P175" s="101"/>
      <x:c r="Q175" s="101"/>
      <x:c r="R175" s="101"/>
      <x:c r="S175" s="101"/>
      <x:c r="T175" s="101"/>
      <x:c r="U175" s="101"/>
      <x:c r="V175" s="101"/>
      <x:c r="W175" s="101"/>
      <x:c r="X175" s="101"/>
      <x:c r="Y175" s="101"/>
      <x:c r="Z175" s="101"/>
      <x:c r="AA175" s="101"/>
      <x:c r="AB175" s="101"/>
      <x:c r="AC175" s="101"/>
      <x:c r="AD175" s="101"/>
      <x:c r="AE175" s="101"/>
    </x:row>
    <x:row r="176">
      <x:c r="A176" s="101"/>
      <x:c r="B176" s="101"/>
      <x:c r="C176" s="101"/>
      <x:c r="D176" s="101"/>
      <x:c r="E176" s="101"/>
      <x:c r="F176" s="101"/>
      <x:c r="G176" s="101"/>
      <x:c r="H176" s="101"/>
      <x:c r="I176" s="101"/>
      <x:c r="J176" s="101"/>
      <x:c r="K176" s="101"/>
      <x:c r="L176" s="101"/>
      <x:c r="M176" s="101"/>
      <x:c r="N176" s="101"/>
      <x:c r="O176" s="101"/>
      <x:c r="P176" s="101"/>
      <x:c r="Q176" s="101"/>
      <x:c r="R176" s="101"/>
      <x:c r="S176" s="101"/>
      <x:c r="T176" s="101"/>
      <x:c r="U176" s="101"/>
      <x:c r="V176" s="101"/>
      <x:c r="W176" s="101"/>
      <x:c r="X176" s="101"/>
      <x:c r="Y176" s="101"/>
      <x:c r="Z176" s="101"/>
      <x:c r="AA176" s="101"/>
      <x:c r="AB176" s="101"/>
      <x:c r="AC176" s="101"/>
      <x:c r="AD176" s="101"/>
      <x:c r="AE176" s="101"/>
    </x:row>
    <x:row r="177">
      <x:c r="A177" s="101"/>
      <x:c r="B177" s="101"/>
      <x:c r="C177" s="101"/>
      <x:c r="D177" s="101"/>
      <x:c r="E177" s="101"/>
      <x:c r="F177" s="101"/>
      <x:c r="G177" s="101"/>
      <x:c r="H177" s="101"/>
      <x:c r="I177" s="101"/>
      <x:c r="J177" s="101"/>
      <x:c r="K177" s="101"/>
      <x:c r="L177" s="101"/>
      <x:c r="M177" s="101"/>
      <x:c r="N177" s="101"/>
      <x:c r="O177" s="101"/>
      <x:c r="P177" s="101"/>
      <x:c r="Q177" s="101"/>
      <x:c r="R177" s="101"/>
      <x:c r="S177" s="101"/>
      <x:c r="T177" s="101"/>
      <x:c r="U177" s="101"/>
      <x:c r="V177" s="101"/>
      <x:c r="W177" s="101"/>
      <x:c r="X177" s="101"/>
      <x:c r="Y177" s="101"/>
      <x:c r="Z177" s="101"/>
      <x:c r="AA177" s="101"/>
      <x:c r="AB177" s="101"/>
      <x:c r="AC177" s="101"/>
      <x:c r="AD177" s="101"/>
      <x:c r="AE177" s="101"/>
    </x:row>
    <x:row r="178">
      <x:c r="A178" s="101"/>
      <x:c r="B178" s="101"/>
      <x:c r="C178" s="101"/>
      <x:c r="D178" s="101"/>
      <x:c r="E178" s="101"/>
      <x:c r="F178" s="101"/>
      <x:c r="G178" s="101"/>
      <x:c r="H178" s="101"/>
      <x:c r="I178" s="101"/>
      <x:c r="J178" s="101"/>
      <x:c r="K178" s="101"/>
      <x:c r="L178" s="101"/>
      <x:c r="M178" s="101"/>
      <x:c r="N178" s="101"/>
      <x:c r="O178" s="101"/>
      <x:c r="P178" s="101"/>
      <x:c r="Q178" s="101"/>
      <x:c r="R178" s="101"/>
      <x:c r="S178" s="101"/>
      <x:c r="T178" s="101"/>
      <x:c r="U178" s="101"/>
      <x:c r="V178" s="101"/>
      <x:c r="W178" s="101"/>
      <x:c r="X178" s="101"/>
      <x:c r="Y178" s="101"/>
      <x:c r="Z178" s="101"/>
      <x:c r="AA178" s="101"/>
      <x:c r="AB178" s="101"/>
      <x:c r="AC178" s="101"/>
      <x:c r="AD178" s="101"/>
      <x:c r="AE178" s="101"/>
    </x:row>
    <x:row r="179">
      <x:c r="A179" s="101"/>
      <x:c r="B179" s="101"/>
      <x:c r="C179" s="101"/>
      <x:c r="D179" s="101"/>
      <x:c r="E179" s="101"/>
      <x:c r="F179" s="101"/>
      <x:c r="G179" s="101"/>
      <x:c r="H179" s="101"/>
      <x:c r="I179" s="101"/>
      <x:c r="J179" s="101"/>
      <x:c r="K179" s="101"/>
      <x:c r="L179" s="101"/>
      <x:c r="M179" s="101"/>
      <x:c r="N179" s="101"/>
      <x:c r="O179" s="101"/>
      <x:c r="P179" s="101"/>
      <x:c r="Q179" s="101"/>
      <x:c r="R179" s="101"/>
      <x:c r="S179" s="101"/>
      <x:c r="T179" s="101"/>
      <x:c r="U179" s="101"/>
      <x:c r="V179" s="101"/>
      <x:c r="W179" s="101"/>
      <x:c r="X179" s="101"/>
      <x:c r="Y179" s="101"/>
      <x:c r="Z179" s="101"/>
      <x:c r="AA179" s="101"/>
      <x:c r="AB179" s="101"/>
      <x:c r="AC179" s="101"/>
      <x:c r="AD179" s="101"/>
      <x:c r="AE179" s="101"/>
    </x:row>
    <x:row r="180">
      <x:c r="A180" s="101"/>
      <x:c r="B180" s="101"/>
      <x:c r="C180" s="101"/>
      <x:c r="D180" s="101"/>
      <x:c r="E180" s="101"/>
      <x:c r="F180" s="101"/>
      <x:c r="G180" s="101"/>
      <x:c r="H180" s="101"/>
      <x:c r="I180" s="101"/>
      <x:c r="J180" s="101"/>
      <x:c r="K180" s="101"/>
      <x:c r="L180" s="101"/>
      <x:c r="M180" s="101"/>
      <x:c r="N180" s="101"/>
      <x:c r="O180" s="101"/>
      <x:c r="P180" s="101"/>
      <x:c r="Q180" s="101"/>
      <x:c r="R180" s="101"/>
      <x:c r="S180" s="101"/>
      <x:c r="T180" s="101"/>
      <x:c r="U180" s="101"/>
      <x:c r="V180" s="101"/>
      <x:c r="W180" s="101"/>
      <x:c r="X180" s="101"/>
      <x:c r="Y180" s="101"/>
      <x:c r="Z180" s="101"/>
      <x:c r="AA180" s="101"/>
      <x:c r="AB180" s="101"/>
      <x:c r="AC180" s="101"/>
      <x:c r="AD180" s="101"/>
      <x:c r="AE180" s="101"/>
    </x:row>
    <x:row r="181">
      <x:c r="A181" s="101"/>
      <x:c r="B181" s="101"/>
      <x:c r="C181" s="101"/>
      <x:c r="D181" s="101"/>
      <x:c r="E181" s="101"/>
      <x:c r="F181" s="101"/>
      <x:c r="G181" s="101"/>
      <x:c r="H181" s="101"/>
      <x:c r="I181" s="101"/>
      <x:c r="J181" s="101"/>
      <x:c r="K181" s="101"/>
      <x:c r="L181" s="101"/>
      <x:c r="M181" s="101"/>
      <x:c r="N181" s="101"/>
      <x:c r="O181" s="101"/>
      <x:c r="P181" s="101"/>
      <x:c r="Q181" s="101"/>
      <x:c r="R181" s="101"/>
      <x:c r="S181" s="101"/>
      <x:c r="T181" s="101"/>
      <x:c r="U181" s="101"/>
      <x:c r="V181" s="101"/>
      <x:c r="W181" s="101"/>
      <x:c r="X181" s="101"/>
      <x:c r="Y181" s="101"/>
      <x:c r="Z181" s="101"/>
      <x:c r="AA181" s="101"/>
      <x:c r="AB181" s="101"/>
      <x:c r="AC181" s="101"/>
      <x:c r="AD181" s="101"/>
      <x:c r="AE181" s="101"/>
    </x:row>
    <x:row r="182">
      <x:c r="A182" s="101"/>
      <x:c r="B182" s="101"/>
      <x:c r="C182" s="101"/>
      <x:c r="D182" s="101"/>
      <x:c r="E182" s="101"/>
      <x:c r="F182" s="101"/>
      <x:c r="G182" s="101"/>
      <x:c r="H182" s="101"/>
      <x:c r="I182" s="101"/>
      <x:c r="J182" s="101"/>
      <x:c r="K182" s="101"/>
      <x:c r="L182" s="101"/>
      <x:c r="M182" s="101"/>
      <x:c r="N182" s="101"/>
      <x:c r="O182" s="101"/>
      <x:c r="P182" s="101"/>
      <x:c r="Q182" s="101"/>
      <x:c r="R182" s="101"/>
      <x:c r="S182" s="101"/>
      <x:c r="T182" s="101"/>
      <x:c r="U182" s="101"/>
      <x:c r="V182" s="101"/>
      <x:c r="W182" s="101"/>
      <x:c r="X182" s="101"/>
      <x:c r="Y182" s="101"/>
      <x:c r="Z182" s="101"/>
      <x:c r="AA182" s="101"/>
      <x:c r="AB182" s="101"/>
      <x:c r="AC182" s="101"/>
      <x:c r="AD182" s="101"/>
      <x:c r="AE182" s="101"/>
    </x:row>
    <x:row r="183">
      <x:c r="A183" s="101"/>
      <x:c r="B183" s="101"/>
      <x:c r="C183" s="101"/>
      <x:c r="D183" s="101"/>
      <x:c r="E183" s="101"/>
      <x:c r="F183" s="101"/>
      <x:c r="G183" s="101"/>
      <x:c r="H183" s="101"/>
      <x:c r="I183" s="101"/>
      <x:c r="J183" s="101"/>
      <x:c r="K183" s="101"/>
      <x:c r="L183" s="101"/>
      <x:c r="M183" s="101"/>
      <x:c r="N183" s="101"/>
      <x:c r="O183" s="101"/>
      <x:c r="P183" s="101"/>
      <x:c r="Q183" s="101"/>
      <x:c r="R183" s="101"/>
      <x:c r="S183" s="101"/>
      <x:c r="T183" s="101"/>
      <x:c r="U183" s="101"/>
      <x:c r="V183" s="101"/>
      <x:c r="W183" s="101"/>
      <x:c r="X183" s="101"/>
      <x:c r="Y183" s="101"/>
      <x:c r="Z183" s="101"/>
      <x:c r="AA183" s="101"/>
      <x:c r="AB183" s="101"/>
      <x:c r="AC183" s="101"/>
      <x:c r="AD183" s="101"/>
      <x:c r="AE183" s="101"/>
    </x:row>
    <x:row r="184">
      <x:c r="A184" s="101"/>
      <x:c r="B184" s="101"/>
      <x:c r="C184" s="101"/>
      <x:c r="D184" s="101"/>
      <x:c r="E184" s="101"/>
      <x:c r="F184" s="101"/>
      <x:c r="G184" s="101"/>
      <x:c r="H184" s="101"/>
      <x:c r="I184" s="101"/>
      <x:c r="J184" s="101"/>
      <x:c r="K184" s="101"/>
      <x:c r="L184" s="101"/>
      <x:c r="M184" s="101"/>
      <x:c r="N184" s="101"/>
      <x:c r="O184" s="101"/>
      <x:c r="P184" s="101"/>
      <x:c r="Q184" s="101"/>
      <x:c r="R184" s="101"/>
      <x:c r="S184" s="101"/>
      <x:c r="T184" s="101"/>
      <x:c r="U184" s="101"/>
      <x:c r="V184" s="101"/>
      <x:c r="W184" s="101"/>
      <x:c r="X184" s="101"/>
      <x:c r="Y184" s="101"/>
      <x:c r="Z184" s="101"/>
      <x:c r="AA184" s="101"/>
      <x:c r="AB184" s="101"/>
      <x:c r="AC184" s="101"/>
      <x:c r="AD184" s="101"/>
      <x:c r="AE184" s="101"/>
    </x:row>
    <x:row r="185">
      <x:c r="A185" s="101"/>
      <x:c r="B185" s="101"/>
      <x:c r="C185" s="101"/>
      <x:c r="D185" s="101"/>
      <x:c r="E185" s="101"/>
      <x:c r="F185" s="101"/>
      <x:c r="G185" s="101"/>
      <x:c r="H185" s="101"/>
      <x:c r="I185" s="101"/>
      <x:c r="J185" s="101"/>
      <x:c r="K185" s="101"/>
      <x:c r="L185" s="101"/>
      <x:c r="M185" s="101"/>
      <x:c r="N185" s="101"/>
      <x:c r="O185" s="101"/>
      <x:c r="P185" s="101"/>
      <x:c r="Q185" s="101"/>
      <x:c r="R185" s="101"/>
      <x:c r="S185" s="101"/>
      <x:c r="T185" s="101"/>
      <x:c r="U185" s="101"/>
      <x:c r="V185" s="101"/>
      <x:c r="W185" s="101"/>
      <x:c r="X185" s="101"/>
      <x:c r="Y185" s="101"/>
      <x:c r="Z185" s="101"/>
      <x:c r="AA185" s="101"/>
      <x:c r="AB185" s="101"/>
      <x:c r="AC185" s="101"/>
      <x:c r="AD185" s="101"/>
      <x:c r="AE185" s="101"/>
    </x:row>
    <x:row r="186">
      <x:c r="A186" s="101"/>
      <x:c r="B186" s="101"/>
      <x:c r="C186" s="101"/>
      <x:c r="D186" s="101"/>
      <x:c r="E186" s="101"/>
      <x:c r="F186" s="101"/>
      <x:c r="G186" s="101"/>
      <x:c r="H186" s="101"/>
      <x:c r="I186" s="101"/>
      <x:c r="J186" s="101"/>
      <x:c r="K186" s="101"/>
      <x:c r="L186" s="101"/>
      <x:c r="M186" s="101"/>
      <x:c r="N186" s="101"/>
      <x:c r="O186" s="101"/>
      <x:c r="P186" s="101"/>
      <x:c r="Q186" s="101"/>
      <x:c r="R186" s="101"/>
      <x:c r="S186" s="101"/>
      <x:c r="T186" s="101"/>
      <x:c r="U186" s="101"/>
      <x:c r="V186" s="101"/>
      <x:c r="W186" s="101"/>
      <x:c r="X186" s="101"/>
      <x:c r="Y186" s="101"/>
      <x:c r="Z186" s="101"/>
      <x:c r="AA186" s="101"/>
      <x:c r="AB186" s="101"/>
      <x:c r="AC186" s="101"/>
      <x:c r="AD186" s="101"/>
      <x:c r="AE186" s="101"/>
    </x:row>
    <x:row r="187">
      <x:c r="A187" s="101"/>
      <x:c r="B187" s="101"/>
      <x:c r="C187" s="101"/>
      <x:c r="D187" s="101"/>
      <x:c r="E187" s="101"/>
      <x:c r="F187" s="101"/>
      <x:c r="G187" s="101"/>
      <x:c r="H187" s="101"/>
      <x:c r="I187" s="101"/>
      <x:c r="J187" s="101"/>
      <x:c r="K187" s="101"/>
      <x:c r="L187" s="101"/>
      <x:c r="M187" s="101"/>
      <x:c r="N187" s="101"/>
      <x:c r="O187" s="101"/>
      <x:c r="P187" s="101"/>
      <x:c r="Q187" s="101"/>
      <x:c r="R187" s="101"/>
      <x:c r="S187" s="101"/>
      <x:c r="T187" s="101"/>
      <x:c r="U187" s="101"/>
      <x:c r="V187" s="101"/>
      <x:c r="W187" s="101"/>
      <x:c r="X187" s="101"/>
      <x:c r="Y187" s="101"/>
      <x:c r="Z187" s="101"/>
      <x:c r="AA187" s="101"/>
      <x:c r="AB187" s="101"/>
      <x:c r="AC187" s="101"/>
      <x:c r="AD187" s="101"/>
      <x:c r="AE187" s="101"/>
    </x:row>
    <x:row r="188">
      <x:c r="A188" s="101"/>
      <x:c r="B188" s="101"/>
      <x:c r="C188" s="101"/>
      <x:c r="D188" s="101"/>
      <x:c r="E188" s="101"/>
      <x:c r="F188" s="101"/>
      <x:c r="G188" s="101"/>
      <x:c r="H188" s="101"/>
      <x:c r="I188" s="101"/>
      <x:c r="J188" s="101"/>
      <x:c r="K188" s="101"/>
      <x:c r="L188" s="101"/>
      <x:c r="M188" s="101"/>
      <x:c r="N188" s="101"/>
      <x:c r="O188" s="101"/>
      <x:c r="P188" s="101"/>
      <x:c r="Q188" s="101"/>
      <x:c r="R188" s="101"/>
      <x:c r="S188" s="101"/>
      <x:c r="T188" s="101"/>
      <x:c r="U188" s="101"/>
      <x:c r="V188" s="101"/>
      <x:c r="W188" s="101"/>
      <x:c r="X188" s="101"/>
      <x:c r="Y188" s="101"/>
      <x:c r="Z188" s="101"/>
      <x:c r="AA188" s="101"/>
      <x:c r="AB188" s="101"/>
      <x:c r="AC188" s="101"/>
      <x:c r="AD188" s="101"/>
      <x:c r="AE188" s="101"/>
    </x:row>
    <x:row r="189">
      <x:c r="A189" s="101"/>
      <x:c r="B189" s="101"/>
      <x:c r="C189" s="101"/>
      <x:c r="D189" s="101"/>
      <x:c r="E189" s="101"/>
      <x:c r="F189" s="101"/>
      <x:c r="G189" s="101"/>
      <x:c r="H189" s="101"/>
      <x:c r="I189" s="101"/>
      <x:c r="J189" s="101"/>
      <x:c r="K189" s="101"/>
      <x:c r="L189" s="101"/>
      <x:c r="M189" s="101"/>
      <x:c r="N189" s="101"/>
      <x:c r="O189" s="101"/>
      <x:c r="P189" s="101"/>
      <x:c r="Q189" s="101"/>
      <x:c r="R189" s="101"/>
      <x:c r="S189" s="101"/>
      <x:c r="T189" s="101"/>
      <x:c r="U189" s="101"/>
      <x:c r="V189" s="101"/>
      <x:c r="W189" s="101"/>
      <x:c r="X189" s="101"/>
      <x:c r="Y189" s="101"/>
      <x:c r="Z189" s="101"/>
      <x:c r="AA189" s="101"/>
      <x:c r="AB189" s="101"/>
      <x:c r="AC189" s="101"/>
      <x:c r="AD189" s="101"/>
      <x:c r="AE189" s="101"/>
    </x:row>
    <x:row r="190">
      <x:c r="A190" s="101"/>
      <x:c r="B190" s="101"/>
      <x:c r="C190" s="101"/>
      <x:c r="D190" s="101"/>
      <x:c r="E190" s="101"/>
      <x:c r="F190" s="101"/>
      <x:c r="G190" s="101"/>
      <x:c r="H190" s="101"/>
      <x:c r="I190" s="101"/>
      <x:c r="J190" s="101"/>
      <x:c r="K190" s="101"/>
      <x:c r="L190" s="101"/>
      <x:c r="M190" s="101"/>
      <x:c r="N190" s="101"/>
      <x:c r="O190" s="101"/>
      <x:c r="P190" s="101"/>
      <x:c r="Q190" s="101"/>
      <x:c r="R190" s="101"/>
      <x:c r="S190" s="101"/>
      <x:c r="T190" s="101"/>
      <x:c r="U190" s="101"/>
      <x:c r="V190" s="101"/>
      <x:c r="W190" s="101"/>
      <x:c r="X190" s="101"/>
      <x:c r="Y190" s="101"/>
      <x:c r="Z190" s="101"/>
      <x:c r="AA190" s="101"/>
      <x:c r="AB190" s="101"/>
      <x:c r="AC190" s="101"/>
      <x:c r="AD190" s="101"/>
      <x:c r="AE190" s="101"/>
    </x:row>
    <x:row r="191">
      <x:c r="A191" s="101"/>
      <x:c r="B191" s="101"/>
      <x:c r="C191" s="101"/>
      <x:c r="D191" s="101"/>
      <x:c r="E191" s="101"/>
      <x:c r="F191" s="101"/>
      <x:c r="G191" s="101"/>
      <x:c r="H191" s="101"/>
      <x:c r="I191" s="101"/>
      <x:c r="J191" s="101"/>
      <x:c r="K191" s="101"/>
      <x:c r="L191" s="101"/>
      <x:c r="M191" s="101"/>
      <x:c r="N191" s="101"/>
      <x:c r="O191" s="101"/>
      <x:c r="P191" s="101"/>
      <x:c r="Q191" s="101"/>
      <x:c r="R191" s="101"/>
      <x:c r="S191" s="101"/>
      <x:c r="T191" s="101"/>
      <x:c r="U191" s="101"/>
      <x:c r="V191" s="101"/>
      <x:c r="W191" s="101"/>
      <x:c r="X191" s="101"/>
      <x:c r="Y191" s="101"/>
      <x:c r="Z191" s="101"/>
      <x:c r="AA191" s="101"/>
      <x:c r="AB191" s="101"/>
      <x:c r="AC191" s="101"/>
      <x:c r="AD191" s="101"/>
      <x:c r="AE191" s="101"/>
    </x:row>
    <x:row r="192">
      <x:c r="A192" s="101"/>
      <x:c r="B192" s="101"/>
      <x:c r="C192" s="101"/>
      <x:c r="D192" s="101"/>
      <x:c r="E192" s="101"/>
      <x:c r="F192" s="101"/>
      <x:c r="G192" s="101"/>
      <x:c r="H192" s="101"/>
      <x:c r="I192" s="101"/>
      <x:c r="J192" s="101"/>
      <x:c r="K192" s="101"/>
      <x:c r="L192" s="101"/>
      <x:c r="M192" s="101"/>
      <x:c r="N192" s="101"/>
      <x:c r="O192" s="101"/>
      <x:c r="P192" s="101"/>
      <x:c r="Q192" s="101"/>
      <x:c r="R192" s="101"/>
      <x:c r="S192" s="101"/>
      <x:c r="T192" s="101"/>
      <x:c r="U192" s="101"/>
      <x:c r="V192" s="101"/>
      <x:c r="W192" s="101"/>
      <x:c r="X192" s="101"/>
      <x:c r="Y192" s="101"/>
      <x:c r="Z192" s="101"/>
      <x:c r="AA192" s="101"/>
      <x:c r="AB192" s="101"/>
      <x:c r="AC192" s="101"/>
      <x:c r="AD192" s="101"/>
      <x:c r="AE192" s="101"/>
    </x:row>
    <x:row r="193">
      <x:c r="A193" s="101"/>
      <x:c r="B193" s="101"/>
      <x:c r="C193" s="101"/>
      <x:c r="D193" s="101"/>
      <x:c r="E193" s="101"/>
      <x:c r="F193" s="101"/>
      <x:c r="G193" s="101"/>
      <x:c r="H193" s="101"/>
      <x:c r="I193" s="101"/>
      <x:c r="J193" s="101"/>
      <x:c r="K193" s="101"/>
      <x:c r="L193" s="101"/>
      <x:c r="M193" s="101"/>
      <x:c r="N193" s="101"/>
      <x:c r="O193" s="101"/>
      <x:c r="P193" s="101"/>
      <x:c r="Q193" s="101"/>
      <x:c r="R193" s="101"/>
      <x:c r="S193" s="101"/>
      <x:c r="T193" s="101"/>
      <x:c r="U193" s="101"/>
      <x:c r="V193" s="101"/>
      <x:c r="W193" s="101"/>
      <x:c r="X193" s="101"/>
      <x:c r="Y193" s="101"/>
      <x:c r="Z193" s="101"/>
      <x:c r="AA193" s="101"/>
      <x:c r="AB193" s="101"/>
      <x:c r="AC193" s="101"/>
      <x:c r="AD193" s="101"/>
      <x:c r="AE193" s="101"/>
    </x:row>
    <x:row r="194">
      <x:c r="A194" s="101"/>
      <x:c r="B194" s="101"/>
      <x:c r="C194" s="101"/>
      <x:c r="D194" s="101"/>
      <x:c r="E194" s="101"/>
      <x:c r="F194" s="101"/>
      <x:c r="G194" s="101"/>
      <x:c r="H194" s="101"/>
      <x:c r="I194" s="101"/>
      <x:c r="J194" s="101"/>
      <x:c r="K194" s="101"/>
      <x:c r="L194" s="101"/>
      <x:c r="M194" s="101"/>
      <x:c r="N194" s="101"/>
      <x:c r="O194" s="101"/>
      <x:c r="P194" s="101"/>
      <x:c r="Q194" s="101"/>
      <x:c r="R194" s="101"/>
      <x:c r="S194" s="101"/>
      <x:c r="T194" s="101"/>
      <x:c r="U194" s="101"/>
      <x:c r="V194" s="101"/>
      <x:c r="W194" s="101"/>
      <x:c r="X194" s="101"/>
      <x:c r="Y194" s="101"/>
      <x:c r="Z194" s="101"/>
      <x:c r="AA194" s="101"/>
      <x:c r="AB194" s="101"/>
      <x:c r="AC194" s="101"/>
      <x:c r="AD194" s="101"/>
      <x:c r="AE194" s="101"/>
    </x:row>
    <x:row r="195">
      <x:c r="A195" s="101"/>
      <x:c r="B195" s="101"/>
      <x:c r="C195" s="101"/>
      <x:c r="D195" s="101"/>
      <x:c r="E195" s="101"/>
      <x:c r="F195" s="101"/>
      <x:c r="G195" s="101"/>
      <x:c r="H195" s="101"/>
      <x:c r="I195" s="101"/>
      <x:c r="J195" s="101"/>
      <x:c r="K195" s="101"/>
      <x:c r="L195" s="101"/>
      <x:c r="M195" s="101"/>
      <x:c r="N195" s="101"/>
      <x:c r="O195" s="101"/>
      <x:c r="P195" s="101"/>
      <x:c r="Q195" s="101"/>
      <x:c r="R195" s="101"/>
      <x:c r="S195" s="101"/>
      <x:c r="T195" s="101"/>
      <x:c r="U195" s="101"/>
      <x:c r="V195" s="101"/>
      <x:c r="W195" s="101"/>
      <x:c r="X195" s="101"/>
      <x:c r="Y195" s="101"/>
      <x:c r="Z195" s="101"/>
      <x:c r="AA195" s="101"/>
      <x:c r="AB195" s="101"/>
      <x:c r="AC195" s="101"/>
      <x:c r="AD195" s="101"/>
      <x:c r="AE195" s="101"/>
    </x:row>
    <x:row r="196">
      <x:c r="A196" s="101"/>
      <x:c r="B196" s="101"/>
      <x:c r="C196" s="101"/>
      <x:c r="D196" s="101"/>
      <x:c r="E196" s="101"/>
      <x:c r="F196" s="101"/>
      <x:c r="G196" s="101"/>
      <x:c r="H196" s="101"/>
      <x:c r="I196" s="101"/>
      <x:c r="J196" s="101"/>
      <x:c r="K196" s="101"/>
      <x:c r="L196" s="101"/>
      <x:c r="M196" s="101"/>
      <x:c r="N196" s="101"/>
      <x:c r="O196" s="101"/>
      <x:c r="P196" s="101"/>
      <x:c r="Q196" s="101"/>
      <x:c r="R196" s="101"/>
      <x:c r="S196" s="101"/>
      <x:c r="T196" s="101"/>
      <x:c r="U196" s="101"/>
      <x:c r="V196" s="101"/>
      <x:c r="W196" s="101"/>
      <x:c r="X196" s="101"/>
      <x:c r="Y196" s="101"/>
      <x:c r="Z196" s="101"/>
      <x:c r="AA196" s="101"/>
      <x:c r="AB196" s="101"/>
      <x:c r="AC196" s="101"/>
      <x:c r="AD196" s="101"/>
      <x:c r="AE196" s="101"/>
    </x:row>
    <x:row r="197">
      <x:c r="A197" s="101"/>
      <x:c r="B197" s="101"/>
      <x:c r="C197" s="101"/>
      <x:c r="D197" s="101"/>
      <x:c r="E197" s="101"/>
      <x:c r="F197" s="101"/>
      <x:c r="G197" s="101"/>
      <x:c r="H197" s="101"/>
      <x:c r="I197" s="101"/>
      <x:c r="J197" s="101"/>
      <x:c r="K197" s="101"/>
      <x:c r="L197" s="101"/>
      <x:c r="M197" s="101"/>
      <x:c r="N197" s="101"/>
      <x:c r="O197" s="101"/>
      <x:c r="P197" s="101"/>
      <x:c r="Q197" s="101"/>
      <x:c r="R197" s="101"/>
      <x:c r="S197" s="101"/>
      <x:c r="T197" s="101"/>
      <x:c r="U197" s="101"/>
      <x:c r="V197" s="101"/>
      <x:c r="W197" s="101"/>
      <x:c r="X197" s="101"/>
      <x:c r="Y197" s="101"/>
      <x:c r="Z197" s="101"/>
      <x:c r="AA197" s="101"/>
      <x:c r="AB197" s="101"/>
      <x:c r="AC197" s="101"/>
      <x:c r="AD197" s="101"/>
      <x:c r="AE197" s="101"/>
    </x:row>
    <x:row r="198">
      <x:c r="A198" s="101"/>
      <x:c r="B198" s="101"/>
      <x:c r="C198" s="101"/>
      <x:c r="D198" s="101"/>
      <x:c r="E198" s="101"/>
      <x:c r="F198" s="101"/>
      <x:c r="G198" s="101"/>
      <x:c r="H198" s="101"/>
      <x:c r="I198" s="101"/>
      <x:c r="J198" s="101"/>
      <x:c r="K198" s="101"/>
      <x:c r="L198" s="101"/>
      <x:c r="M198" s="101"/>
      <x:c r="N198" s="101"/>
      <x:c r="O198" s="101"/>
      <x:c r="P198" s="101"/>
      <x:c r="Q198" s="101"/>
      <x:c r="R198" s="101"/>
      <x:c r="S198" s="101"/>
      <x:c r="T198" s="101"/>
      <x:c r="U198" s="101"/>
      <x:c r="V198" s="101"/>
      <x:c r="W198" s="101"/>
      <x:c r="X198" s="101"/>
      <x:c r="Y198" s="101"/>
      <x:c r="Z198" s="101"/>
      <x:c r="AA198" s="101"/>
      <x:c r="AB198" s="101"/>
      <x:c r="AC198" s="101"/>
      <x:c r="AD198" s="101"/>
      <x:c r="AE198" s="101"/>
    </x:row>
    <x:row r="199">
      <x:c r="A199" s="101"/>
      <x:c r="B199" s="101"/>
      <x:c r="C199" s="101"/>
      <x:c r="D199" s="101"/>
      <x:c r="E199" s="101"/>
      <x:c r="F199" s="101"/>
      <x:c r="G199" s="101"/>
      <x:c r="H199" s="101"/>
      <x:c r="I199" s="101"/>
      <x:c r="J199" s="101"/>
      <x:c r="K199" s="101"/>
      <x:c r="L199" s="101"/>
      <x:c r="M199" s="101"/>
      <x:c r="N199" s="101"/>
      <x:c r="O199" s="101"/>
      <x:c r="P199" s="101"/>
      <x:c r="Q199" s="101"/>
      <x:c r="R199" s="101"/>
      <x:c r="S199" s="101"/>
      <x:c r="T199" s="101"/>
      <x:c r="U199" s="101"/>
      <x:c r="V199" s="101"/>
      <x:c r="W199" s="101"/>
      <x:c r="X199" s="101"/>
      <x:c r="Y199" s="101"/>
      <x:c r="Z199" s="101"/>
      <x:c r="AA199" s="101"/>
      <x:c r="AB199" s="101"/>
      <x:c r="AC199" s="101"/>
      <x:c r="AD199" s="101"/>
      <x:c r="AE199" s="101"/>
    </x:row>
    <x:row r="200">
      <x:c r="A200" s="101"/>
      <x:c r="B200" s="101"/>
      <x:c r="C200" s="101"/>
      <x:c r="D200" s="101"/>
      <x:c r="E200" s="101"/>
      <x:c r="F200" s="101"/>
      <x:c r="G200" s="101"/>
      <x:c r="H200" s="101"/>
      <x:c r="I200" s="101"/>
      <x:c r="J200" s="101"/>
      <x:c r="K200" s="101"/>
      <x:c r="L200" s="101"/>
      <x:c r="M200" s="101"/>
      <x:c r="N200" s="101"/>
      <x:c r="O200" s="101"/>
      <x:c r="P200" s="101"/>
      <x:c r="Q200" s="101"/>
      <x:c r="R200" s="101"/>
      <x:c r="S200" s="101"/>
      <x:c r="T200" s="101"/>
      <x:c r="U200" s="101"/>
      <x:c r="V200" s="101"/>
      <x:c r="W200" s="101"/>
      <x:c r="X200" s="101"/>
      <x:c r="Y200" s="101"/>
      <x:c r="Z200" s="101"/>
      <x:c r="AA200" s="101"/>
      <x:c r="AB200" s="101"/>
      <x:c r="AC200" s="101"/>
      <x:c r="AD200" s="101"/>
      <x:c r="AE200" s="101"/>
    </x:row>
  </x:sheetData>
  <x:mergeCells>
    <x:mergeCell ref="A1:H1"/>
    <x:mergeCell ref="A14:H14"/>
  </x:mergeCells>
  <x:pageMargins left="0.7" right="0.7" top="0.75" bottom="0.75" header="0.3" footer="0.3"/>
</x:worksheet>
</file>